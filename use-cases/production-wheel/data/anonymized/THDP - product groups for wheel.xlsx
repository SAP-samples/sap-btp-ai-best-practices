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tables/table1.xml" ContentType="application/vnd.openxmlformats-officedocument.spreadsheetml.table+xml"/>
  <Override PartName="/xl/customProperty2.bin" ContentType="application/vnd.openxmlformats-officedocument.spreadsheetml.customProperty"/>
  <Override PartName="/xl/tables/table2.xml" ContentType="application/vnd.openxmlformats-officedocument.spreadsheetml.table+xml"/>
  <Override PartName="/xl/customProperty3.bin" ContentType="application/vnd.openxmlformats-officedocument.spreadsheetml.customProperty"/>
  <Override PartName="/xl/drawings/drawing1.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ustomProperty4.bin" ContentType="application/vnd.openxmlformats-officedocument.spreadsheetml.customProperty"/>
  <Override PartName="/xl/tables/table4.xml" ContentType="application/vnd.openxmlformats-officedocument.spreadsheetml.table+xml"/>
  <Override PartName="/xl/customProperty5.bin" ContentType="application/vnd.openxmlformats-officedocument.spreadsheetml.customProperty"/>
  <Override PartName="/xl/tables/table5.xml" ContentType="application/vnd.openxmlformats-officedocument.spreadsheetml.table+xml"/>
  <Override PartName="/xl/queryTables/queryTable2.xml" ContentType="application/vnd.openxmlformats-officedocument.spreadsheetml.queryTable+xml"/>
  <Override PartName="/xl/customProperty6.bin" ContentType="application/vnd.openxmlformats-officedocument.spreadsheetml.customProperty"/>
  <Override PartName="/xl/tables/table6.xml" ContentType="application/vnd.openxmlformats-officedocument.spreadsheetml.table+xml"/>
  <Override PartName="/xl/queryTables/queryTable3.xml" ContentType="application/vnd.openxmlformats-officedocument.spreadsheetml.queryTable+xml"/>
  <Override PartName="/xl/customProperty7.bin" ContentType="application/vnd.openxmlformats-officedocument.spreadsheetml.customProperty"/>
  <Override PartName="/xl/tables/table7.xml" ContentType="application/vnd.openxmlformats-officedocument.spreadsheetml.table+xml"/>
  <Override PartName="/xl/queryTables/queryTable4.xml" ContentType="application/vnd.openxmlformats-officedocument.spreadsheetml.queryTable+xml"/>
  <Override PartName="/xl/customProperty8.bin" ContentType="application/vnd.openxmlformats-officedocument.spreadsheetml.customProperty"/>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customProperty9.bin" ContentType="application/vnd.openxmlformats-officedocument.spreadsheetml.customProperty"/>
  <Override PartName="/xl/tables/table10.xml" ContentType="application/vnd.openxmlformats-officedocument.spreadsheetml.table+xml"/>
  <Override PartName="/xl/queryTables/queryTable7.xml" ContentType="application/vnd.openxmlformats-officedocument.spreadsheetml.queryTable+xml"/>
  <Override PartName="/xl/tables/table11.xml" ContentType="application/vnd.openxmlformats-officedocument.spreadsheetml.table+xml"/>
  <Override PartName="/xl/queryTables/queryTable8.xml" ContentType="application/vnd.openxmlformats-officedocument.spreadsheetml.queryTable+xml"/>
  <Override PartName="/xl/customProperty10.bin" ContentType="application/vnd.openxmlformats-officedocument.spreadsheetml.customProperty"/>
  <Override PartName="/xl/tables/table12.xml" ContentType="application/vnd.openxmlformats-officedocument.spreadsheetml.table+xml"/>
  <Override PartName="/xl/queryTables/queryTable9.xml" ContentType="application/vnd.openxmlformats-officedocument.spreadsheetml.queryTable+xml"/>
  <Override PartName="/xl/customProperty11.bin" ContentType="application/vnd.openxmlformats-officedocument.spreadsheetml.customProperty"/>
  <Override PartName="/xl/customProperty12.bin" ContentType="application/vnd.openxmlformats-officedocument.spreadsheetml.customProperty"/>
  <Override PartName="/xl/tables/table13.xml" ContentType="application/vnd.openxmlformats-officedocument.spreadsheetml.table+xml"/>
  <Override PartName="/xl/customProperty13.bin" ContentType="application/vnd.openxmlformats-officedocument.spreadsheetml.customProperty"/>
  <Override PartName="/xl/customProperty14.bin" ContentType="application/vnd.openxmlformats-officedocument.spreadsheetml.customProperty"/>
  <Override PartName="/xl/tables/table14.xml" ContentType="application/vnd.openxmlformats-officedocument.spreadsheetml.table+xml"/>
  <Override PartName="/xl/queryTables/queryTable10.xml" ContentType="application/vnd.openxmlformats-officedocument.spreadsheetml.queryTable+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hidePivotFieldList="1" defaultThemeVersion="166925"/>
  <xr:revisionPtr revIDLastSave="5607" documentId="14_{9EF2A9E8-DCC7-4C9D-8119-9D18267C75F0}" xr6:coauthVersionLast="47" xr6:coauthVersionMax="47" xr10:uidLastSave="{9EC50A02-CE0F-4C3F-9E71-F0BCBC0F0DBD}"/>
  <bookViews>
    <workbookView xWindow="0" yWindow="660" windowWidth="30240" windowHeight="18980" xr2:uid="{00000000-000D-0000-FFFF-FFFF00000000}"/>
  </bookViews>
  <sheets>
    <sheet name="Site" sheetId="1" r:id="rId1"/>
    <sheet name="12 months sales forecast" sheetId="15" r:id="rId2"/>
    <sheet name="FINI grouping for wheel" sheetId="4" r:id="rId3"/>
    <sheet name="Groups 5 june" sheetId="20" r:id="rId4"/>
    <sheet name="PCK per filling line - THDP spe" sheetId="16" r:id="rId5"/>
    <sheet name="Change over estimation" sheetId="11" r:id="rId6"/>
    <sheet name="FINI new recipe combination" sheetId="14" r:id="rId7"/>
    <sheet name="FINI Cycle stock at DC" sheetId="5" r:id="rId8"/>
    <sheet name="FINI Planning calendar at P-sit" sheetId="7" r:id="rId9"/>
    <sheet name="APO SEFI lot size per recipe co" sheetId="10" r:id="rId10"/>
    <sheet name="Newrecipe" sheetId="19" r:id="rId11"/>
    <sheet name="New recipe" sheetId="17" r:id="rId12"/>
    <sheet name="Compatibility matrix" sheetId="18" r:id="rId13"/>
    <sheet name="Production_versions___List" sheetId="3" r:id="rId14"/>
  </sheets>
  <definedNames>
    <definedName name="ExternalData_1" localSheetId="2" hidden="1">'FINI grouping for wheel'!$A$2:$AC$1023</definedName>
    <definedName name="ExternalData_1" localSheetId="13" hidden="1">Production_versions___List!$A$1:$E$115</definedName>
    <definedName name="ExternalData_2" localSheetId="7" hidden="1">'FINI Cycle stock at DC'!$A$5:$F$994</definedName>
    <definedName name="ExternalData_2" localSheetId="8" hidden="1">'FINI Planning calendar at P-sit'!$A$4:$E$181</definedName>
    <definedName name="ExternalData_3" localSheetId="9" hidden="1">'APO SEFI lot size per recipe co'!$A$1:$C$14</definedName>
    <definedName name="ExternalData_3" localSheetId="5" hidden="1">'Change over estimation'!$A$1:$F$2</definedName>
    <definedName name="ExternalData_3" localSheetId="7" hidden="1">'FINI Cycle stock at DC'!$J$5:$M$180</definedName>
    <definedName name="ExternalData_3" localSheetId="6" hidden="1">'FINI new recipe combination'!$A$1:$C$1022</definedName>
    <definedName name="ExternalData_3" localSheetId="8" hidden="1">'FINI Planning calendar at P-sit'!$I$4:$M$848</definedName>
    <definedName name="ExternalData_3" localSheetId="4" hidden="1">'PCK per filling line - THDP spe'!$A$1:$B$44</definedName>
    <definedName name="factor">Site!$B$7</definedName>
    <definedName name="Slicer_Filling_line">#N/A</definedName>
    <definedName name="Slicer_PCK_code">#N/A</definedName>
    <definedName name="Slicer_Production_Frequency">#N/A</definedName>
    <definedName name="Slicer_Recipe_Combination">#N/A</definedName>
    <definedName name="Slicer_SEFI">#N/A</definedName>
    <definedName name="Slicer_Subgroup">#N/A</definedName>
  </definedNames>
  <calcPr calcId="191028" calcMode="manual" concurrentManualCount="12"/>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4:slicerCache r:id="rId18"/>
        <x14:slicerCache r:id="rId19"/>
        <x14:slicerCache r:id="rId20"/>
        <x14:slicerCache r:id="rId2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D07240-4236-48DF-8CAC-E5AC107C8A62}" keepAlive="1" name="Query - ABC calculated" description="Connection to the 'ABC calculated' query in the workbook." type="5" refreshedVersion="0" background="1">
    <dbPr connection="Provider=Microsoft.Mashup.OleDb.1;Data Source=$Workbook$;Location=&quot;ABC calculated&quot;;Extended Properties=&quot;&quot;" command="SELECT * FROM [ABC calculated]"/>
  </connection>
  <connection id="2" xr16:uid="{C38F4B54-E6E2-4465-9887-3AD5BB3469F8}" keepAlive="1" name="Query - ABC calculation &amp; cycle stock" description="Connection to the 'ABC calculation &amp; cycle stock' query in the workbook." type="5" refreshedVersion="0" background="1">
    <dbPr connection="Provider=Microsoft.Mashup.OleDb.1;Data Source=$Workbook$;Location=&quot;ABC calculation &amp; cycle stock&quot;;Extended Properties=&quot;&quot;" command="SELECT * FROM [ABC calculation &amp; cycle stock]"/>
  </connection>
  <connection id="3" xr16:uid="{EE7E73D2-D779-466A-9BB1-28C5F7FC93FC}" keepAlive="1" name="Query - ABC Cycle stock" description="Connection to the 'ABC Cycle stock' query in the workbook." type="5" refreshedVersion="0" background="1">
    <dbPr connection="Provider=Microsoft.Mashup.OleDb.1;Data Source=$Workbook$;Location=&quot;ABC Cycle stock&quot;;Extended Properties=&quot;&quot;" command="SELECT * FROM [ABC Cycle stock]"/>
  </connection>
  <connection id="4" xr16:uid="{90C1FE1B-78C0-44A9-8A0F-2DC0447F5A5A}" keepAlive="1" name="Query - APO SEFI lot size per recipe combination" description="Connection to the 'APO SEFI lot size per recipe combination' query in the workbook." type="5" refreshedVersion="8" background="1" saveData="1">
    <dbPr connection="Provider=Microsoft.Mashup.OleDb.1;Data Source=$Workbook$;Location=&quot;APO SEFI lot size per recipe combination&quot;;Extended Properties=&quot;&quot;" command="SELECT * FROM [APO SEFI lot size per recipe combination]"/>
    <extLst>
      <ext xmlns:x15="http://schemas.microsoft.com/office/spreadsheetml/2010/11/main" uri="{DE250136-89BD-433C-8126-D09CA5730AF9}">
        <x15:connection id="" excludeFromRefreshAll="1"/>
      </ext>
    </extLst>
  </connection>
  <connection id="5" xr16:uid="{A978CB75-8618-4E2F-A7EB-FE7EF21050EC}" keepAlive="1" name="Query - Change over estimation" description="Connection to the 'Change over estimation' query in the workbook." type="5" refreshedVersion="8" background="1" saveData="1">
    <dbPr connection="Provider=Microsoft.Mashup.OleDb.1;Data Source=$Workbook$;Location=&quot;Change over estimation&quot;;Extended Properties=&quot;&quot;" command="SELECT * FROM [Change over estimation]"/>
    <extLst>
      <ext xmlns:x15="http://schemas.microsoft.com/office/spreadsheetml/2010/11/main" uri="{DE250136-89BD-433C-8126-D09CA5730AF9}">
        <x15:connection id="" excludeFromRefreshAll="1"/>
      </ext>
    </extLst>
  </connection>
  <connection id="6" xr16:uid="{F2AECF3A-CF7F-4EE2-B3EE-FEC1CE8A1E90}" keepAlive="1" name="Query - DC seved from site" description="Connection to the 'DC seved from site' query in the workbook." type="5" refreshedVersion="0" background="1">
    <dbPr connection="Provider=Microsoft.Mashup.OleDb.1;Data Source=$Workbook$;Location=&quot;DC seved from site&quot;;Extended Properties=&quot;&quot;" command="SELECT * FROM [DC seved from site]"/>
  </connection>
  <connection id="7" xr16:uid="{63162B40-704D-4999-BD4D-8A037E941CBC}" keepAlive="1" name="Query - FINI Cycle stock at DC" description="Connection to the 'FINI Cycle stock at DC' query in the workbook." type="5" refreshedVersion="8" background="1" saveData="1">
    <dbPr connection="Provider=Microsoft.Mashup.OleDb.1;Data Source=$Workbook$;Location=&quot;FINI Cycle stock at DC&quot;;Extended Properties=&quot;&quot;" command="SELECT * FROM [FINI Cycle stock at DC]"/>
    <extLst>
      <ext xmlns:x15="http://schemas.microsoft.com/office/spreadsheetml/2010/11/main" uri="{DE250136-89BD-433C-8126-D09CA5730AF9}">
        <x15:connection id="" excludeFromRefreshAll="1"/>
      </ext>
    </extLst>
  </connection>
  <connection id="8" xr16:uid="{480B4103-8F2D-453F-BBE5-E10382BEB9F9}" keepAlive="1" name="Query - FINI Cycle stock at DC without pallet conversion" description="Connection to the 'FINI Cycle stock at DC without pallet conversion' query in the workbook." type="5" refreshedVersion="8" background="1" saveData="1">
    <dbPr connection="Provider=Microsoft.Mashup.OleDb.1;Data Source=$Workbook$;Location=&quot;FINI Cycle stock at DC without pallet conversion&quot;;Extended Properties=&quot;&quot;" command="SELECT * FROM [FINI Cycle stock at DC without pallet conversion]"/>
  </connection>
  <connection id="9" xr16:uid="{82F85C2D-1FCA-48FA-B109-BF2EA7AE9A94}" keepAlive="1" name="Query - FINI Cycle stock at DC without pallet conversion1" description="Connection to the 'FINI Cycle stock at DC without pallet conversion' query in the workbook." type="5" refreshedVersion="0" background="1">
    <dbPr connection="Provider=Microsoft.Mashup.OleDb.1;Data Source=$Workbook$;Location=&quot;FINI Cycle stock at DC without pallet conversion&quot;;Extended Properties=&quot;&quot;" command="SELECT * FROM [FINI Cycle stock at DC without pallet conversion]"/>
  </connection>
  <connection id="10" xr16:uid="{2A1C9EF0-9292-4ADA-8B1F-058616A61B29}" keepAlive="1" name="Query - FINI grouping for wheel" description="Connection to the 'FINI grouping for wheel' query in the workbook." type="5" refreshedVersion="8" background="1" saveData="1">
    <dbPr connection="Provider=Microsoft.Mashup.OleDb.1;Data Source=$Workbook$;Location=&quot;FINI grouping for wheel&quot;;Extended Properties=&quot;&quot;" command="SELECT * FROM [FINI grouping for wheel]"/>
  </connection>
  <connection id="11" xr16:uid="{D66BF376-611F-4806-8D0A-4239E1121A33}" keepAlive="1" name="Query - FINI litres per pallets" description="Connection to the 'FINI litres per pallets' query in the workbook." type="5" refreshedVersion="0" background="1">
    <dbPr connection="Provider=Microsoft.Mashup.OleDb.1;Data Source=$Workbook$;Location=&quot;FINI litres per pallets&quot;;Extended Properties=&quot;&quot;" command="SELECT * FROM [FINI litres per pallets]"/>
  </connection>
  <connection id="12" xr16:uid="{BEA58A74-DF35-4595-901A-D5C0EF7B1460}" keepAlive="1" name="Query - FINI new recipe combination" description="Connection to the 'FINI new recipe combination' query in the workbook." type="5" refreshedVersion="8" background="1" saveData="1">
    <dbPr connection="Provider=Microsoft.Mashup.OleDb.1;Data Source=$Workbook$;Location=&quot;FINI new recipe combination&quot;;Extended Properties=&quot;&quot;" command="SELECT * FROM [FINI new recipe combination]"/>
    <extLst>
      <ext xmlns:x15="http://schemas.microsoft.com/office/spreadsheetml/2010/11/main" uri="{DE250136-89BD-433C-8126-D09CA5730AF9}">
        <x15:connection id="" excludeFromRefreshAll="1"/>
      </ext>
    </extLst>
  </connection>
  <connection id="13" xr16:uid="{E61D0E88-E50E-40E2-A750-3BF72308D317}" keepAlive="1" name="Query - FINI Planning calendar at P-site" description="Connection to the 'FINI Planning calendar at P-site' query in the workbook." type="5" refreshedVersion="8" background="1" saveData="1">
    <dbPr connection="Provider=Microsoft.Mashup.OleDb.1;Data Source=$Workbook$;Location=&quot;FINI Planning calendar at P-site&quot;;Extended Properties=&quot;&quot;" command="SELECT * FROM [FINI Planning calendar at P-site]"/>
    <extLst>
      <ext xmlns:x15="http://schemas.microsoft.com/office/spreadsheetml/2010/11/main" uri="{DE250136-89BD-433C-8126-D09CA5730AF9}">
        <x15:connection id="" excludeFromRefreshAll="1"/>
      </ext>
    </extLst>
  </connection>
  <connection id="14" xr16:uid="{880D118C-DBC1-4B1B-9AE2-4B71FD27B23B}" keepAlive="1" name="Query - FINI Planning calendar at P-site - no calendar" description="Connection to the 'FINI Planning calendar at P-site - no calendar' query in the workbook." type="5" refreshedVersion="8" background="1" saveData="1">
    <dbPr connection="Provider=Microsoft.Mashup.OleDb.1;Data Source=$Workbook$;Location=&quot;FINI Planning calendar at P-site - no calendar&quot;;Extended Properties=&quot;&quot;" command="SELECT * FROM [FINI Planning calendar at P-site - no calendar]"/>
  </connection>
  <connection id="15" xr16:uid="{062CBB10-FC3A-41D6-B340-BB50A9DBBB6A}" keepAlive="1" name="Query - FINI volume" description="Connection to the 'FINI volume' query in the workbook." type="5" refreshedVersion="0" background="1">
    <dbPr connection="Provider=Microsoft.Mashup.OleDb.1;Data Source=$Workbook$;Location=&quot;FINI volume&quot;;Extended Properties=&quot;&quot;" command="SELECT * FROM [FINI volume]"/>
  </connection>
  <connection id="16" xr16:uid="{FB4FB788-6E24-4E40-977D-320E73B0DD18}" keepAlive="1" name="Query - FINI___PACK_BOM_SAP_query" description="Connection to the 'FINI___PACK_BOM_SAP_query' query in the workbook." type="5" refreshedVersion="0" background="1">
    <dbPr connection="Provider=Microsoft.Mashup.OleDb.1;Data Source=$Workbook$;Location=FINI___PACK_BOM_SAP_query;Extended Properties=&quot;&quot;" command="SELECT * FROM [FINI___PACK_BOM_SAP_query]"/>
  </connection>
  <connection id="17" xr16:uid="{D5DFEFC6-E1FE-47B2-8649-6B108398F9D6}" keepAlive="1" name="Query - FINI_pallets_in_pieces_for_products_with_forecast" description="Connection to the 'FINI_pallets_in_pieces_for_products_with_forecast' query in the workbook." type="5" refreshedVersion="0" background="1">
    <dbPr connection="Provider=Microsoft.Mashup.OleDb.1;Data Source=$Workbook$;Location=FINI_pallets_in_pieces_for_products_with_forecast;Extended Properties=&quot;&quot;" command="SELECT * FROM [FINI_pallets_in_pieces_for_products_with_forecast]"/>
  </connection>
  <connection id="18" xr16:uid="{7890BD53-31C5-41F6-AD97-2A7586FBC677}" keepAlive="1" name="Query - FINI_pallets_layer_in_pieces_for_products_with_forecast__2" description="Connection to the 'FINI_pallets_layer_in_pieces_for_products_with_forecast__2' query in the workbook." type="5" refreshedVersion="0" background="1">
    <dbPr connection="Provider=Microsoft.Mashup.OleDb.1;Data Source=$Workbook$;Location=FINI_pallets_layer_in_pieces_for_products_with_forecast__2;Extended Properties=&quot;&quot;" command="SELECT * FROM [FINI_pallets_layer_in_pieces_for_products_with_forecast__2]"/>
  </connection>
  <connection id="19" xr16:uid="{E6477B5A-9407-47DC-80AB-3E680E57F14B}" keepAlive="1" name="Query - fnABC_Running" description="Connection to the 'fnABC_Running' query in the workbook." type="5" refreshedVersion="0" background="1">
    <dbPr connection="Provider=Microsoft.Mashup.OleDb.1;Data Source=$Workbook$;Location=fnABC_Running;Extended Properties=&quot;&quot;" command="SELECT * FROM [fnABC_Running]"/>
  </connection>
  <connection id="20" xr16:uid="{3FCD0AB4-470E-4B24-8D9B-E53B5CFC8C99}" keepAlive="1" name="Query - MKAL FINI" description="Connection to the 'MKAL FINI' query in the workbook." type="5" refreshedVersion="0" background="1" saveData="1">
    <dbPr connection="Provider=Microsoft.Mashup.OleDb.1;Data Source=$Workbook$;Location=&quot;MKAL FINI&quot;;Extended Properties=&quot;&quot;" command="SELECT * FROM [MKAL FINI]"/>
  </connection>
  <connection id="21" xr16:uid="{71633EA5-ED11-4D8E-AC6A-D69F484E9742}" keepAlive="1" name="Query - MKAL SEFI" description="Connection to the 'MKAL SEFI' query in the workbook." type="5" refreshedVersion="0" background="1">
    <dbPr connection="Provider=Microsoft.Mashup.OleDb.1;Data Source=$Workbook$;Location=&quot;MKAL SEFI&quot;;Extended Properties=&quot;&quot;" command="SELECT * FROM [MKAL SEFI]"/>
  </connection>
  <connection id="22" xr16:uid="{B744223B-EFDD-4D23-BF9D-0B96B7334E3D}" keepAlive="1" name="Query - Newrecipe" description="Connection to the 'Newrecipe' query in the workbook." type="5" refreshedVersion="0" background="1" saveData="1">
    <dbPr connection="Provider=Microsoft.Mashup.OleDb.1;Data Source=$Workbook$;Location=Newrecipe;Extended Properties=&quot;&quot;" command="SELECT * FROM [Newrecipe]"/>
  </connection>
  <connection id="23" xr16:uid="{7687A7B7-326F-4B87-9ED9-96FE47CD8221}" keepAlive="1" name="Query - PCK per filling line - THDP specific" description="Connection to the 'PCK per filling line - THDP specific' query in the workbook." type="5" refreshedVersion="8" background="1" saveData="1">
    <dbPr connection="Provider=Microsoft.Mashup.OleDb.1;Data Source=$Workbook$;Location=&quot;PCK per filling line - THDP specific&quot;;Extended Properties=&quot;&quot;" command="SELECT * FROM [PCK per filling line - THDP specific]"/>
  </connection>
  <connection id="24" xr16:uid="{7989EEA5-A73E-4E1E-9F68-DA3F6B861122}" keepAlive="1" name="Query - PCK per filling line - THDP specific(1)" description="Connection to the 'PCK per filling line - THDP specific' query in the workbook." type="5" refreshedVersion="0" background="1">
    <dbPr connection="Provider=Microsoft.Mashup.OleDb.1;Data Source=$Workbook$;Location=&quot;PCK per filling line - THDP specific&quot;;Extended Properties=&quot;&quot;" command="SELECT * FROM [PCK per filling line - THDP specific]"/>
  </connection>
  <connection id="25" xr16:uid="{8CD97530-B061-42E7-AD5B-2774FE715344}" keepAlive="1" name="Query - Production_versions___List" description="Connection to the 'Production_versions___List' query in the workbook." type="5" refreshedVersion="8" background="1" saveData="1">
    <dbPr connection="Provider=Microsoft.Mashup.OleDb.1;Data Source=$Workbook$;Location=Production_versions___List;Extended Properties=&quot;&quot;" command="SELECT * FROM [Production_versions___List]"/>
  </connection>
  <connection id="26" xr16:uid="{00235AE8-F645-4D02-8F19-31E38CA6437C}" keepAlive="1" name="Query - RECIPE_COMBINATION" description="Connection to the 'RECIPE_COMBINATION' query in the workbook." type="5" refreshedVersion="0" background="1">
    <dbPr connection="Provider=Microsoft.Mashup.OleDb.1;Data Source=$Workbook$;Location=RECIPE_COMBINATION;Extended Properties=&quot;&quot;" command="SELECT * FROM [RECIPE_COMBINATION]"/>
  </connection>
  <connection id="27" xr16:uid="{B43D89C9-E7A9-4D73-9D6C-333DAEFF3614}" keepAlive="1" name="Query - SAPLotsize" description="Connection to the 'SAPLotsize' query in the workbook." type="5" refreshedVersion="0" background="1">
    <dbPr connection="Provider=Microsoft.Mashup.OleDb.1;Data Source=$Workbook$;Location=SAPLotsize;Extended Properties=&quot;&quot;" command="SELECT * FROM [SAPLotsize]"/>
  </connection>
  <connection id="28" xr16:uid="{40FAB34D-7C80-41CC-988F-B23691D1D42F}" keepAlive="1" name="Query - SAPLotsizes -max" description="Connection to the 'SAPLotsizes -max' query in the workbook." type="5" refreshedVersion="0" background="1">
    <dbPr connection="Provider=Microsoft.Mashup.OleDb.1;Data Source=$Workbook$;Location=&quot;SAPLotsizes -max&quot;;Extended Properties=&quot;&quot;" command="SELECT * FROM [SAPLotsizes -max]"/>
  </connection>
  <connection id="29" xr16:uid="{24B70981-6752-4DD0-BE25-436C95824F47}" keepAlive="1" name="Query - SEFI forecast" description="Connection to the 'SEFI forecast' query in the workbook." type="5" refreshedVersion="0" background="1">
    <dbPr connection="Provider=Microsoft.Mashup.OleDb.1;Data Source=$Workbook$;Location=&quot;SEFI forecast&quot;;Extended Properties=&quot;&quot;" command="SELECT * FROM [SEFI forecast]"/>
  </connection>
  <connection id="30" xr16:uid="{8E926F00-C7AE-4135-9B2E-14CDBF131901}" keepAlive="1" name="Query - SEFI frequency" description="Connection to the 'SEFI frequency' query in the workbook." type="5" refreshedVersion="0" background="1">
    <dbPr connection="Provider=Microsoft.Mashup.OleDb.1;Data Source=$Workbook$;Location=&quot;SEFI frequency&quot;;Extended Properties=&quot;&quot;" command="SELECT * FROM [SEFI frequency]"/>
  </connection>
  <connection id="31" xr16:uid="{9BF78BBD-124A-4240-9449-5AF7F3794367}" keepAlive="1" name="Query - SEFI UoM conversion" description="Connection to the 'SEFI UoM conversion' query in the workbook." type="5" refreshedVersion="0" background="1" saveData="1">
    <dbPr connection="Provider=Microsoft.Mashup.OleDb.1;Data Source=$Workbook$;Location=&quot;SEFI UoM conversion&quot;;Extended Properties=&quot;&quot;" command="SELECT * FROM [SEFI UoM conversion]"/>
  </connection>
  <connection id="32" xr16:uid="{0BE2103D-BDC3-4F39-98D3-0F937E2BC4B3}" keepAlive="1" name="Query - SEFI-recipe forecast" description="Connection to the 'SEFI-recipe forecast' query in the workbook." type="5" refreshedVersion="0" background="1">
    <dbPr connection="Provider=Microsoft.Mashup.OleDb.1;Data Source=$Workbook$;Location=&quot;SEFI-recipe forecast&quot;;Extended Properties=&quot;&quot;" command="SELECT * FROM [SEFI-recipe forecast]"/>
  </connection>
  <connection id="33" xr16:uid="{4B31DD57-9ED1-43A4-8127-7B20EF3CA3AF}" keepAlive="1" name="Query - Site" description="Connection to the 'Site' query in the workbook." type="5" refreshedVersion="0" background="1" saveData="1">
    <dbPr connection="Provider=Microsoft.Mashup.OleDb.1;Data Source=$Workbook$;Location=Site;Extended Properties=&quot;&quot;" command="SELECT * FROM [Site]"/>
  </connection>
  <connection id="34" xr16:uid="{DCA24982-3E9F-480F-A92F-70A7CC10B567}" keepAlive="1" name="Query - SPK" description="Connection to the 'SPK' query in the workbook." type="5" refreshedVersion="0" background="1">
    <dbPr connection="Provider=Microsoft.Mashup.OleDb.1;Data Source=$Workbook$;Location=SPK;Extended Properties=&quot;&quot;" command="SELECT * FROM [SPK]"/>
  </connection>
  <connection id="35" xr16:uid="{3E129A05-D30B-43E8-9D0B-E358ED4B616D}" keepAlive="1" name="Query - Subgroups - Lot size" description="Connection to the 'Subgroups - Lot size' query in the workbook." type="5" refreshedVersion="0" background="1" saveData="1">
    <dbPr connection="Provider=Microsoft.Mashup.OleDb.1;Data Source=$Workbook$;Location=&quot;Subgroups - Lot size&quot;;Extended Properties=&quot;&quot;" command="SELECT * FROM [Subgroups - Lot size]"/>
  </connection>
  <connection id="36" xr16:uid="{8C7DA2B4-E297-4633-9262-0892F8F191A7}" keepAlive="1" name="Query - Subgroups - max combinations" description="Connection to the 'Subgroups - max combinations' query in the workbook." type="5" refreshedVersion="8" background="1" saveData="1">
    <dbPr connection="Provider=Microsoft.Mashup.OleDb.1;Data Source=$Workbook$;Location=&quot;Subgroups - max combinations&quot;;Extended Properties=&quot;&quot;" command="SELECT * FROM [Subgroups - max combinations]"/>
  </connection>
  <connection id="37" xr16:uid="{D203B9AB-F705-4877-A5C8-912C0AB03101}" keepAlive="1" name="Query - Subgroups - results" description="Connection to the 'Subgroups - results' query in the workbook." type="5" refreshedVersion="0" background="1">
    <dbPr connection="Provider=Microsoft.Mashup.OleDb.1;Data Source=$Workbook$;Location=&quot;Subgroups - results&quot;;Extended Properties=&quot;&quot;" command="SELECT * FROM [Subgroups - results]"/>
  </connection>
  <connection id="38" xr16:uid="{3676D537-FF53-4668-82D8-1D404D61B43B}" keepAlive="1" name="Query - Tanksize" description="Connection to the 'Tanksize' query in the workbook." type="5" refreshedVersion="8" background="1" saveData="1">
    <dbPr connection="Provider=Microsoft.Mashup.OleDb.1;Data Source=$Workbook$;Location=Tanksize;Extended Properties=&quot;&quot;" command="SELECT * FROM [Tanksize]"/>
  </connection>
  <connection id="39" xr16:uid="{FA67C69A-6DC1-4695-9E0E-4DD77ED6A029}" keepAlive="1" name="Query - Weeks_to_consider" description="Connection to the 'Weeks_to_consider' query in the workbook." type="5" refreshedVersion="0" background="1">
    <dbPr connection="Provider=Microsoft.Mashup.OleDb.1;Data Source=$Workbook$;Location=Weeks_to_consider;Extended Properties=&quot;&quot;" command="SELECT * FROM [Weeks_to_consider]"/>
  </connection>
  <connection id="40" xr16:uid="{9C0BA205-F4E9-42EB-9944-60BCA5B50462}" keepAlive="1" name="Query - ZPSOP01___FINI_forecast_litres" description="Connection to the 'ZPSOP01___FINI_forecast_litres' query in the workbook." type="5" refreshedVersion="8" background="1" saveData="1">
    <dbPr connection="Provider=Microsoft.Mashup.OleDb.1;Data Source=$Workbook$;Location=ZPSOP01___FINI_forecast_litres;Extended Properties=&quot;&quot;" command="SELECT * FROM [ZPSOP01___FINI_forecast_litres]"/>
  </connection>
  <connection id="41" xr16:uid="{D66C3F33-7E06-4F82-957E-5BD0006779C8}" keepAlive="1" name="Query - ZPSOP01___FINI_forecast_litres_grouped" description="Connection to the 'ZPSOP01___FINI_forecast_litres_grouped' query in the workbook." type="5" refreshedVersion="8" background="1" saveData="1">
    <dbPr connection="Provider=Microsoft.Mashup.OleDb.1;Data Source=$Workbook$;Location=ZPSOP01___FINI_forecast_litres_grouped;Extended Properties=&quot;&quot;" command="SELECT * FROM [ZPSOP01___FINI_forecast_litres_group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<sst xmlns="http://schemas.openxmlformats.org/spreadsheetml/2006/main" count="30533" uniqueCount="4495">
  <si>
    <t>Site</t>
  </si>
  <si>
    <t>THDP</t>
  </si>
  <si>
    <t>Factor to apply to SEFI batch size to calculate RoC</t>
  </si>
  <si>
    <t>As per information extracted on</t>
  </si>
  <si>
    <t>Total</t>
  </si>
  <si>
    <t>Row Labels</t>
  </si>
  <si>
    <t>Distinct Count of SEFI</t>
  </si>
  <si>
    <t>Count of Material</t>
  </si>
  <si>
    <t>Sum of Total FINI forecast (litres)</t>
  </si>
  <si>
    <t>Sum of Total FINI forecast (litres)2</t>
  </si>
  <si>
    <t>01W. Weekly</t>
  </si>
  <si>
    <t>02W. Every two weeks</t>
  </si>
  <si>
    <t>03W. Every three weeks</t>
  </si>
  <si>
    <t>04W. Every four weeks</t>
  </si>
  <si>
    <t>05W. Every five weeks</t>
  </si>
  <si>
    <t>06W. Every six weeks</t>
  </si>
  <si>
    <t>08W. Every two months</t>
  </si>
  <si>
    <t>12W. Every 3 months</t>
  </si>
  <si>
    <t>16W. Every four months</t>
  </si>
  <si>
    <t>24W. Every 6 months</t>
  </si>
  <si>
    <t>52W. Once a year</t>
  </si>
  <si>
    <t>999.Not possible to determine</t>
  </si>
  <si>
    <t>Grand Total</t>
  </si>
  <si>
    <t>Wheel related</t>
  </si>
  <si>
    <t>Measure</t>
  </si>
  <si>
    <t>SEFIs</t>
  </si>
  <si>
    <t>FINIs</t>
  </si>
  <si>
    <t>Sales forecast</t>
  </si>
  <si>
    <t>Value</t>
  </si>
  <si>
    <t>% over total</t>
  </si>
  <si>
    <t>Show the value of PV-1 (fix lot size assigned in SAP) if Selected PV is not informed</t>
  </si>
  <si>
    <t>RoC</t>
  </si>
  <si>
    <t>Production Frequency</t>
  </si>
  <si>
    <t>SEFI</t>
  </si>
  <si>
    <t>SEFI description</t>
  </si>
  <si>
    <t>Lot size considered</t>
  </si>
  <si>
    <t>Number of batches</t>
  </si>
  <si>
    <t>Batches per week</t>
  </si>
  <si>
    <t>Material</t>
  </si>
  <si>
    <t>Material Description</t>
  </si>
  <si>
    <t>Pallet in litres</t>
  </si>
  <si>
    <t>MRPCn</t>
  </si>
  <si>
    <t>Can code</t>
  </si>
  <si>
    <t>Can description</t>
  </si>
  <si>
    <t>Total FINI forecast (litres)</t>
  </si>
  <si>
    <t>Avg daily demand</t>
  </si>
  <si>
    <t>SEFI-recipe forecast</t>
  </si>
  <si>
    <t>SEFI Forecast (litres)</t>
  </si>
  <si>
    <t>% FINI - recipe</t>
  </si>
  <si>
    <t>SEFI qty as per % FINI-recipe</t>
  </si>
  <si>
    <t>Recipe Combination</t>
  </si>
  <si>
    <t>RESET recipe combination</t>
  </si>
  <si>
    <t>Volume</t>
  </si>
  <si>
    <t>PCK code</t>
  </si>
  <si>
    <t>Decoration type</t>
  </si>
  <si>
    <t>Can Shape</t>
  </si>
  <si>
    <t>Filling line</t>
  </si>
  <si>
    <t>Already produced or future transfer in</t>
  </si>
  <si>
    <t>RoC 1 full SEFI batch</t>
  </si>
  <si>
    <t>FINI/P-site</t>
  </si>
  <si>
    <t>SEFI/Plant</t>
  </si>
  <si>
    <t>Subgroup</t>
  </si>
  <si>
    <t>Selected PV</t>
  </si>
  <si>
    <t>SEFI/Plant/Recipe/Subgroup</t>
  </si>
  <si>
    <t>% forecast within subgroup</t>
  </si>
  <si>
    <t>Sefi qty as per recipe subgroup</t>
  </si>
  <si>
    <t>RoC selected PV</t>
  </si>
  <si>
    <t>SEFI litres lot size of selected PV</t>
  </si>
  <si>
    <t>Pallets as per subgroup</t>
  </si>
  <si>
    <t>Column1</t>
  </si>
  <si>
    <t>PV - 1</t>
  </si>
  <si>
    <t>PV - 2</t>
  </si>
  <si>
    <t>PV - 3</t>
  </si>
  <si>
    <t>PV - 4</t>
  </si>
  <si>
    <t>PV - 5</t>
  </si>
  <si>
    <t>PV - 6</t>
  </si>
  <si>
    <t>PV - 7</t>
  </si>
  <si>
    <t>PV - 8</t>
  </si>
  <si>
    <t>PV - 9</t>
  </si>
  <si>
    <t>PV - 10</t>
  </si>
  <si>
    <t>PV - 11</t>
  </si>
  <si>
    <t>PV - 12</t>
  </si>
  <si>
    <t>PV - 13</t>
  </si>
  <si>
    <t>PV - 14</t>
  </si>
  <si>
    <t>PV - 15</t>
  </si>
  <si>
    <t>PV - 16</t>
  </si>
  <si>
    <t>New recipe subgroup</t>
  </si>
  <si>
    <t>C2955423 0000100 VB MIP BIM C3 001</t>
  </si>
  <si>
    <t>5997210</t>
  </si>
  <si>
    <t>QR PUTUNUPAR EASY UBO WHITE/W05 10L</t>
  </si>
  <si>
    <t>144</t>
  </si>
  <si>
    <t>2478115</t>
  </si>
  <si>
    <t>CAN PLS 10L QR PUTUNUPAR EASY SPRAY MOZ</t>
  </si>
  <si>
    <t>x</t>
  </si>
  <si>
    <t>PCK_0522</t>
  </si>
  <si>
    <t>IML</t>
  </si>
  <si>
    <t>ROUND - TAPERED</t>
  </si>
  <si>
    <t>1  2  3  4   -  6</t>
  </si>
  <si>
    <t>5997210/THDP</t>
  </si>
  <si>
    <t>4997218/THDP</t>
  </si>
  <si>
    <t>5319627</t>
  </si>
  <si>
    <t>WX PLAFOND COUVRANT 3L</t>
  </si>
  <si>
    <t>2664367</t>
  </si>
  <si>
    <t>CAN PLS 3L WX PLAFOND COUVRANT EHA</t>
  </si>
  <si>
    <t>0</t>
  </si>
  <si>
    <t>PCK_0244</t>
  </si>
  <si>
    <t>RECTANGULAR - TAPERED</t>
  </si>
  <si>
    <t xml:space="preserve"> -   -  3   -   -   -</t>
  </si>
  <si>
    <t>5319627/THDP</t>
  </si>
  <si>
    <t>5904299</t>
  </si>
  <si>
    <t>WX PLAFOND CEHULA 3L</t>
  </si>
  <si>
    <t>2565558</t>
  </si>
  <si>
    <t>CAN PLS 3L WX V PLAFOND CEHULA EHA</t>
  </si>
  <si>
    <t>5904299/THDP</t>
  </si>
  <si>
    <t>5944950</t>
  </si>
  <si>
    <t>NH LS PRIMER 4+1L</t>
  </si>
  <si>
    <t>2931213</t>
  </si>
  <si>
    <t>CAN PLS 7.5L NH LS Primer 4+1L MOZ</t>
  </si>
  <si>
    <t>A</t>
  </si>
  <si>
    <t>PCK_0555</t>
  </si>
  <si>
    <t>1  2  3   -   -  6</t>
  </si>
  <si>
    <t>5944950/THDP</t>
  </si>
  <si>
    <t>5275591</t>
  </si>
  <si>
    <t>VT LINABI EVOBEPOTI 10L</t>
  </si>
  <si>
    <t>2575303</t>
  </si>
  <si>
    <t>CAN PLS 10L VT LINABI EVOBEPOTI MAT EHA</t>
  </si>
  <si>
    <t>E</t>
  </si>
  <si>
    <t>PCK_2741</t>
  </si>
  <si>
    <t>OVAL - TAPERED</t>
  </si>
  <si>
    <t>1  2   -   -   -   -</t>
  </si>
  <si>
    <t>5275591/THDP</t>
  </si>
  <si>
    <t>5341430</t>
  </si>
  <si>
    <t>VT UMOVINUR MUR&amp;PLAFOND 5L</t>
  </si>
  <si>
    <t>2187513</t>
  </si>
  <si>
    <t>CAN PLS 5L VT UMOVINUR MUR &amp; PLAFOND MP</t>
  </si>
  <si>
    <t>PCK_2732</t>
  </si>
  <si>
    <t xml:space="preserve"> -  2   -   -   -   -</t>
  </si>
  <si>
    <t>5341430/THDP</t>
  </si>
  <si>
    <t>5019856</t>
  </si>
  <si>
    <t>VT LINABI EVOBEPOTI 5L</t>
  </si>
  <si>
    <t>234766</t>
  </si>
  <si>
    <t>CAN PLS 5L BLANK PCK2732 ZIL WHITE</t>
  </si>
  <si>
    <t>NONE</t>
  </si>
  <si>
    <t>5019856/THDP</t>
  </si>
  <si>
    <t>5488771</t>
  </si>
  <si>
    <t>JN GEZUFUPUTU S/C FUKOSIDODUN 0,5L</t>
  </si>
  <si>
    <t>2015236</t>
  </si>
  <si>
    <t>CAN MTL 0,5L BLANK PCK0404SOU TRI CLEAR</t>
  </si>
  <si>
    <t>I</t>
  </si>
  <si>
    <t>PCK_0404</t>
  </si>
  <si>
    <t>ROUND</t>
  </si>
  <si>
    <t xml:space="preserve"> -   -   -   -  5   -</t>
  </si>
  <si>
    <t>5488771/THDP</t>
  </si>
  <si>
    <t>5927186</t>
  </si>
  <si>
    <t>JN GEZUFUPUTU S/C FUKOSIDODUN 10 L</t>
  </si>
  <si>
    <t>2774633</t>
  </si>
  <si>
    <t>CAN MTL 10L JN SAZOM SC FUKOSIDODUN</t>
  </si>
  <si>
    <t>M</t>
  </si>
  <si>
    <t>PCK_0099</t>
  </si>
  <si>
    <t>DIRECT PRINT</t>
  </si>
  <si>
    <t>5927186/THDP</t>
  </si>
  <si>
    <t>5948840</t>
  </si>
  <si>
    <t>HZ UMOVINUR MUUR&amp;RUBE WIT 2,5L</t>
  </si>
  <si>
    <t>2718414</t>
  </si>
  <si>
    <t>CAN PLS 2.5L HZ UMOVINUR MUUR&amp;RUBE WIT</t>
  </si>
  <si>
    <t>N</t>
  </si>
  <si>
    <t>PCK_2529</t>
  </si>
  <si>
    <t xml:space="preserve"> -   -  3   -   -  6</t>
  </si>
  <si>
    <t>5948840/THDP</t>
  </si>
  <si>
    <t>5336261</t>
  </si>
  <si>
    <t>NH MUR MAT 4+1L</t>
  </si>
  <si>
    <t>2312362</t>
  </si>
  <si>
    <t>CAN PLS 5L NH MUR BINNEN MAT WIT 4+1L</t>
  </si>
  <si>
    <t>P</t>
  </si>
  <si>
    <t>PCK_2513</t>
  </si>
  <si>
    <t>5336261/THDP</t>
  </si>
  <si>
    <t>5774814</t>
  </si>
  <si>
    <t>HZ UMOVINUR MUUR&amp;RUBE WIT 5L</t>
  </si>
  <si>
    <t>2621520</t>
  </si>
  <si>
    <t>CAN PLS 5L HZ UMOVINUR MUUR&amp;RUBE WIT</t>
  </si>
  <si>
    <t>5774814/THDP</t>
  </si>
  <si>
    <t>5600017</t>
  </si>
  <si>
    <t>LZ IBOGED. MUURVERF WIT 5L</t>
  </si>
  <si>
    <t>2123274</t>
  </si>
  <si>
    <t>CAN PLS 5L LZ IBOGED. MUURVERF WIT</t>
  </si>
  <si>
    <t>5600017/THDP</t>
  </si>
  <si>
    <t>5834030</t>
  </si>
  <si>
    <t>NH PRIMER 4+1L</t>
  </si>
  <si>
    <t>2015482</t>
  </si>
  <si>
    <t>CAN PLS 7.5L BLANK MOZ COL12 GREY ILO</t>
  </si>
  <si>
    <t>5834030/THDP</t>
  </si>
  <si>
    <t>5617274</t>
  </si>
  <si>
    <t>WX PLAFOND COUVRANT 6L</t>
  </si>
  <si>
    <t>2470747</t>
  </si>
  <si>
    <t>CAN PLS 6L WX PLAFOND COUVRANT EHA</t>
  </si>
  <si>
    <t>S</t>
  </si>
  <si>
    <t>PCK_0571</t>
  </si>
  <si>
    <t>5617274/THDP</t>
  </si>
  <si>
    <t>5501111</t>
  </si>
  <si>
    <t>WX PLAFOND CEHULA 6L</t>
  </si>
  <si>
    <t>2182932</t>
  </si>
  <si>
    <t>CAN PLS 6L WX PLAFOND CEHULA EHA</t>
  </si>
  <si>
    <t>5501111/THDP</t>
  </si>
  <si>
    <t>5521962</t>
  </si>
  <si>
    <t>JN GEZUFUPUTU S/C FUKOSIDODUN 2,5 L</t>
  </si>
  <si>
    <t>2176231</t>
  </si>
  <si>
    <t>CAN PLS 2.5L JN ARCH SC FUKOSIDODUN</t>
  </si>
  <si>
    <t>T</t>
  </si>
  <si>
    <t>5521962/THDP</t>
  </si>
  <si>
    <t>5565008</t>
  </si>
  <si>
    <t>JN GEZUFUPUTU S/C FUKOSIDODUN 5 L</t>
  </si>
  <si>
    <t>2334758</t>
  </si>
  <si>
    <t>CAN PLS 7.5L JN ARCH SC FUKOSIDODUN</t>
  </si>
  <si>
    <t>5565008/THDP</t>
  </si>
  <si>
    <t>5480142</t>
  </si>
  <si>
    <t>NH PRIMER 8+2L</t>
  </si>
  <si>
    <t>2797368</t>
  </si>
  <si>
    <t>CAN PLS 10L NH PRIMER 8+2L MOZ</t>
  </si>
  <si>
    <t>U</t>
  </si>
  <si>
    <t>5480142/THDP</t>
  </si>
  <si>
    <t>5310354</t>
  </si>
  <si>
    <t>NH LS PRIMER 8+2L</t>
  </si>
  <si>
    <t>2714188</t>
  </si>
  <si>
    <t>CAN PLS 10L NH LS Primer 8+2L MOZ</t>
  </si>
  <si>
    <t>V</t>
  </si>
  <si>
    <t>5310354/THDP</t>
  </si>
  <si>
    <t>5206497</t>
  </si>
  <si>
    <t>JN GEZUFUPUTU S/C OSUGEVONU. 10L+20%=12L</t>
  </si>
  <si>
    <t>2496345</t>
  </si>
  <si>
    <t>CAN MTL 15L JN SC FUKOSIDODUN</t>
  </si>
  <si>
    <t>W</t>
  </si>
  <si>
    <t>PCK_0101</t>
  </si>
  <si>
    <t>5206497/THDP</t>
  </si>
  <si>
    <t>5331274</t>
  </si>
  <si>
    <t>HZ UMOVINUR MUUR&amp;RUBE WIT+25% 10L</t>
  </si>
  <si>
    <t>2756560</t>
  </si>
  <si>
    <t>CAN PLS 12.5L HZ UMOVINUR M&amp;PL WIT +25%</t>
  </si>
  <si>
    <t>Y</t>
  </si>
  <si>
    <t>PCK_0523</t>
  </si>
  <si>
    <t>5331274/THDP</t>
  </si>
  <si>
    <t>5155093</t>
  </si>
  <si>
    <t>HZ UMOVINUR MUUR&amp;RUBE WIT 10L</t>
  </si>
  <si>
    <t>2785998</t>
  </si>
  <si>
    <t>CAN PLS 10L HZ UMOVINUR MUUR&amp;RUBE WIT</t>
  </si>
  <si>
    <t>Z</t>
  </si>
  <si>
    <t>5155093/THDP</t>
  </si>
  <si>
    <t>C2955423 E784225 VB MIP BIM C3 001</t>
  </si>
  <si>
    <t>5477733</t>
  </si>
  <si>
    <t>VK OLUHONIS MAT BLANC 5L</t>
  </si>
  <si>
    <t>%</t>
  </si>
  <si>
    <t>5477733/THDP</t>
  </si>
  <si>
    <t>4035382/THDP</t>
  </si>
  <si>
    <t>5195814</t>
  </si>
  <si>
    <t>S1 PEINT MATE MURS ET PLAFONDS BLANC 5L</t>
  </si>
  <si>
    <t>2252284</t>
  </si>
  <si>
    <t>CAN PLS 7.5L BLANK MOZ IML GREY 0555 ILO</t>
  </si>
  <si>
    <t>5195814/THDP</t>
  </si>
  <si>
    <t>5733073</t>
  </si>
  <si>
    <t>JN PLAFOND FINITION HINIBEBE 2,5 L</t>
  </si>
  <si>
    <t>2531081</t>
  </si>
  <si>
    <t>CAN PLS 2.5L JN PLAFOND FINI NIPO EHA</t>
  </si>
  <si>
    <t>5733073/THDP</t>
  </si>
  <si>
    <t>5015343</t>
  </si>
  <si>
    <t>VT SR W+D WEISS 2,5L</t>
  </si>
  <si>
    <t>2052448</t>
  </si>
  <si>
    <t>CAN MTL 2,5L BLANK PCK0095 TRI BUFF</t>
  </si>
  <si>
    <t>1</t>
  </si>
  <si>
    <t>PCK_0095</t>
  </si>
  <si>
    <t>5015343/THDP</t>
  </si>
  <si>
    <t>5514940</t>
  </si>
  <si>
    <t>JN PLAFOND FINITION HINIBEBE 5L</t>
  </si>
  <si>
    <t>2526804</t>
  </si>
  <si>
    <t>CAN PLS 5L JN PLAFOND FINI NIPO EHA</t>
  </si>
  <si>
    <t>?</t>
  </si>
  <si>
    <t>5514940/THDP</t>
  </si>
  <si>
    <t>5261509</t>
  </si>
  <si>
    <t>JN BLANC FACILE MAT 5L</t>
  </si>
  <si>
    <t>2442445</t>
  </si>
  <si>
    <t>CAN PLS 5L JN BLANC FACILE EHA</t>
  </si>
  <si>
    <t>5261509/THDP</t>
  </si>
  <si>
    <t>5665071</t>
  </si>
  <si>
    <t>JN BLANC SIMPLE MAT 5L</t>
  </si>
  <si>
    <t>2888646</t>
  </si>
  <si>
    <t>CAN PLS 5L JN BLANC SIMPLE MAT EHA</t>
  </si>
  <si>
    <t>5665071/THDP</t>
  </si>
  <si>
    <t>5241921</t>
  </si>
  <si>
    <t>XJ BEPUKOHI MAT 001 10L</t>
  </si>
  <si>
    <t>2367535</t>
  </si>
  <si>
    <t>CAN PLS 10L XJ BEPUKOHI MAT MOZ</t>
  </si>
  <si>
    <t>5241921/THDP</t>
  </si>
  <si>
    <t>5341624</t>
  </si>
  <si>
    <t>JJ CL SUSUHEKER W RM WEISS 12,5L</t>
  </si>
  <si>
    <t>234764</t>
  </si>
  <si>
    <t>CAN PLS 12,5L BLANK PCK2810 ZIL WHITE</t>
  </si>
  <si>
    <t>C</t>
  </si>
  <si>
    <t>PCK_2810</t>
  </si>
  <si>
    <t>5341624/THDP</t>
  </si>
  <si>
    <t>5116781</t>
  </si>
  <si>
    <t>JJ CL SUSUHEKER W RM WEISS 15L</t>
  </si>
  <si>
    <t>2705561</t>
  </si>
  <si>
    <t>CAN PLS 15L BLANK PCK0212 ZIL WHITE</t>
  </si>
  <si>
    <t>PCK_0212</t>
  </si>
  <si>
    <t>5116781/THDP</t>
  </si>
  <si>
    <t>5431003</t>
  </si>
  <si>
    <t>VK OLUHONIS MAT BLANC 1 L</t>
  </si>
  <si>
    <t>2321449</t>
  </si>
  <si>
    <t>CAN MTL 1L BLANK PCK2748 ICE FULL PET</t>
  </si>
  <si>
    <t>H</t>
  </si>
  <si>
    <t>PCK_2748</t>
  </si>
  <si>
    <t>5431003/THDP</t>
  </si>
  <si>
    <t>5889268</t>
  </si>
  <si>
    <t>QR ISORA CLASSIC MAT BLANC 1 L</t>
  </si>
  <si>
    <t>2784359</t>
  </si>
  <si>
    <t>CAN MTL 1L BLANK 108X132 CW</t>
  </si>
  <si>
    <t>K</t>
  </si>
  <si>
    <t>PCK_0090</t>
  </si>
  <si>
    <t>5889268/THDP</t>
  </si>
  <si>
    <t>5954088</t>
  </si>
  <si>
    <t>NH KUMOCIKU MAT BLANC 1L</t>
  </si>
  <si>
    <t>5954088/THDP</t>
  </si>
  <si>
    <t>5350771</t>
  </si>
  <si>
    <t>EFIZU POWER MUR &amp; PLAFOND 8L</t>
  </si>
  <si>
    <t>2924085</t>
  </si>
  <si>
    <t>CAN PLS 8L VT EFIZU POWER EHA</t>
  </si>
  <si>
    <t>L</t>
  </si>
  <si>
    <t>5350771/THDP</t>
  </si>
  <si>
    <t>5682462</t>
  </si>
  <si>
    <t>JN BLANC FACILE MAT BLANC BW 10L</t>
  </si>
  <si>
    <t>2739119</t>
  </si>
  <si>
    <t>CAN PLS 10L JN BLANC GIZ GEN BLC BW</t>
  </si>
  <si>
    <t>5682462/THDP</t>
  </si>
  <si>
    <t>5775483</t>
  </si>
  <si>
    <t>JN BLANC SIMPLE MAT 10L</t>
  </si>
  <si>
    <t>2145429</t>
  </si>
  <si>
    <t>CAN PLS 10L JN BLC SIMPLE MAT BLC BW</t>
  </si>
  <si>
    <t>5775483/THDP</t>
  </si>
  <si>
    <t>5356303</t>
  </si>
  <si>
    <t>QR ISORA CLASSIC MAT BLANC 5 L</t>
  </si>
  <si>
    <t>5356303/THDP</t>
  </si>
  <si>
    <t>5673017</t>
  </si>
  <si>
    <t>NH KUMOCIKU MAT BLANC 5L</t>
  </si>
  <si>
    <t>5673017/THDP</t>
  </si>
  <si>
    <t>5455725</t>
  </si>
  <si>
    <t>JJ ENOTOFEN BLC 3L</t>
  </si>
  <si>
    <t>2653816</t>
  </si>
  <si>
    <t>CAN PLS 4L BLANK MOZ COL12 GREY / LISU</t>
  </si>
  <si>
    <t>Q</t>
  </si>
  <si>
    <t>PCK_0545</t>
  </si>
  <si>
    <t>5455725/THDP</t>
  </si>
  <si>
    <t>5949932</t>
  </si>
  <si>
    <t>IY DIGALEVE MAT WHITE 0000 4 L</t>
  </si>
  <si>
    <t>2596914</t>
  </si>
  <si>
    <t>CAN PLS 4L IY DIGALEVE MAT WHITE 0000</t>
  </si>
  <si>
    <t>5949932/THDP</t>
  </si>
  <si>
    <t>5372193</t>
  </si>
  <si>
    <t>S1 PEINT MATE MURS ET PLAFONDS BLANC 1L</t>
  </si>
  <si>
    <t>R</t>
  </si>
  <si>
    <t>5372193/THDP</t>
  </si>
  <si>
    <t>5816376</t>
  </si>
  <si>
    <t>JN BLANC FACILE MAT BLANC BW 0,5L</t>
  </si>
  <si>
    <t>2471381</t>
  </si>
  <si>
    <t>CAN MTL 0,5L BLANK PCK0404RL TRI CLEAR</t>
  </si>
  <si>
    <t>5816376/THDP</t>
  </si>
  <si>
    <t>5012225</t>
  </si>
  <si>
    <t>JN BLANC FACILE MAT 2,5L</t>
  </si>
  <si>
    <t>2876320</t>
  </si>
  <si>
    <t>CAN PLS 2.5L JN LE BLANC FACILE EHA</t>
  </si>
  <si>
    <t>5012225/THDP</t>
  </si>
  <si>
    <t>5673495</t>
  </si>
  <si>
    <t>JN BLANC SIMPLE MAT 2,5L</t>
  </si>
  <si>
    <t>2281674</t>
  </si>
  <si>
    <t>CAN PLS 2.5L JN BLC SIMPLE MAT BLC BW</t>
  </si>
  <si>
    <t>5673495/THDP</t>
  </si>
  <si>
    <t>5507211</t>
  </si>
  <si>
    <t>JN PLAFOND FINITION HINIBEBE 2,5L+20%</t>
  </si>
  <si>
    <t>2717404</t>
  </si>
  <si>
    <t>CAN PLS 3L JN PLAFOND FINI NIPO EHA</t>
  </si>
  <si>
    <t>5507211/THDP</t>
  </si>
  <si>
    <t>5721758</t>
  </si>
  <si>
    <t>JN PLAFOND FINITION HINIBEBE 5 +1 L</t>
  </si>
  <si>
    <t>2954415</t>
  </si>
  <si>
    <t>CAN PLS 6L JN PLAFOND FINI NIPO EHA</t>
  </si>
  <si>
    <t>5721758/THDP</t>
  </si>
  <si>
    <t>5873804</t>
  </si>
  <si>
    <t>S1 PEINT MATE MURS ET PLAFONDS BLANC 10L</t>
  </si>
  <si>
    <t>2575087</t>
  </si>
  <si>
    <t>CAN PLS 10L BLANK MOZ IML GREY 0522 ILO</t>
  </si>
  <si>
    <t>X</t>
  </si>
  <si>
    <t>5873804/THDP</t>
  </si>
  <si>
    <t>5238394</t>
  </si>
  <si>
    <t>IY DIGALEVE MAT WHITE 0000 10 L</t>
  </si>
  <si>
    <t>2459838</t>
  </si>
  <si>
    <t>CAN PLS 10L IY DIGALEVE MAT WHITE 0000</t>
  </si>
  <si>
    <t>5238394/THDP</t>
  </si>
  <si>
    <t>5341418</t>
  </si>
  <si>
    <t>JJ ENOTOFEN BLC 10L</t>
  </si>
  <si>
    <t>2922777</t>
  </si>
  <si>
    <t>CAN PLS 12.5L BLANK MOZ COL12 GREY ILO</t>
  </si>
  <si>
    <t>5341418/THDP</t>
  </si>
  <si>
    <t>5662693</t>
  </si>
  <si>
    <t>JN BLANC FACILE MAT BLANC BW 10L+20%</t>
  </si>
  <si>
    <t>2795789</t>
  </si>
  <si>
    <t>CAN PLS 12.5L JN BLANC GIZ GEN BLC BW</t>
  </si>
  <si>
    <t>5662693/THDP</t>
  </si>
  <si>
    <t>5773714</t>
  </si>
  <si>
    <t>VK OLUHONIS MAT BLANC 15L</t>
  </si>
  <si>
    <t>2871568</t>
  </si>
  <si>
    <t>CAN PLS 15L BLANK MOZ COL12 GREY ILO</t>
  </si>
  <si>
    <t>PCK_0524</t>
  </si>
  <si>
    <t>5773714/THDP</t>
  </si>
  <si>
    <t>5643744</t>
  </si>
  <si>
    <t>QR ISORA CLASSIC MAT BLANC 15 L</t>
  </si>
  <si>
    <t>2317333</t>
  </si>
  <si>
    <t>CAN PLS 15L BLANK MOZ IML GREY 0524 ILO</t>
  </si>
  <si>
    <t>5643744/THDP</t>
  </si>
  <si>
    <t>5389771</t>
  </si>
  <si>
    <t>IY DIGALEVE MAT WHITE 0000 15 L</t>
  </si>
  <si>
    <t>2265642</t>
  </si>
  <si>
    <t>CAN PLS 15L IY DIGALEVE MAT WHITE 0000</t>
  </si>
  <si>
    <t>5389771/THDP</t>
  </si>
  <si>
    <t>5884670</t>
  </si>
  <si>
    <t>NH KUMOCIKU MAT BLANC 15L</t>
  </si>
  <si>
    <t>5884670/THDP</t>
  </si>
  <si>
    <t>C8357594 RAL9010 VB MIP BIM C3 001 W</t>
  </si>
  <si>
    <t>5870432</t>
  </si>
  <si>
    <t>JJ CL SUSUHEKER W RAL 9010 12,5L</t>
  </si>
  <si>
    <t>5870432/THDP</t>
  </si>
  <si>
    <t>4035108/THDP</t>
  </si>
  <si>
    <t>5907070</t>
  </si>
  <si>
    <t>HZ UMOVINUR MUUR&amp;RUBE 9010 2,5L</t>
  </si>
  <si>
    <t>2558821</t>
  </si>
  <si>
    <t>CAN PLS 2.5L HZ UMOVINUR MUUR&amp;RUBE 9010</t>
  </si>
  <si>
    <t>5907070/THDP</t>
  </si>
  <si>
    <t>5205043</t>
  </si>
  <si>
    <t>HZ UMOVINUR MUUR&amp;RUBE 9010 5L</t>
  </si>
  <si>
    <t>2798268</t>
  </si>
  <si>
    <t>CAN PLS 5L HZ UMOVINUR MUUR&amp;RUBE 9010</t>
  </si>
  <si>
    <t>5205043/THDP</t>
  </si>
  <si>
    <t>5604512</t>
  </si>
  <si>
    <t>NH MUR MAT RAL 9010 4+1L</t>
  </si>
  <si>
    <t>2192599</t>
  </si>
  <si>
    <t>CAN PLS 7.5L BLANK MOZ IML WIT 0555 ILO</t>
  </si>
  <si>
    <t>5604512/THDP</t>
  </si>
  <si>
    <t>5669349</t>
  </si>
  <si>
    <t>LZ IBOGED. MUURVERF RAL9010 5L</t>
  </si>
  <si>
    <t>2042137</t>
  </si>
  <si>
    <t>CAN PLS 5L LZ IBOGED. MUURVERF RAL9010</t>
  </si>
  <si>
    <t>5669349/THDP</t>
  </si>
  <si>
    <t>5352533</t>
  </si>
  <si>
    <t>NH LS M&amp;P MAT RAL 9010 4+1L</t>
  </si>
  <si>
    <t>5352533/THDP</t>
  </si>
  <si>
    <t>5139058</t>
  </si>
  <si>
    <t>HZ UMOVINUR MUUR&amp;RUBE 9010 +25% 10L</t>
  </si>
  <si>
    <t>2403638</t>
  </si>
  <si>
    <t>CAN PLS 12.5L HZ P.NAS M&amp;PL 9010 +25%</t>
  </si>
  <si>
    <t>5139058/THDP</t>
  </si>
  <si>
    <t>5094310</t>
  </si>
  <si>
    <t>HZ UMOVINUR MUUR&amp;RUBE 9010 10L</t>
  </si>
  <si>
    <t>2026190</t>
  </si>
  <si>
    <t>CAN PLS 10L HZ ZEKERUS MUUR&amp;RUBE 9010</t>
  </si>
  <si>
    <t>5094310/THDP</t>
  </si>
  <si>
    <t>5336596</t>
  </si>
  <si>
    <t>NH MUR MAT RAL 9010 8+2L</t>
  </si>
  <si>
    <t>2952462</t>
  </si>
  <si>
    <t>CAN PLS 10L NH MUR MAT RAL9010 8+2L</t>
  </si>
  <si>
    <t>5336596/THDP</t>
  </si>
  <si>
    <t>C6011540 BBW0100 ND.I03.06 MAT BW DE</t>
  </si>
  <si>
    <t>5252593</t>
  </si>
  <si>
    <t>JJ ENOTOFEN ONE BLC BW 3L</t>
  </si>
  <si>
    <t>268612</t>
  </si>
  <si>
    <t>CAN MTL 3L BLANK PCK0410 TRI HDL WHITE</t>
  </si>
  <si>
    <t/>
  </si>
  <si>
    <t>PCK_0410</t>
  </si>
  <si>
    <t>5252593/THDP</t>
  </si>
  <si>
    <t>4849219/THDP</t>
  </si>
  <si>
    <t>5099353</t>
  </si>
  <si>
    <t>S1 BINNEN YN MAT W05 2,5L</t>
  </si>
  <si>
    <t>5099353/THDP</t>
  </si>
  <si>
    <t>5391224</t>
  </si>
  <si>
    <t>QR PUTUNUPAR PURE MAT SF BCO=W05 10L</t>
  </si>
  <si>
    <t>2173035</t>
  </si>
  <si>
    <t>CAN MTL 10L QR NADIZE PURE MAT SF W05</t>
  </si>
  <si>
    <t>PCK_0464</t>
  </si>
  <si>
    <t xml:space="preserve"> -  2  3   -   -   -</t>
  </si>
  <si>
    <t>5391224/THDP</t>
  </si>
  <si>
    <t>5990162</t>
  </si>
  <si>
    <t>NH LEFANIVELIL MUR MIX W 250 ML</t>
  </si>
  <si>
    <t>2377558</t>
  </si>
  <si>
    <t>CAN MTL 0,25L BLANK PCK0425 TRI CLEAR</t>
  </si>
  <si>
    <t>PCK_0425</t>
  </si>
  <si>
    <t>5990162/THDP</t>
  </si>
  <si>
    <t>5891927</t>
  </si>
  <si>
    <t>JJ ENOTOFEN ONE BLC BW 10L</t>
  </si>
  <si>
    <t>2353961</t>
  </si>
  <si>
    <t>CAN MTL 10L BLANK WHITE</t>
  </si>
  <si>
    <t>5891927/THDP</t>
  </si>
  <si>
    <t>5943071</t>
  </si>
  <si>
    <t>QR PUTUNUPAR PURE MAT SF BCO=W05 5L</t>
  </si>
  <si>
    <t>2415334</t>
  </si>
  <si>
    <t>CAN PLS 5L QR GIFA PURE MAT SF W05</t>
  </si>
  <si>
    <t>5943071/THDP</t>
  </si>
  <si>
    <t>5070584</t>
  </si>
  <si>
    <t>QR FACIBOCIN PURE BASE W05 1 L</t>
  </si>
  <si>
    <t>2235459</t>
  </si>
  <si>
    <t>CAN PLS 1L BLANK PCK2007 BISO GREY COL1</t>
  </si>
  <si>
    <t>PCK_2007</t>
  </si>
  <si>
    <t>5070584/THDP</t>
  </si>
  <si>
    <t>5792925</t>
  </si>
  <si>
    <t>XJ ZAHO NIROZIVAB MAT 001/AW 2.5L</t>
  </si>
  <si>
    <t>5792925/THDP</t>
  </si>
  <si>
    <t>5787346</t>
  </si>
  <si>
    <t>QR PUTUNUPAR PURE MAT SF BCO=W05 1L</t>
  </si>
  <si>
    <t>5787346/THDP</t>
  </si>
  <si>
    <t>5725665</t>
  </si>
  <si>
    <t>NH EXPERT MUR BASE W 5 L</t>
  </si>
  <si>
    <t>2704073</t>
  </si>
  <si>
    <t>CAN MTL 5L BLANK PCK0122 ENV '24</t>
  </si>
  <si>
    <t>5</t>
  </si>
  <si>
    <t>PCK_0122</t>
  </si>
  <si>
    <t>5725665/THDP</t>
  </si>
  <si>
    <t>5482524</t>
  </si>
  <si>
    <t>NH LUGO MUUR MAT SUPER BASE W 5L</t>
  </si>
  <si>
    <t>5482524/THDP</t>
  </si>
  <si>
    <t>5956645</t>
  </si>
  <si>
    <t>NH EXPERT MUR BASE W 2,5 L</t>
  </si>
  <si>
    <t>9</t>
  </si>
  <si>
    <t>5956645/THDP</t>
  </si>
  <si>
    <t>5007212</t>
  </si>
  <si>
    <t>NH LUGO MUUR MAT SUPER BASE W 2,5L</t>
  </si>
  <si>
    <t>5007212/THDP</t>
  </si>
  <si>
    <t>5524562</t>
  </si>
  <si>
    <t>QR PUTUNUPAR PURE MAT SF BASE W05 1 L</t>
  </si>
  <si>
    <t>5524562/THDP</t>
  </si>
  <si>
    <t>5729202</t>
  </si>
  <si>
    <t>NH LUGO MUUR MAT SUPER BASE W 1L</t>
  </si>
  <si>
    <t>5729202/THDP</t>
  </si>
  <si>
    <t>5999275</t>
  </si>
  <si>
    <t>NH EXPERT KEUKEN BASE W 2,5 L</t>
  </si>
  <si>
    <t>5999275/THDP</t>
  </si>
  <si>
    <t>5778804</t>
  </si>
  <si>
    <t>QR PUTUNUPAR PURE PLAFOND W05 5 L</t>
  </si>
  <si>
    <t>5778804/THDP</t>
  </si>
  <si>
    <t>5458217</t>
  </si>
  <si>
    <t>S1 BINNEN YN MAT W05 5L</t>
  </si>
  <si>
    <t>5458217/THDP</t>
  </si>
  <si>
    <t>5605780</t>
  </si>
  <si>
    <t>QR PUTUNUPAR PURE MAT SF NL W05 5L</t>
  </si>
  <si>
    <t>2194442</t>
  </si>
  <si>
    <t>CAN PLS 7.5L QR A.GANI PUR M SF W05 5L</t>
  </si>
  <si>
    <t>5605780/THDP</t>
  </si>
  <si>
    <t>5529759</t>
  </si>
  <si>
    <t>QR PUTUNUPAR PURE MAT SF BASE W05 12,5 L</t>
  </si>
  <si>
    <t>2918594</t>
  </si>
  <si>
    <t>CAN PLS 12,5L BLANK PCK2810 ZIL GREYCOL1</t>
  </si>
  <si>
    <t>5529759/THDP</t>
  </si>
  <si>
    <t>5759860</t>
  </si>
  <si>
    <t>QR FACIBOCIN PURE BASE W05 5 L</t>
  </si>
  <si>
    <t>2194737</t>
  </si>
  <si>
    <t>CAN PLS 5L BLANK PCK2732 ZIL GREY COL1</t>
  </si>
  <si>
    <t>5759860/THDP</t>
  </si>
  <si>
    <t>5898041</t>
  </si>
  <si>
    <t>QR FACIBOCIN PURE BASE W05 10 L</t>
  </si>
  <si>
    <t>2698536</t>
  </si>
  <si>
    <t>CAN PLS 10L BLANK PCK2741 ZIL GREY COL1</t>
  </si>
  <si>
    <t>5898041/THDP</t>
  </si>
  <si>
    <t>5767750</t>
  </si>
  <si>
    <t>QR PUTUNUPAR PURE MAT SF NL W05 10L</t>
  </si>
  <si>
    <t>2565891</t>
  </si>
  <si>
    <t>CAN MTL 10L QR PUTUNUPAR PURE MAT SF W05</t>
  </si>
  <si>
    <t>5767750/THDP</t>
  </si>
  <si>
    <t>5396569</t>
  </si>
  <si>
    <t>XJ ZAHO NIROZIVAB MAT 001/AW 10L</t>
  </si>
  <si>
    <t>2046028</t>
  </si>
  <si>
    <t>CAN PLS 10L XJ MEV IMUTI MAT 001/AW</t>
  </si>
  <si>
    <t>5396569/THDP</t>
  </si>
  <si>
    <t>5459237</t>
  </si>
  <si>
    <t>NH EXPERT MUR BASE W 10 L</t>
  </si>
  <si>
    <t>2663788</t>
  </si>
  <si>
    <t>CAN MTL 10L BLANK PCK0464 TRI CAZO WHITE</t>
  </si>
  <si>
    <t>5459237/THDP</t>
  </si>
  <si>
    <t>5934365</t>
  </si>
  <si>
    <t>QR PUTUNUPAR PURE PLAFOND W05 10L</t>
  </si>
  <si>
    <t>2018697</t>
  </si>
  <si>
    <t>CAN MTL 10L QR §PCK0464 TRI CAZO MOHICUB</t>
  </si>
  <si>
    <t>5934365/THDP</t>
  </si>
  <si>
    <t>5230957</t>
  </si>
  <si>
    <t>S1 PEINT INTERIEURE MAT W05 10L</t>
  </si>
  <si>
    <t>5230957/THDP</t>
  </si>
  <si>
    <t>5518285</t>
  </si>
  <si>
    <t>NH LUGO MUUR MAT SUPER BASE W 10L</t>
  </si>
  <si>
    <t>5518285/THDP</t>
  </si>
  <si>
    <t>C4272699 BBW0100 VB MAT BIM E2 002 W</t>
  </si>
  <si>
    <t>5682570</t>
  </si>
  <si>
    <t>NH PRIMER MUR &amp; PLAFOND 2,5 L</t>
  </si>
  <si>
    <t>4</t>
  </si>
  <si>
    <t>5682570/THDP</t>
  </si>
  <si>
    <t>4211985/THDP</t>
  </si>
  <si>
    <t>5384333</t>
  </si>
  <si>
    <t>JJ CLASSIC GRUND WEISS DU1 12,5L</t>
  </si>
  <si>
    <t>5384333/THDP</t>
  </si>
  <si>
    <t>5249275</t>
  </si>
  <si>
    <t>JJ CLASSIC GRUND WEISS DU1 2,5L</t>
  </si>
  <si>
    <t>271865</t>
  </si>
  <si>
    <t>CAN PLS 2,5L BLANK PCK0520 ZIL WHITE</t>
  </si>
  <si>
    <t>PCK_0520</t>
  </si>
  <si>
    <t>5249275/THDP</t>
  </si>
  <si>
    <t>5219221</t>
  </si>
  <si>
    <t>SPECTRUM NEPAKIDITE PECOLITOZ 750ML</t>
  </si>
  <si>
    <t>257714</t>
  </si>
  <si>
    <t>CAN MTL 0,75L BLANK PCK0032 TRI ESECEL</t>
  </si>
  <si>
    <t>PCK_0032</t>
  </si>
  <si>
    <t>5219221/THDP</t>
  </si>
  <si>
    <t>5151944</t>
  </si>
  <si>
    <t>XJ EMASITEL PRIMER 001/AW 2,5 L</t>
  </si>
  <si>
    <t>5151944/THDP</t>
  </si>
  <si>
    <t>5866410</t>
  </si>
  <si>
    <t>VK SUPER H2O MAT BLANC BASE P 10 L</t>
  </si>
  <si>
    <t>2837942</t>
  </si>
  <si>
    <t>CAN PLS 10L BLANK MOZ COL12 GREY ILO</t>
  </si>
  <si>
    <t>J</t>
  </si>
  <si>
    <t>5866410/THDP</t>
  </si>
  <si>
    <t>5981665</t>
  </si>
  <si>
    <t>NH PUPEMEG EXPRESS MAT BLANC BW 10 L</t>
  </si>
  <si>
    <t>5981665/THDP</t>
  </si>
  <si>
    <t>5388972</t>
  </si>
  <si>
    <t>QR ISORA UNI MAT WHITE/B. W05 1L</t>
  </si>
  <si>
    <t>5388972/THDP</t>
  </si>
  <si>
    <t>5978517</t>
  </si>
  <si>
    <t>QR ISORA UNI MAT WHITE/B. W05 10L</t>
  </si>
  <si>
    <t>5978517/THDP</t>
  </si>
  <si>
    <t>5820672</t>
  </si>
  <si>
    <t>VK SUPER H2O MAT BLANC BASE P 2,5 L</t>
  </si>
  <si>
    <t>2622718</t>
  </si>
  <si>
    <t>CAN PLS 2.5L BLANK PCK2529 MOZ - VOZAN</t>
  </si>
  <si>
    <t>5820672/THDP</t>
  </si>
  <si>
    <t>5170935</t>
  </si>
  <si>
    <t>QR ISORA UNI MAT WHITE/B. W05 5L</t>
  </si>
  <si>
    <t>5170935/THDP</t>
  </si>
  <si>
    <t>5504940</t>
  </si>
  <si>
    <t>JJ BAPEHAFOF BLC BW 3L</t>
  </si>
  <si>
    <t>5504940/THDP</t>
  </si>
  <si>
    <t>5652417</t>
  </si>
  <si>
    <t>NH PUPEMEG EXPRESS MAT BLANC BW 2,5 L</t>
  </si>
  <si>
    <t>5652417/THDP</t>
  </si>
  <si>
    <t>5925555</t>
  </si>
  <si>
    <t>NH PRIMER MUR &amp; PLAFOND 750 ML</t>
  </si>
  <si>
    <t>5925555/THDP</t>
  </si>
  <si>
    <t>5483352</t>
  </si>
  <si>
    <t>VK SUPER H2O MAT BLANC BASE P 1 L</t>
  </si>
  <si>
    <t>5483352/THDP</t>
  </si>
  <si>
    <t>5567174</t>
  </si>
  <si>
    <t>NH PUPEMEG EXPRESS MAT BLANC BW 1 L</t>
  </si>
  <si>
    <t>5567174/THDP</t>
  </si>
  <si>
    <t>5012651</t>
  </si>
  <si>
    <t>NH PRIMER MUR &amp; PLAFOND 5 L</t>
  </si>
  <si>
    <t>2079455</t>
  </si>
  <si>
    <t>CAN PLS 5L NH PRIMER MUR&amp;PLAFOND</t>
  </si>
  <si>
    <t>PCK_2006</t>
  </si>
  <si>
    <t>5012651/THDP</t>
  </si>
  <si>
    <t>5904198</t>
  </si>
  <si>
    <t>NH PRIMER MUR &amp; PLAFOND 6L</t>
  </si>
  <si>
    <t>2307103</t>
  </si>
  <si>
    <t>CAN PLS 5L NH PRIMER M&amp;P 5+1L</t>
  </si>
  <si>
    <t>5904198/THDP</t>
  </si>
  <si>
    <t>5976258</t>
  </si>
  <si>
    <t>XJ EMASITEL PRIMER 001/AW 10 L</t>
  </si>
  <si>
    <t>2170099</t>
  </si>
  <si>
    <t>CAN PLS 10L BLANK MOZ IML WIT 0522 ILO</t>
  </si>
  <si>
    <t>5976258/THDP</t>
  </si>
  <si>
    <t>5554801</t>
  </si>
  <si>
    <t>NH PRIMER MUR &amp; PLAFOND 12 L</t>
  </si>
  <si>
    <t>2710730</t>
  </si>
  <si>
    <t>CAN PLS 12,5L NH PRIMER MUR&amp; PLAFOND</t>
  </si>
  <si>
    <t>5554801/THDP</t>
  </si>
  <si>
    <t>5038143</t>
  </si>
  <si>
    <t>JJ BAPEHAFOF BLC BW 10L</t>
  </si>
  <si>
    <t>5038143/THDP</t>
  </si>
  <si>
    <t>C7149992 0000100 VB EGG BIM D2 001</t>
  </si>
  <si>
    <t>5775808</t>
  </si>
  <si>
    <t>QR ISORA CLASSIC VELOURS BLANC 5L</t>
  </si>
  <si>
    <t>5775808/THDP</t>
  </si>
  <si>
    <t>4620507/THDP</t>
  </si>
  <si>
    <t>5951420</t>
  </si>
  <si>
    <t>WX BLANC CEHULA VELOURS 2,5L</t>
  </si>
  <si>
    <t>2525998</t>
  </si>
  <si>
    <t>CAN PLS 2.5L WX BLANC CEHULA OLA EHA</t>
  </si>
  <si>
    <t>5951420/THDP</t>
  </si>
  <si>
    <t>5306999</t>
  </si>
  <si>
    <t>JN BLANC FACILE VELOURS 5L</t>
  </si>
  <si>
    <t>5306999/THDP</t>
  </si>
  <si>
    <t>5348587</t>
  </si>
  <si>
    <t>S1 PEINT REN. MURS ET PLAFONDS BLANC 1L</t>
  </si>
  <si>
    <t>5348587/THDP</t>
  </si>
  <si>
    <t>5936104</t>
  </si>
  <si>
    <t>NH KUMOCIKU VELOURS BLANC 1L</t>
  </si>
  <si>
    <t>5936104/THDP</t>
  </si>
  <si>
    <t>5607809</t>
  </si>
  <si>
    <t>QR ISORA CLASSIC VELOURS BLANC 1L</t>
  </si>
  <si>
    <t>5607809/THDP</t>
  </si>
  <si>
    <t>5183132</t>
  </si>
  <si>
    <t>JN BLANC FACILE VELOURS BLANC BW 10L</t>
  </si>
  <si>
    <t>2096775</t>
  </si>
  <si>
    <t>CAN PLS 10L JN BLC FACILE REN BLC BW</t>
  </si>
  <si>
    <t>5183132/THDP</t>
  </si>
  <si>
    <t>5741235</t>
  </si>
  <si>
    <t>NH KUMOCIKU VELOURS BLANC 5L</t>
  </si>
  <si>
    <t>5741235/THDP</t>
  </si>
  <si>
    <t>5651379</t>
  </si>
  <si>
    <t>VK OLUHONIS VELOURS BLANC 5 L</t>
  </si>
  <si>
    <t>5651379/THDP</t>
  </si>
  <si>
    <t>5398520</t>
  </si>
  <si>
    <t>S1 PEINT REN. MURS ET PLAFONDS BLANC 5L</t>
  </si>
  <si>
    <t>5398520/THDP</t>
  </si>
  <si>
    <t>5428489</t>
  </si>
  <si>
    <t>JJ PUBANIHIFUNA BLC 3L</t>
  </si>
  <si>
    <t>5428489/THDP</t>
  </si>
  <si>
    <t>5044803</t>
  </si>
  <si>
    <t>JN BLANC FACILE VELOURS BLANC BW 0,5L</t>
  </si>
  <si>
    <t>5044803/THDP</t>
  </si>
  <si>
    <t>5286783</t>
  </si>
  <si>
    <t>VK OLUHONIS VELOURS BLANC 1 L</t>
  </si>
  <si>
    <t>5286783/THDP</t>
  </si>
  <si>
    <t>5633555</t>
  </si>
  <si>
    <t>VT BAD+HAKELUZUROVO AFABIDIRUVA 2,5L</t>
  </si>
  <si>
    <t>2064657</t>
  </si>
  <si>
    <t>CAN PLS 2.5L VT BAD+TIMAP VK 2PT OMA</t>
  </si>
  <si>
    <t>5633555/THDP</t>
  </si>
  <si>
    <t>5171948</t>
  </si>
  <si>
    <t>WX BLANC CEHULA VELOURS 5L</t>
  </si>
  <si>
    <t>2035762</t>
  </si>
  <si>
    <t>CAN PLS 5L WX BLC CEHULA OLA EHA</t>
  </si>
  <si>
    <t>5171948/THDP</t>
  </si>
  <si>
    <t>5814167</t>
  </si>
  <si>
    <t>JN BLANC FACILE VELOURS 2,5L</t>
  </si>
  <si>
    <t>5814167/THDP</t>
  </si>
  <si>
    <t>5254150</t>
  </si>
  <si>
    <t>QR ISORA CLASSIC VELOURS BLANC 15L</t>
  </si>
  <si>
    <t>5254150/THDP</t>
  </si>
  <si>
    <t>5270961</t>
  </si>
  <si>
    <t>JN BLANC FACILE VELOURS BLANC BW 10L+20%</t>
  </si>
  <si>
    <t>2029755</t>
  </si>
  <si>
    <t>CAN PLS 12.5L JN BLC FACILE REN BW +20%</t>
  </si>
  <si>
    <t>5270961/THDP</t>
  </si>
  <si>
    <t>5540839</t>
  </si>
  <si>
    <t>JJ PUBANIHIFUNA BLC 10L</t>
  </si>
  <si>
    <t>5540839/THDP</t>
  </si>
  <si>
    <t>5730229</t>
  </si>
  <si>
    <t>VK OLUHONIS VELOURS BLANC 15 L</t>
  </si>
  <si>
    <t>5730229/THDP</t>
  </si>
  <si>
    <t>5596682</t>
  </si>
  <si>
    <t>S1 PEINT REN. MURS ET PLAFONDS BLANC 10L</t>
  </si>
  <si>
    <t>5596682/THDP</t>
  </si>
  <si>
    <t>5078179</t>
  </si>
  <si>
    <t>WX BLANC CEHULA VELOURS W/BW 10L</t>
  </si>
  <si>
    <t>2517763</t>
  </si>
  <si>
    <t>CAN PLS 10L WX BLANC CEHULA VELOURS W/BW</t>
  </si>
  <si>
    <t>5078179/THDP</t>
  </si>
  <si>
    <t>5551711</t>
  </si>
  <si>
    <t>NH KUMOCIKU VELOURS BLANC 15L</t>
  </si>
  <si>
    <t>5551711/THDP</t>
  </si>
  <si>
    <t>C6873035 BBW0100 ONAMAD VELEZAPE BW</t>
  </si>
  <si>
    <t>5629513</t>
  </si>
  <si>
    <t>XJ PAGOS ITUPOSA SF AW 1L</t>
  </si>
  <si>
    <t>5629513/THDP</t>
  </si>
  <si>
    <t>4558617/THDP</t>
  </si>
  <si>
    <t>5449012</t>
  </si>
  <si>
    <t>QR PEMUCITO MAT REFERENCE BASE W05 1 L</t>
  </si>
  <si>
    <t>5449012/THDP</t>
  </si>
  <si>
    <t>5638576</t>
  </si>
  <si>
    <t>QR PUTUNUPAR HIMOLE BASE W05 2,5 L</t>
  </si>
  <si>
    <t>5638576/THDP</t>
  </si>
  <si>
    <t>5964591</t>
  </si>
  <si>
    <t>QR PUTUNUPAR HIMOLE BASE W05 1 L</t>
  </si>
  <si>
    <t>5964591/THDP</t>
  </si>
  <si>
    <t>5308626</t>
  </si>
  <si>
    <t>QR PUTUNUPAR HIMOLE BASE W05 5 L</t>
  </si>
  <si>
    <t>5308626/THDP</t>
  </si>
  <si>
    <t>5383338</t>
  </si>
  <si>
    <t>NH BEMESIBO MAT COLOR BW 1 L</t>
  </si>
  <si>
    <t>5383338/THDP</t>
  </si>
  <si>
    <t>5102076</t>
  </si>
  <si>
    <t>XJ NIROZIVAB VELEZAPE MAT AW 1L</t>
  </si>
  <si>
    <t>5102076/THDP</t>
  </si>
  <si>
    <t>5646951</t>
  </si>
  <si>
    <t>XJ NIROZIVAB VELEZAPE MAT AW 2,5L</t>
  </si>
  <si>
    <t>5646951/THDP</t>
  </si>
  <si>
    <t>5044751</t>
  </si>
  <si>
    <t>XJ NIROZIVAB VELEZAPE MAT AW 5L</t>
  </si>
  <si>
    <t>5044751/THDP</t>
  </si>
  <si>
    <t>5310578</t>
  </si>
  <si>
    <t>VK IFOFEGUTE PREMIUM MAT BASE P 5 L</t>
  </si>
  <si>
    <t>5310578/THDP</t>
  </si>
  <si>
    <t>5434125</t>
  </si>
  <si>
    <t>XJ PAGOS ITUPOSA SF AW 2.5L</t>
  </si>
  <si>
    <t>5434125/THDP</t>
  </si>
  <si>
    <t>5557495</t>
  </si>
  <si>
    <t>VK IFOFEGUTE PREMIUM MAT BASE P 1 L</t>
  </si>
  <si>
    <t>5557495/THDP</t>
  </si>
  <si>
    <t>5252374</t>
  </si>
  <si>
    <t>QR PEMUCITO MAT REFERENCE BASE W05 5 L</t>
  </si>
  <si>
    <t>5252374/THDP</t>
  </si>
  <si>
    <t>5648608</t>
  </si>
  <si>
    <t>QR ISORA COVER MAT SF W05 2,5L</t>
  </si>
  <si>
    <t>5648608/THDP</t>
  </si>
  <si>
    <t>5930193</t>
  </si>
  <si>
    <t>NH BEMESIBO MAT COLOR BW 2,5 L</t>
  </si>
  <si>
    <t>5930193/THDP</t>
  </si>
  <si>
    <t>5028214</t>
  </si>
  <si>
    <t>XJ NIROZIVAB VELEZAPE MAT AW 10L</t>
  </si>
  <si>
    <t>2070198</t>
  </si>
  <si>
    <t>CAN MTL 10L XJ NIROZIVAB COGOFIM MAT 001</t>
  </si>
  <si>
    <t>5028214/THDP</t>
  </si>
  <si>
    <t>5764740</t>
  </si>
  <si>
    <t>QR PEMUCITO MAT REFERENCE BASE W05 10L</t>
  </si>
  <si>
    <t>2358661</t>
  </si>
  <si>
    <t>CAN MTL 10L BLANK PCK0464 TRI CAZO METAL</t>
  </si>
  <si>
    <t>5764740/THDP</t>
  </si>
  <si>
    <t>5412008</t>
  </si>
  <si>
    <t>NH BEMESIBO MAT COLOR BW 10 L</t>
  </si>
  <si>
    <t>5412008/THDP</t>
  </si>
  <si>
    <t>5960523</t>
  </si>
  <si>
    <t>QR PUTUNUPAR HIMOLE BASE W05 10 L</t>
  </si>
  <si>
    <t>2305815</t>
  </si>
  <si>
    <t>CAN MTL 10L QR NADIZE HIMOLE W05</t>
  </si>
  <si>
    <t>5960523/THDP</t>
  </si>
  <si>
    <t>5404110</t>
  </si>
  <si>
    <t>QR ISORA COVER MAT SF W05 10L</t>
  </si>
  <si>
    <t>2705805</t>
  </si>
  <si>
    <t>CAN MTL 10L QR ISORA COVER MAT SF W05</t>
  </si>
  <si>
    <t>5404110/THDP</t>
  </si>
  <si>
    <t>5293305</t>
  </si>
  <si>
    <t>VK IFOFEGUTE PREMIUM MAT BASE P 10L</t>
  </si>
  <si>
    <t>5293305/THDP</t>
  </si>
  <si>
    <t>5488627</t>
  </si>
  <si>
    <t>XJ PAGOS ITUPOSA SF AW 10L</t>
  </si>
  <si>
    <t>2476915</t>
  </si>
  <si>
    <t>CAN MTL 10L XJ PAGOS ITUPOSA SF AW</t>
  </si>
  <si>
    <t>5488627/THDP</t>
  </si>
  <si>
    <t>C5424729 BBW0100 AR.I08.01 MAT BW</t>
  </si>
  <si>
    <t>5693990</t>
  </si>
  <si>
    <t>XJ MAT AW 1 L</t>
  </si>
  <si>
    <t>2846292</t>
  </si>
  <si>
    <t>CAN PLS 1L BLANK COL 12 LISEFAMU</t>
  </si>
  <si>
    <t>PCK_0562</t>
  </si>
  <si>
    <t>5693990/THDP</t>
  </si>
  <si>
    <t>4351748/THDP</t>
  </si>
  <si>
    <t>5100174</t>
  </si>
  <si>
    <t>VT ABIKEFELI MIX BASIS 1 WEISS EZU 2,5L</t>
  </si>
  <si>
    <t>5100174/THDP</t>
  </si>
  <si>
    <t>5612296</t>
  </si>
  <si>
    <t>NH MUR MAT 4L</t>
  </si>
  <si>
    <t>5612296/THDP</t>
  </si>
  <si>
    <t>5102101</t>
  </si>
  <si>
    <t>VT ABIKEFELI MIX BASIS 1 WEISS EZU 1L</t>
  </si>
  <si>
    <t>5102101/THDP</t>
  </si>
  <si>
    <t>5276311</t>
  </si>
  <si>
    <t>QR ISORA MAT WHITE/W05 2,5L</t>
  </si>
  <si>
    <t>5276311/THDP</t>
  </si>
  <si>
    <t>5816804</t>
  </si>
  <si>
    <t>QA NUANCE MS BASE PASTEL MAT 2,5 L</t>
  </si>
  <si>
    <t>2957884</t>
  </si>
  <si>
    <t>CAN MTL 2,5L BLANK PCK0408 TRI HDL WHITE</t>
  </si>
  <si>
    <t>PCK_0408</t>
  </si>
  <si>
    <t>5816804/THDP</t>
  </si>
  <si>
    <t>5281311</t>
  </si>
  <si>
    <t>JJ PROFI DIVABOSEL BCO/BAS DU1 5L</t>
  </si>
  <si>
    <t>&lt;</t>
  </si>
  <si>
    <t>5281311/THDP</t>
  </si>
  <si>
    <t>5952335</t>
  </si>
  <si>
    <t>JJ RAPID PRO BASIS DU1 5 L</t>
  </si>
  <si>
    <t>5952335/THDP</t>
  </si>
  <si>
    <t>5852757</t>
  </si>
  <si>
    <t>VT ABIKEFELI MIX BASIS 1 WEISS EZU 10L</t>
  </si>
  <si>
    <t>204281</t>
  </si>
  <si>
    <t>CAN PLS 10L BLANK PCK2741 ZIL WHITE</t>
  </si>
  <si>
    <t>5852757/THDP</t>
  </si>
  <si>
    <t>5276207</t>
  </si>
  <si>
    <t>QR ISORA MAT WHITE/W05 5L</t>
  </si>
  <si>
    <t>2885446</t>
  </si>
  <si>
    <t>CAN PLS 7.5L QR ISORA MAT WHITE/W05</t>
  </si>
  <si>
    <t>5276207/THDP</t>
  </si>
  <si>
    <t>5735301</t>
  </si>
  <si>
    <t>QR ISORA WALL MAT SF BIANCO=BASE W05 14L</t>
  </si>
  <si>
    <t>2769338</t>
  </si>
  <si>
    <t>CAN PLS 15L QR A WALL MAT SF BCO=BAS W05</t>
  </si>
  <si>
    <t>5735301/THDP</t>
  </si>
  <si>
    <t>5239282</t>
  </si>
  <si>
    <t>QR ISORA WALL MAT SF BIANCO=BASE W05 5L</t>
  </si>
  <si>
    <t>2587075</t>
  </si>
  <si>
    <t>CAN PLS 7.5L QR A.WALL MAT SF BCO BS W05</t>
  </si>
  <si>
    <t>5239282/THDP</t>
  </si>
  <si>
    <t>5064497</t>
  </si>
  <si>
    <t>NQ EXPERT MATT  BASE L 10L</t>
  </si>
  <si>
    <t>5064497/THDP</t>
  </si>
  <si>
    <t>5892561</t>
  </si>
  <si>
    <t>JJ CLASSIC MALERWEISS BAS DU1 EZU 12,5L</t>
  </si>
  <si>
    <t>5892561/THDP</t>
  </si>
  <si>
    <t>5623744</t>
  </si>
  <si>
    <t>JJ PROFI DIVABOSEL BCO/BAS DU1 12,5L</t>
  </si>
  <si>
    <t>5623744/THDP</t>
  </si>
  <si>
    <t>5318304</t>
  </si>
  <si>
    <t>JJ CLASSIC MALERWEISS BAS DU1 EZU 10L</t>
  </si>
  <si>
    <t>5318304/THDP</t>
  </si>
  <si>
    <t>5654562</t>
  </si>
  <si>
    <t>JJ CLASSIC MALERWEISS BAS DU1 EZU 5L</t>
  </si>
  <si>
    <t>F</t>
  </si>
  <si>
    <t>5654562/THDP</t>
  </si>
  <si>
    <t>5960830</t>
  </si>
  <si>
    <t>VT ABIKEFELI MIX BASIS 1 WEISS EZU 5L</t>
  </si>
  <si>
    <t>5960830/THDP</t>
  </si>
  <si>
    <t>5175364</t>
  </si>
  <si>
    <t>JJ RAPID PRO BASIS DU1 1 L</t>
  </si>
  <si>
    <t>232148</t>
  </si>
  <si>
    <t>CAN PLS 1L BLANK PCK2007 BISO WHITE</t>
  </si>
  <si>
    <t>G</t>
  </si>
  <si>
    <t>5175364/THDP</t>
  </si>
  <si>
    <t>5963337</t>
  </si>
  <si>
    <t>QA NUANCE MS BASE PASTEL MAT 500 ML</t>
  </si>
  <si>
    <t>5963337/THDP</t>
  </si>
  <si>
    <t>5335250</t>
  </si>
  <si>
    <t>NQ EXPERT MATT  BASE L 1L</t>
  </si>
  <si>
    <t>2547923</t>
  </si>
  <si>
    <t>CAN MTL 1L BLANK PCK2502 ICE FULL PET</t>
  </si>
  <si>
    <t>PCK_2502</t>
  </si>
  <si>
    <t>5335250/THDP</t>
  </si>
  <si>
    <t>5071870</t>
  </si>
  <si>
    <t>QR ISORA BL MAT ITU BASE W05 1L</t>
  </si>
  <si>
    <t>5071870/THDP</t>
  </si>
  <si>
    <t>5607139</t>
  </si>
  <si>
    <t>JJ RAPID PRO BASIS DU1 12,5 L</t>
  </si>
  <si>
    <t>5607139/THDP</t>
  </si>
  <si>
    <t>5710819</t>
  </si>
  <si>
    <t>QR ISORA BL MAT ITU BASE W05 15 L</t>
  </si>
  <si>
    <t>2135270</t>
  </si>
  <si>
    <t>CAN MTL 15L BLANK PCK0101 TRI CLEAR</t>
  </si>
  <si>
    <t>5710819/THDP</t>
  </si>
  <si>
    <t>5117583</t>
  </si>
  <si>
    <t>NQ EXPERT MATT  BASE L 2,5L</t>
  </si>
  <si>
    <t>5117583/THDP</t>
  </si>
  <si>
    <t>5524862</t>
  </si>
  <si>
    <t>NH MUR MAT 8L</t>
  </si>
  <si>
    <t>2557610</t>
  </si>
  <si>
    <t>CAN PLS 10L NH MUUR MAT WIT 8L MOZ MP</t>
  </si>
  <si>
    <t>5524862/THDP</t>
  </si>
  <si>
    <t>5753901</t>
  </si>
  <si>
    <t>XJ MAT AW 2,5 L</t>
  </si>
  <si>
    <t>2565335</t>
  </si>
  <si>
    <t>CAN PLS 2.5L BLANK MOZ IML WIT 2529 ZIL</t>
  </si>
  <si>
    <t>5753901/THDP</t>
  </si>
  <si>
    <t>5294511</t>
  </si>
  <si>
    <t>JJ PROFI DIVABOSEL BCO/BAS DU1 1L</t>
  </si>
  <si>
    <t>O</t>
  </si>
  <si>
    <t>5294511/THDP</t>
  </si>
  <si>
    <t>5689626</t>
  </si>
  <si>
    <t>NQ EXPERT MATT  BASE L 5L</t>
  </si>
  <si>
    <t>2789488</t>
  </si>
  <si>
    <t>CAN PLS 5L BLANK MOZ COL12 GREY LAG</t>
  </si>
  <si>
    <t>5689626/THDP</t>
  </si>
  <si>
    <t>5866385</t>
  </si>
  <si>
    <t>QR ISORA BL MAT ITU BASE W05 5 L</t>
  </si>
  <si>
    <t>5866385/THDP</t>
  </si>
  <si>
    <t>5272567</t>
  </si>
  <si>
    <t>XJ MAT AW 5 L</t>
  </si>
  <si>
    <t>5272567/THDP</t>
  </si>
  <si>
    <t>5777863</t>
  </si>
  <si>
    <t>QR ISORA WALL MAT SF BIANCO=BASE W05 1L</t>
  </si>
  <si>
    <t>5777863/THDP</t>
  </si>
  <si>
    <t>5436028</t>
  </si>
  <si>
    <t>QR ISORA MAT WHITE/W05 10L</t>
  </si>
  <si>
    <t>2855349</t>
  </si>
  <si>
    <t>CAN PLS 10L QR ISORA MAT WHITE/W05</t>
  </si>
  <si>
    <t>5436028/THDP</t>
  </si>
  <si>
    <t>5470629</t>
  </si>
  <si>
    <t>XJ MAT AW 10 L</t>
  </si>
  <si>
    <t>5470629/THDP</t>
  </si>
  <si>
    <t>5767195</t>
  </si>
  <si>
    <t>NH MUR MAT 8+2L</t>
  </si>
  <si>
    <t>2515350</t>
  </si>
  <si>
    <t>CAN PLS 10L NH MUUR MAT WIT 8+2L MOZ</t>
  </si>
  <si>
    <t>5767195/THDP</t>
  </si>
  <si>
    <t>C7439197 BBW0100 AR.I23.01 MAT SF BW</t>
  </si>
  <si>
    <t>5986831</t>
  </si>
  <si>
    <t>NH VAZIDUV MAT MIX BW 2,5 L</t>
  </si>
  <si>
    <t>5986831/THDP</t>
  </si>
  <si>
    <t>4606821/THDP</t>
  </si>
  <si>
    <t>5994205</t>
  </si>
  <si>
    <t>XJ GIHIKOKE MAT SF M AW 2,5L</t>
  </si>
  <si>
    <t>5994205/THDP</t>
  </si>
  <si>
    <t>5734908</t>
  </si>
  <si>
    <t>QR PEMUCITO SF M BASE W05  5 L</t>
  </si>
  <si>
    <t>2</t>
  </si>
  <si>
    <t>5734908/THDP</t>
  </si>
  <si>
    <t>5885009</t>
  </si>
  <si>
    <t>XJ GIHIKOKE MAT SF M AW 5 L</t>
  </si>
  <si>
    <t>5885009/THDP</t>
  </si>
  <si>
    <t>5257879</t>
  </si>
  <si>
    <t>QR PEMUCITO SF M BASE W05 10 L</t>
  </si>
  <si>
    <t>2697611</t>
  </si>
  <si>
    <t>CAN PLS 10L QR PEMUCITO SF KUREFE W05 OZ</t>
  </si>
  <si>
    <t>5257879/THDP</t>
  </si>
  <si>
    <t>5272355</t>
  </si>
  <si>
    <t>JJ LATEX SEMUGOVURI DU1 12,5L</t>
  </si>
  <si>
    <t>5272355/THDP</t>
  </si>
  <si>
    <t>5717999</t>
  </si>
  <si>
    <t>XJ EDEFAVOGE S.LATEX MAT S1 AW 10L</t>
  </si>
  <si>
    <t>5717999/THDP</t>
  </si>
  <si>
    <t>5001078</t>
  </si>
  <si>
    <t>XJ EDEFAVOGE S.LATEX MAT S1 9010 10L</t>
  </si>
  <si>
    <t>5001078/THDP</t>
  </si>
  <si>
    <t>5893222</t>
  </si>
  <si>
    <t>JJ LATEX SEMUGOVURI DU1 5L</t>
  </si>
  <si>
    <t>5893222/THDP</t>
  </si>
  <si>
    <t>5258515</t>
  </si>
  <si>
    <t>QR PEMUCITO SF W05 2,5L</t>
  </si>
  <si>
    <t>5258515/THDP</t>
  </si>
  <si>
    <t>5755223</t>
  </si>
  <si>
    <t>NH VAZIDUV MAT MIX BW 1 L</t>
  </si>
  <si>
    <t>5755223/THDP</t>
  </si>
  <si>
    <t>5778225</t>
  </si>
  <si>
    <t>QR PEMUCITO SF W05 1L</t>
  </si>
  <si>
    <t>5778225/THDP</t>
  </si>
  <si>
    <t>5831893</t>
  </si>
  <si>
    <t>XJ GIHIKOKE MAT SF AW 1L</t>
  </si>
  <si>
    <t>5831893/THDP</t>
  </si>
  <si>
    <t>5548992</t>
  </si>
  <si>
    <t>XJ GIHIKOKE MAT SF AW 5L</t>
  </si>
  <si>
    <t>5548992/THDP</t>
  </si>
  <si>
    <t>5998958</t>
  </si>
  <si>
    <t>QR ISORA PROF MAT WHITE/W05 5L</t>
  </si>
  <si>
    <t>5998958/THDP</t>
  </si>
  <si>
    <t>5899018</t>
  </si>
  <si>
    <t>QR PEMUCITO SF (NL) W05 5L</t>
  </si>
  <si>
    <t>5899018/THDP</t>
  </si>
  <si>
    <t>5712617</t>
  </si>
  <si>
    <t>QR ISORA PROF MAT WHITE/W05 10L</t>
  </si>
  <si>
    <t>5712617/THDP</t>
  </si>
  <si>
    <t>5055863</t>
  </si>
  <si>
    <t>XJ GIHIKOKE MAT SF M AW 10L</t>
  </si>
  <si>
    <t>2922144</t>
  </si>
  <si>
    <t>CAN PLS 10L XJ GIHIKOKE MAT SF OZ</t>
  </si>
  <si>
    <t>5055863/THDP</t>
  </si>
  <si>
    <t>5348806</t>
  </si>
  <si>
    <t>XJ SUMIDOBOZ S1 MAT 001/AW 10L</t>
  </si>
  <si>
    <t>5348806/THDP</t>
  </si>
  <si>
    <t>5747335</t>
  </si>
  <si>
    <t>QR ISORA PROJECT W05 10L</t>
  </si>
  <si>
    <t>5747335/THDP</t>
  </si>
  <si>
    <t>5062898</t>
  </si>
  <si>
    <t>QR PEMUCITO SF (NL) W05 10L</t>
  </si>
  <si>
    <t>2582188</t>
  </si>
  <si>
    <t>CAN PLS 10L QR §PEMUCITO SF (NL) MOZ</t>
  </si>
  <si>
    <t>5062898/THDP</t>
  </si>
  <si>
    <t>C8173479 BWW0100 31.I19.03 IDOPUBO BW</t>
  </si>
  <si>
    <t>5616093</t>
  </si>
  <si>
    <t>VK TEMAPEDUD H20 BLANC BASE P 1 L</t>
  </si>
  <si>
    <t>5616093/THDP</t>
  </si>
  <si>
    <t>4883656/THDP</t>
  </si>
  <si>
    <t>5254763</t>
  </si>
  <si>
    <t>NH PUPEMEG DECO PRIM BLANC BASE BW 2,5 L</t>
  </si>
  <si>
    <t>5254763/THDP</t>
  </si>
  <si>
    <t>5120184</t>
  </si>
  <si>
    <t>NH PUPEMEG DECO PRIM BLANC BASE BW 1 L</t>
  </si>
  <si>
    <t>5120184/THDP</t>
  </si>
  <si>
    <t>5217076</t>
  </si>
  <si>
    <t>NH PUPEMEG EXPRESS VELOURS BLANC BW  1 L</t>
  </si>
  <si>
    <t>5217076/THDP</t>
  </si>
  <si>
    <t>5828804</t>
  </si>
  <si>
    <t>NH PUPEMEG EXPRESS VELOURS BLANC BW 2,5L</t>
  </si>
  <si>
    <t>5828804/THDP</t>
  </si>
  <si>
    <t>5555446</t>
  </si>
  <si>
    <t>VK SUPER H2O VELOURS BLANC BASE P 2,5 L</t>
  </si>
  <si>
    <t>5555446/THDP</t>
  </si>
  <si>
    <t>5689035</t>
  </si>
  <si>
    <t>NH ATELIER DABISEZEVI BASE W 5 L</t>
  </si>
  <si>
    <t>5689035/THDP</t>
  </si>
  <si>
    <t>5635212</t>
  </si>
  <si>
    <t>JJ ORESU GRUND DU1 5 L</t>
  </si>
  <si>
    <t>5635212/THDP</t>
  </si>
  <si>
    <t>5786291</t>
  </si>
  <si>
    <t>VK TEMAPEDUD H20 BLANC BASE P 5 L</t>
  </si>
  <si>
    <t>5786291/THDP</t>
  </si>
  <si>
    <t>5552684</t>
  </si>
  <si>
    <t>VK SUPER H2O VELOURS BLANC BASE P 10 L</t>
  </si>
  <si>
    <t>5552684/THDP</t>
  </si>
  <si>
    <t>5797338</t>
  </si>
  <si>
    <t>QR ISORA PRIMER WHITE/W05 10L</t>
  </si>
  <si>
    <t>2209165</t>
  </si>
  <si>
    <t>CAN PLS 10L QR A PRIM White/W05 MOZ</t>
  </si>
  <si>
    <t>5797338/THDP</t>
  </si>
  <si>
    <t>5341676</t>
  </si>
  <si>
    <t>VK TEMAPEDUD H20 BLANC BASE P 15 L</t>
  </si>
  <si>
    <t>2559022</t>
  </si>
  <si>
    <t>CAN PLS 15L VK TEMAPEDUD H2O BLANC</t>
  </si>
  <si>
    <t>5341676/THDP</t>
  </si>
  <si>
    <t>5190329</t>
  </si>
  <si>
    <t>HZ PURE FUMUZIBUKI W05 2,5L</t>
  </si>
  <si>
    <t>2278976</t>
  </si>
  <si>
    <t>CAN MTL 2.5L BLANK ICE PCK0095 INT. PET</t>
  </si>
  <si>
    <t>5190329/THDP</t>
  </si>
  <si>
    <t>5778956</t>
  </si>
  <si>
    <t>NH ATELIER DABISEZEVI BASE W 2,5 L</t>
  </si>
  <si>
    <t>5778956/THDP</t>
  </si>
  <si>
    <t>5571060</t>
  </si>
  <si>
    <t>VK SUPER H2O VELOURS BLANC BASE P 1 L</t>
  </si>
  <si>
    <t>5571060/THDP</t>
  </si>
  <si>
    <t>5377500</t>
  </si>
  <si>
    <t>JJ ORESU GRUND DU1 12,5L</t>
  </si>
  <si>
    <t>5377500/THDP</t>
  </si>
  <si>
    <t>5616326</t>
  </si>
  <si>
    <t>XJ IMUDUNIMI FIX AW 10L</t>
  </si>
  <si>
    <t>5616326/THDP</t>
  </si>
  <si>
    <t>5445211</t>
  </si>
  <si>
    <t>XJ IMUDUNIMI FIX AW 5L</t>
  </si>
  <si>
    <t>5445211/THDP</t>
  </si>
  <si>
    <t>5854548</t>
  </si>
  <si>
    <t>XJ IMUDUNIMI FIX AW 1L</t>
  </si>
  <si>
    <t>5854548/THDP</t>
  </si>
  <si>
    <t>5836206</t>
  </si>
  <si>
    <t>QR ISORA UNI VELOURS WHITE/B. W05 5L</t>
  </si>
  <si>
    <t>5836206/THDP</t>
  </si>
  <si>
    <t>5926387</t>
  </si>
  <si>
    <t>QR ISORA PRIMER WHITE/W05 2,5L</t>
  </si>
  <si>
    <t>5926387/THDP</t>
  </si>
  <si>
    <t>5462916</t>
  </si>
  <si>
    <t>QR ISORA PRIMER WHITE/W05 5L</t>
  </si>
  <si>
    <t>2666162</t>
  </si>
  <si>
    <t>CAN PLS 5L QR A PRIM WHITE/W05 ILO</t>
  </si>
  <si>
    <t>5462916/THDP</t>
  </si>
  <si>
    <t>5245974</t>
  </si>
  <si>
    <t>QR ISORA UNIV VELOURS WHITE/B. W05 1L</t>
  </si>
  <si>
    <t>5245974/THDP</t>
  </si>
  <si>
    <t>5996067</t>
  </si>
  <si>
    <t>QR PUTUNUPAR PRIMER W05 5 L</t>
  </si>
  <si>
    <t>3</t>
  </si>
  <si>
    <t>5996067/THDP</t>
  </si>
  <si>
    <t>5524375</t>
  </si>
  <si>
    <t>QR PUTUNUPAR PRIMER W05 2,5 L</t>
  </si>
  <si>
    <t>5524375/THDP</t>
  </si>
  <si>
    <t>5247019</t>
  </si>
  <si>
    <t>QR PUTUNUPAR PRIMER W05 1 L</t>
  </si>
  <si>
    <t>5247019/THDP</t>
  </si>
  <si>
    <t>5373761</t>
  </si>
  <si>
    <t>QR PUTUNUPAR PRIMER W05 10L</t>
  </si>
  <si>
    <t>5373761/THDP</t>
  </si>
  <si>
    <t>5635762</t>
  </si>
  <si>
    <t>QR ISORA UNI VELOURS WHITE/B. W05 10L</t>
  </si>
  <si>
    <t>2158973</t>
  </si>
  <si>
    <t>CAN PLS 10L QR ALP REN WHITE/B. W05 MOZ</t>
  </si>
  <si>
    <t>5635762/THDP</t>
  </si>
  <si>
    <t>5938707</t>
  </si>
  <si>
    <t>NH PUPEMEG EXPRESS VELOURS BLANC BW 10L</t>
  </si>
  <si>
    <t>5938707/THDP</t>
  </si>
  <si>
    <t>5960333</t>
  </si>
  <si>
    <t>NH PUPEMEG DECO PRIM BLANC BASE BW 10 L</t>
  </si>
  <si>
    <t>2420129</t>
  </si>
  <si>
    <t>CAN MTL 10L NH EXP PRIM BLANC BASE BW</t>
  </si>
  <si>
    <t>B</t>
  </si>
  <si>
    <t>5960333/THDP</t>
  </si>
  <si>
    <t>C6546277 BBW0100 AR.I23.06 MAT SF OZU BW</t>
  </si>
  <si>
    <t>5386082</t>
  </si>
  <si>
    <t>WX BLANC COUVRANT W/BW MAT 2,5L</t>
  </si>
  <si>
    <t>2337427</t>
  </si>
  <si>
    <t>CAN PLS 2.5L WX BLANC COUVRANT EHA</t>
  </si>
  <si>
    <t>5386082/THDP</t>
  </si>
  <si>
    <t>4240512/THDP</t>
  </si>
  <si>
    <t>5910591</t>
  </si>
  <si>
    <t>JJ LATEX MATT RM WEISS 2,5L</t>
  </si>
  <si>
    <t>5910591/THDP</t>
  </si>
  <si>
    <t>5132717</t>
  </si>
  <si>
    <t>QR ISORA LOGOGOBARI WHITE 2,5L</t>
  </si>
  <si>
    <t>5132717/THDP</t>
  </si>
  <si>
    <t>5079863</t>
  </si>
  <si>
    <t>HZ SM YN WIT 2,5L</t>
  </si>
  <si>
    <t>5079863/THDP</t>
  </si>
  <si>
    <t>5828703</t>
  </si>
  <si>
    <t>NH KORUDE MUR&amp;YS BASE W 5L</t>
  </si>
  <si>
    <t>5828703/THDP</t>
  </si>
  <si>
    <t>5357191</t>
  </si>
  <si>
    <t>JJ LATEX MATT RM WEISS 5L</t>
  </si>
  <si>
    <t>5357191/THDP</t>
  </si>
  <si>
    <t>5445482</t>
  </si>
  <si>
    <t>JJ NIBABAZAZU OPOMEGAZA.EZU DU1 5,000L</t>
  </si>
  <si>
    <t>5445482/THDP</t>
  </si>
  <si>
    <t>5519220</t>
  </si>
  <si>
    <t>JJ NIBABAZAZU OPOMEGAZA.EZU DU1 1,000L</t>
  </si>
  <si>
    <t>5519220/THDP</t>
  </si>
  <si>
    <t>5702746</t>
  </si>
  <si>
    <t>HZ SM W05 1L</t>
  </si>
  <si>
    <t>5702746/THDP</t>
  </si>
  <si>
    <t>5199450</t>
  </si>
  <si>
    <t>JN BLANC MAT 98% M&amp;P PHASE AQU.BW 10 L</t>
  </si>
  <si>
    <t>2660665</t>
  </si>
  <si>
    <t>CAN MTL 10L JN BLANC MAT 98% TO</t>
  </si>
  <si>
    <t>PCK_0017</t>
  </si>
  <si>
    <t>1  2  3  4   -   -</t>
  </si>
  <si>
    <t>5199450/THDP</t>
  </si>
  <si>
    <t>5037721</t>
  </si>
  <si>
    <t>HZ SM W05 2,5L</t>
  </si>
  <si>
    <t>2262836</t>
  </si>
  <si>
    <t>CAN PLS 2.5L HZ</t>
  </si>
  <si>
    <t>5037721/THDP</t>
  </si>
  <si>
    <t>5885438</t>
  </si>
  <si>
    <t>XJ SUMIDOBOZ MAT 001/AW 5L</t>
  </si>
  <si>
    <t>5885438/THDP</t>
  </si>
  <si>
    <t>5538805</t>
  </si>
  <si>
    <t>NH KORUDE MUR&amp;YS WHITE 5L</t>
  </si>
  <si>
    <t>2414706</t>
  </si>
  <si>
    <t>CAN PLS 5L NH MUR &amp; PRIMER WHITE MP</t>
  </si>
  <si>
    <t>5538805/THDP</t>
  </si>
  <si>
    <t>5439986</t>
  </si>
  <si>
    <t>WX BLANC COUVRANT W/BW MAT 5L</t>
  </si>
  <si>
    <t>2039228</t>
  </si>
  <si>
    <t>CAN PLS 5L WX BLANC COUVRANT EHA</t>
  </si>
  <si>
    <t>5439986/THDP</t>
  </si>
  <si>
    <t>5231407</t>
  </si>
  <si>
    <t>JN BLANC MAT 98% M&amp;P PH. AQU. 2,5L</t>
  </si>
  <si>
    <t>2485032</t>
  </si>
  <si>
    <t>CAN PLS 2L BLANK K COL12 GREY ILO</t>
  </si>
  <si>
    <t>5231407/THDP</t>
  </si>
  <si>
    <t>5485826</t>
  </si>
  <si>
    <t>JN BLANC MAT 98% M&amp;P PHASE AQU. BW 5 L</t>
  </si>
  <si>
    <t>2131487</t>
  </si>
  <si>
    <t>CAN PLS 7.5L BLANK MOZ COL12 GREY VOZAN</t>
  </si>
  <si>
    <t>5485826/THDP</t>
  </si>
  <si>
    <t>5345869</t>
  </si>
  <si>
    <t>HZ SM W05 5L</t>
  </si>
  <si>
    <t>2737708</t>
  </si>
  <si>
    <t>CAN PLS 5L HZ SM W05</t>
  </si>
  <si>
    <t>5345869/THDP</t>
  </si>
  <si>
    <t>5029266</t>
  </si>
  <si>
    <t>JN BLANC MAT 98% M&amp;P PH. AQU.BW 10L+20%</t>
  </si>
  <si>
    <t>2823822</t>
  </si>
  <si>
    <t>CAN MTL 12L JN BLANC MAT 98% OZ</t>
  </si>
  <si>
    <t>5029266/THDP</t>
  </si>
  <si>
    <t>A2977384 BBW0100 AR.E20.01 VUNANAFET ZUG</t>
  </si>
  <si>
    <t>5512300</t>
  </si>
  <si>
    <t>QR PEMUCITO 4SO MAT WHITE/W05 2,5L</t>
  </si>
  <si>
    <t>5512300/THDP</t>
  </si>
  <si>
    <t>4061019/THDP</t>
  </si>
  <si>
    <t>5643158</t>
  </si>
  <si>
    <t>XJ HAFOSOLIG 4SO MAT 001/AW 2,5L</t>
  </si>
  <si>
    <t>5643158/THDP</t>
  </si>
  <si>
    <t>5457020</t>
  </si>
  <si>
    <t>XJ HAFOSOLIG 4SO MAT 001/AW 10L</t>
  </si>
  <si>
    <t>5457020/THDP</t>
  </si>
  <si>
    <t>5069479</t>
  </si>
  <si>
    <t>S1 PEINT FACADE PUDOCIHI BLANC B.W05 10L</t>
  </si>
  <si>
    <t>5069479/THDP</t>
  </si>
  <si>
    <t>5156111</t>
  </si>
  <si>
    <t>JJ AGOPAH. DAFABUPA  BAS DU1 12,5L</t>
  </si>
  <si>
    <t>5156111/THDP</t>
  </si>
  <si>
    <t>5686044</t>
  </si>
  <si>
    <t>JJ AGOPAH. DAFABUPA BAS DU1 5L</t>
  </si>
  <si>
    <t>5686044/THDP</t>
  </si>
  <si>
    <t>5254584</t>
  </si>
  <si>
    <t>JJ AGOPAH. DAFABUPA  BAS DU1 1L</t>
  </si>
  <si>
    <t>5254584/THDP</t>
  </si>
  <si>
    <t>5293542</t>
  </si>
  <si>
    <t>QR PEMUCITO 4SO MAT WHITE/W05 10L</t>
  </si>
  <si>
    <t>5293542/THDP</t>
  </si>
  <si>
    <t>5542205</t>
  </si>
  <si>
    <t>QR IHUBUCUKU HYDRO D2 W/BW05 15L</t>
  </si>
  <si>
    <t>2817062</t>
  </si>
  <si>
    <t>CAN PLS 15L QR UVEZITAD CIFU D2 W/BW05</t>
  </si>
  <si>
    <t>5542205/THDP</t>
  </si>
  <si>
    <t>5229761</t>
  </si>
  <si>
    <t>NH TETOTATOHOGUME BW 15 L</t>
  </si>
  <si>
    <t>5229761/THDP</t>
  </si>
  <si>
    <t>5067585</t>
  </si>
  <si>
    <t>QR MOBITEDUKI FLEX D3-I1 WHITE/BW05 15L</t>
  </si>
  <si>
    <t>2304239</t>
  </si>
  <si>
    <t>CAN PLS 15L QR VEKEDEV FLEX D3-I1 W/BW05</t>
  </si>
  <si>
    <t>5067585/THDP</t>
  </si>
  <si>
    <t>5169889</t>
  </si>
  <si>
    <t>VK HEDATESE HYDRO BLANC BASE P 15 L</t>
  </si>
  <si>
    <t>5169889/THDP</t>
  </si>
  <si>
    <t>5189426</t>
  </si>
  <si>
    <t>QR EZUSIVULO BL BASE W05 15 L</t>
  </si>
  <si>
    <t>5189426/THDP</t>
  </si>
  <si>
    <t>5955360</t>
  </si>
  <si>
    <t>JJ TIBIMEFEL HYDRO BLC BW 5L</t>
  </si>
  <si>
    <t>5955360/THDP</t>
  </si>
  <si>
    <t>5444464</t>
  </si>
  <si>
    <t>QR IHUBUCUKU HYDRO D2 W/BW05 5L</t>
  </si>
  <si>
    <t>2848912</t>
  </si>
  <si>
    <t>CAN PLS 7.5L QR UVEZITAD HYDRO D2 W/BW05</t>
  </si>
  <si>
    <t>5444464/THDP</t>
  </si>
  <si>
    <t>5399405</t>
  </si>
  <si>
    <t>VK HEDATESE HYDRO BLANC BASE P 5 L</t>
  </si>
  <si>
    <t>5399405/THDP</t>
  </si>
  <si>
    <t>5417455</t>
  </si>
  <si>
    <t>S1 PEINT FACADE PUDOCIHI BLANC B.W05 5L</t>
  </si>
  <si>
    <t>5417455/THDP</t>
  </si>
  <si>
    <t>5651157</t>
  </si>
  <si>
    <t>NH TETOTATOHOGUME BW 5 L</t>
  </si>
  <si>
    <t>5651157/THDP</t>
  </si>
  <si>
    <t>5066165</t>
  </si>
  <si>
    <t>QR IHUBUCUKU HYDRO D2 W/BW05 1 L</t>
  </si>
  <si>
    <t>5066165/THDP</t>
  </si>
  <si>
    <t>5805158</t>
  </si>
  <si>
    <t>JJ TIBIMEFEL HYDRO BLC BW 15L</t>
  </si>
  <si>
    <t>5805158/THDP</t>
  </si>
  <si>
    <t>C2955423 BWW0000 VB MIP BIM E3 001</t>
  </si>
  <si>
    <t>5613005</t>
  </si>
  <si>
    <t>WX BLANC CEHULA MAT W/BW 2,5L</t>
  </si>
  <si>
    <t>2853918</t>
  </si>
  <si>
    <t>CAN PLS 2.5L WX BLANC CEHULA EHA</t>
  </si>
  <si>
    <t>5613005/THDP</t>
  </si>
  <si>
    <t>4539476/THDP</t>
  </si>
  <si>
    <t>5731969</t>
  </si>
  <si>
    <t>QR ISORA LOGOGOBARI W05 2,5L</t>
  </si>
  <si>
    <t>5731969/THDP</t>
  </si>
  <si>
    <t>5631716</t>
  </si>
  <si>
    <t>QR ISORA LOGOGOBARI W05 5L</t>
  </si>
  <si>
    <t>2875569</t>
  </si>
  <si>
    <t>CAN PLS 5L QR ISORA LOGOGOBARI W05</t>
  </si>
  <si>
    <t>6</t>
  </si>
  <si>
    <t>5631716/THDP</t>
  </si>
  <si>
    <t>5062652</t>
  </si>
  <si>
    <t>JJ UZAPIG ROLL DU1 12,5L</t>
  </si>
  <si>
    <t>5062652/THDP</t>
  </si>
  <si>
    <t>5223709</t>
  </si>
  <si>
    <t>S1 PEINT MATE MURS ET PLAFONDS B.W05 5L</t>
  </si>
  <si>
    <t>5223709/THDP</t>
  </si>
  <si>
    <t>5324196</t>
  </si>
  <si>
    <t>NH KUMOCIKU MAT BASE W 1L</t>
  </si>
  <si>
    <t>5324196/THDP</t>
  </si>
  <si>
    <t>5493669</t>
  </si>
  <si>
    <t>QR ISORA CLASSIC MAT BASE W05 1 L</t>
  </si>
  <si>
    <t>5493669/THDP</t>
  </si>
  <si>
    <t>5463391</t>
  </si>
  <si>
    <t>S1 PEINT MATE MURS ET PLAFONDS B.W05 1L</t>
  </si>
  <si>
    <t>5463391/THDP</t>
  </si>
  <si>
    <t>5711373</t>
  </si>
  <si>
    <t>QR ISORA CLASSIC MAT BASE W05 15 L</t>
  </si>
  <si>
    <t>5711373/THDP</t>
  </si>
  <si>
    <t>5542819</t>
  </si>
  <si>
    <t>S1 PEINT MATE MURS ET PLAFONDS B.W05 10L</t>
  </si>
  <si>
    <t>5542819/THDP</t>
  </si>
  <si>
    <t>5748624</t>
  </si>
  <si>
    <t>NH KUMOCIKU MAT BASE W 15L</t>
  </si>
  <si>
    <t>5748624/THDP</t>
  </si>
  <si>
    <t>5823332</t>
  </si>
  <si>
    <t>VK OLUHONIS MAT BASE P 15 L</t>
  </si>
  <si>
    <t>5823332/THDP</t>
  </si>
  <si>
    <t>5027834</t>
  </si>
  <si>
    <t>QR ISORA CLASSIC MAT BASE W05 5 L</t>
  </si>
  <si>
    <t>5027834/THDP</t>
  </si>
  <si>
    <t>5074287</t>
  </si>
  <si>
    <t>NH KUMOCIKU MAT BASE W 5L</t>
  </si>
  <si>
    <t>5074287/THDP</t>
  </si>
  <si>
    <t>5949381</t>
  </si>
  <si>
    <t>VK OLUHONIS MAT BASE P 5 L</t>
  </si>
  <si>
    <t>5949381/THDP</t>
  </si>
  <si>
    <t>5054547</t>
  </si>
  <si>
    <t>NH LS MUR &amp; PLAFOND MAT 4+1L</t>
  </si>
  <si>
    <t>2033822</t>
  </si>
  <si>
    <t>CAN PLS 5L NH LS M&amp;P MAT 4+1L</t>
  </si>
  <si>
    <t>5054547/THDP</t>
  </si>
  <si>
    <t>5744712</t>
  </si>
  <si>
    <t>JJ ENOTOFEN BW 3L</t>
  </si>
  <si>
    <t>5744712/THDP</t>
  </si>
  <si>
    <t>5032092</t>
  </si>
  <si>
    <t>VK OLUHONIS MAT BASE P 1 L</t>
  </si>
  <si>
    <t>5032092/THDP</t>
  </si>
  <si>
    <t>5080390</t>
  </si>
  <si>
    <t>WX BLANC CEHULA MAT W/BW 5L</t>
  </si>
  <si>
    <t>2558130</t>
  </si>
  <si>
    <t>CAN PLS 5L WX BLC CEHULA EHA</t>
  </si>
  <si>
    <t>5080390/THDP</t>
  </si>
  <si>
    <t>5831749</t>
  </si>
  <si>
    <t>NH LS MUR &amp; PLAFOND 8+2L</t>
  </si>
  <si>
    <t>2228888</t>
  </si>
  <si>
    <t>CAN PLS 10L NH LS M&amp;P MAT 8+2L</t>
  </si>
  <si>
    <t>5831749/THDP</t>
  </si>
  <si>
    <t>5123198</t>
  </si>
  <si>
    <t>JJ ENOTOFEN BW 10L</t>
  </si>
  <si>
    <t>5123198/THDP</t>
  </si>
  <si>
    <t>5264813</t>
  </si>
  <si>
    <t>QR ISORA LOGOGOBARI W05 10L</t>
  </si>
  <si>
    <t>2098485</t>
  </si>
  <si>
    <t>CAN PLS 10L QR ONUV. ENARISIS. W05 COL12</t>
  </si>
  <si>
    <t>5264813/THDP</t>
  </si>
  <si>
    <t>5577935</t>
  </si>
  <si>
    <t>WX BLANC CEHULA MAT W/BW 10L</t>
  </si>
  <si>
    <t>2918804</t>
  </si>
  <si>
    <t>CAN PLS 10L WX BLANC CEHULA MAT W/BW</t>
  </si>
  <si>
    <t>5577935/THDP</t>
  </si>
  <si>
    <t>C2128209_BWW0100_ISORA POBARUV W05</t>
  </si>
  <si>
    <t>5535817</t>
  </si>
  <si>
    <t>XJ PAGOS CLEAN 001/AW 2,5L</t>
  </si>
  <si>
    <t>5535817/THDP</t>
  </si>
  <si>
    <t>4167519/THDP</t>
  </si>
  <si>
    <t>5734581</t>
  </si>
  <si>
    <t>QR ISORA CAV EASY CL W05 2,5L</t>
  </si>
  <si>
    <t>5734581/THDP</t>
  </si>
  <si>
    <t>5954289</t>
  </si>
  <si>
    <t>QR ISORA CAV EC MAT W05 12,5L</t>
  </si>
  <si>
    <t>2370620</t>
  </si>
  <si>
    <t>CAN PLS 12.5L QR §APIREGACEHUZU W05 MP</t>
  </si>
  <si>
    <t>5954289/THDP</t>
  </si>
  <si>
    <t>5014508</t>
  </si>
  <si>
    <t>YI POBARUV 1 BW 2,5L</t>
  </si>
  <si>
    <t>5014508/THDP</t>
  </si>
  <si>
    <t>5670767</t>
  </si>
  <si>
    <t>NQ Pro POBARUV 1 Base White 0,9L</t>
  </si>
  <si>
    <t>5670767/THDP</t>
  </si>
  <si>
    <t>5300480</t>
  </si>
  <si>
    <t>YI POBARUV 1 BW 10L</t>
  </si>
  <si>
    <t>2760172</t>
  </si>
  <si>
    <t>CAN MTL 10L YI Pobaruv 1 BW BC GEN MP</t>
  </si>
  <si>
    <t>5300480/THDP</t>
  </si>
  <si>
    <t>5326358</t>
  </si>
  <si>
    <t>NQ Pro POBARUV 1 Base White 9L</t>
  </si>
  <si>
    <t>2694540</t>
  </si>
  <si>
    <t>CAN PLS 10L NQ PRO POBARUV 1 BW MOZ MP</t>
  </si>
  <si>
    <t>5326358/THDP</t>
  </si>
  <si>
    <t>5207407</t>
  </si>
  <si>
    <t>NQ Pro POBARUV 1 Base White 4,44L</t>
  </si>
  <si>
    <t>2607368</t>
  </si>
  <si>
    <t>CAN PLS 4.55L NQ PRO POBARUV 1 BW MP</t>
  </si>
  <si>
    <t>5207407/THDP</t>
  </si>
  <si>
    <t>5366638</t>
  </si>
  <si>
    <t>NQ Pro POBARUV 1 Base White 2,18L</t>
  </si>
  <si>
    <t>2876828</t>
  </si>
  <si>
    <t>CAN PLS 2.5L NQ PRO POBARUV 1 BW  MP</t>
  </si>
  <si>
    <t>5366638/THDP</t>
  </si>
  <si>
    <t>5091769</t>
  </si>
  <si>
    <t>QR ISORA CAV EASY CL W05 5L</t>
  </si>
  <si>
    <t>2311475</t>
  </si>
  <si>
    <t>CAN PLS 5L QR APIREGACEHUZU W05 OZ</t>
  </si>
  <si>
    <t>5091769/THDP</t>
  </si>
  <si>
    <t>5322290</t>
  </si>
  <si>
    <t>QR ISORA CAV EASY CL W05 1L</t>
  </si>
  <si>
    <t>5322290/THDP</t>
  </si>
  <si>
    <t>5264502</t>
  </si>
  <si>
    <t>XJ PAGOS CLEAN 001/AW 1L</t>
  </si>
  <si>
    <t>5264502/THDP</t>
  </si>
  <si>
    <t>5653890</t>
  </si>
  <si>
    <t>QR ISORA CAV EASY CL W05 10L</t>
  </si>
  <si>
    <t>2873617</t>
  </si>
  <si>
    <t>CAN PLS 10L QR §APIREGACEHUZU W05  MP</t>
  </si>
  <si>
    <t>5653890/THDP</t>
  </si>
  <si>
    <t>C0428534 BBW0100 AR.I14.01 CEIL OZU BW</t>
  </si>
  <si>
    <t>5323969</t>
  </si>
  <si>
    <t>S1 PRIMAIRE MURS ET PLAFONDS BLANC 5L</t>
  </si>
  <si>
    <t>5323969/THDP</t>
  </si>
  <si>
    <t>4011459/THDP</t>
  </si>
  <si>
    <t>5234849</t>
  </si>
  <si>
    <t>NH KUMOCIKU PRIMER BLANC 5L</t>
  </si>
  <si>
    <t>5234849/THDP</t>
  </si>
  <si>
    <t>5371883</t>
  </si>
  <si>
    <t>XJ KOZAMEGO 001 5L</t>
  </si>
  <si>
    <t>5371883/THDP</t>
  </si>
  <si>
    <t>5689637</t>
  </si>
  <si>
    <t>WX  S/DAMAMI FUKOSIDODUN 2,5 L</t>
  </si>
  <si>
    <t>5689637/THDP</t>
  </si>
  <si>
    <t>5805133</t>
  </si>
  <si>
    <t>JN PLAFOND FACILE 2,5L+ 20%</t>
  </si>
  <si>
    <t>2844385</t>
  </si>
  <si>
    <t>CAN PLS 3L JN PLAFOND FACILE EHA</t>
  </si>
  <si>
    <t>5805133/THDP</t>
  </si>
  <si>
    <t>5891476</t>
  </si>
  <si>
    <t>JN PLAFOND FACILE 5L</t>
  </si>
  <si>
    <t>2277331</t>
  </si>
  <si>
    <t>CAN PLS 5L JN PLAFOND FACILE EHA</t>
  </si>
  <si>
    <t>5891476/THDP</t>
  </si>
  <si>
    <t>5792430</t>
  </si>
  <si>
    <t>VK OLUHONIS PRIM BLANC 15 L</t>
  </si>
  <si>
    <t>5792430/THDP</t>
  </si>
  <si>
    <t>5243465</t>
  </si>
  <si>
    <t>XJ KOZAMEGO 001 10L</t>
  </si>
  <si>
    <t>5243465/THDP</t>
  </si>
  <si>
    <t>5515228</t>
  </si>
  <si>
    <t>WX  S/DAMAMI FUKOSIDODUN 10 L</t>
  </si>
  <si>
    <t>5515228/THDP</t>
  </si>
  <si>
    <t>5424386</t>
  </si>
  <si>
    <t>VK RIBAGEG MAT BLANC 15 L</t>
  </si>
  <si>
    <t>2756457</t>
  </si>
  <si>
    <t>CAN MTL 15L VK RIBAGEG MAT BLANC MP</t>
  </si>
  <si>
    <t>5424386/THDP</t>
  </si>
  <si>
    <t>5843755</t>
  </si>
  <si>
    <t>VK OLUHONIS PRIM BLANC 1 L</t>
  </si>
  <si>
    <t>5843755/THDP</t>
  </si>
  <si>
    <t>5991548</t>
  </si>
  <si>
    <t>QR ISORA CLASSIC PRIMER BLANC 1 L</t>
  </si>
  <si>
    <t>5991548/THDP</t>
  </si>
  <si>
    <t>5978681</t>
  </si>
  <si>
    <t>IJ WALLS PRIMER &amp; U/COAT WHITE 5L</t>
  </si>
  <si>
    <t>2902029</t>
  </si>
  <si>
    <t>CAN PLS 5L BLANK PCK2735 LAG GREY COL12</t>
  </si>
  <si>
    <t>PCK_2735</t>
  </si>
  <si>
    <t>5978681/THDP</t>
  </si>
  <si>
    <t>5089167</t>
  </si>
  <si>
    <t>QR ISORA CLASSIC PRIMER BLANC 5 L</t>
  </si>
  <si>
    <t>5089167/THDP</t>
  </si>
  <si>
    <t>5758699</t>
  </si>
  <si>
    <t>VK OLUHONIS PRIM BLANC 5 L</t>
  </si>
  <si>
    <t>5758699/THDP</t>
  </si>
  <si>
    <t>5601947</t>
  </si>
  <si>
    <t>JN PLAFOND FACILE 2,5L</t>
  </si>
  <si>
    <t>2958832</t>
  </si>
  <si>
    <t>CAN PLS 2.5L JN PLAFOND FACILE MP</t>
  </si>
  <si>
    <t>5601947/THDP</t>
  </si>
  <si>
    <t>5554369</t>
  </si>
  <si>
    <t>JN PLAFOND FACILE 5 + 1L</t>
  </si>
  <si>
    <t>2832906</t>
  </si>
  <si>
    <t>CAN PLS 6L JN PLAFOND FACILE EHA</t>
  </si>
  <si>
    <t>5554369/THDP</t>
  </si>
  <si>
    <t>5912971</t>
  </si>
  <si>
    <t>WX  S/DAMAMI FUKOSIDODUN 5 L</t>
  </si>
  <si>
    <t>5912971/THDP</t>
  </si>
  <si>
    <t>5844364</t>
  </si>
  <si>
    <t>WX S/DAMAMI FUKOSIDODUN 10L+20% =12 L</t>
  </si>
  <si>
    <t>2109088</t>
  </si>
  <si>
    <t>CAN PLS 12.5L WX S/C ZUPIZEB 10L+20</t>
  </si>
  <si>
    <t>5844364/THDP</t>
  </si>
  <si>
    <t>5326807</t>
  </si>
  <si>
    <t>S1 PRIMAIRE MURS ET PLAFONDS BLANC 10L</t>
  </si>
  <si>
    <t>5326807/THDP</t>
  </si>
  <si>
    <t>5884478</t>
  </si>
  <si>
    <t>NH KUMOCIKU PRIMER BLANC 15L</t>
  </si>
  <si>
    <t>5884478/THDP</t>
  </si>
  <si>
    <t>5977367</t>
  </si>
  <si>
    <t>QR ISORA CLASSIC PRIMER BLANC 15 L</t>
  </si>
  <si>
    <t>5977367/THDP</t>
  </si>
  <si>
    <t>C8173479 BBW0100 31.I19.03 IDOPUBO W</t>
  </si>
  <si>
    <t>5750153</t>
  </si>
  <si>
    <t>NH LEC ZILEFEDIB 5 L</t>
  </si>
  <si>
    <t>2995943</t>
  </si>
  <si>
    <t>CAN PLS 5L NH LEC MUR PRIMER WIT</t>
  </si>
  <si>
    <t>5750153/THDP</t>
  </si>
  <si>
    <t>4145975/THDP</t>
  </si>
  <si>
    <t>5116366</t>
  </si>
  <si>
    <t>NH LEC ZILEFEDIB 10 L</t>
  </si>
  <si>
    <t>5116366/THDP</t>
  </si>
  <si>
    <t>5539792</t>
  </si>
  <si>
    <t>QR EZODOFINO PRIMER WHITE 5 L</t>
  </si>
  <si>
    <t>5539792/THDP</t>
  </si>
  <si>
    <t>5602517</t>
  </si>
  <si>
    <t>QR EZODOFINO PRIMER WHITE 10 L</t>
  </si>
  <si>
    <t>2918595</t>
  </si>
  <si>
    <t>CAN PLS 10L QR EZODOFINO PRIMER WIT MOZ</t>
  </si>
  <si>
    <t>5602517/THDP</t>
  </si>
  <si>
    <t>5383139</t>
  </si>
  <si>
    <t>NH LEC ZILEFEDIB 2,5 L</t>
  </si>
  <si>
    <t>5383139/THDP</t>
  </si>
  <si>
    <t>5984701</t>
  </si>
  <si>
    <t>NH LEC ZILEFEDIB 750 ML</t>
  </si>
  <si>
    <t>5984701/THDP</t>
  </si>
  <si>
    <t>5844730</t>
  </si>
  <si>
    <t>WX S/C MASQUE TACHES MULTI-SUP 0,5L</t>
  </si>
  <si>
    <t>5844730/THDP</t>
  </si>
  <si>
    <t>5632785</t>
  </si>
  <si>
    <t>JK ONE COAT STAIN STOP (WB) 1L</t>
  </si>
  <si>
    <t>5632785/THDP</t>
  </si>
  <si>
    <t>5003732</t>
  </si>
  <si>
    <t>HZ CR FUMUZIBUKI WIT 1L</t>
  </si>
  <si>
    <t>2014284</t>
  </si>
  <si>
    <t>CAN MTL 1L BLANK ICE PCK0090 INT. PET</t>
  </si>
  <si>
    <t>5003732/THDP</t>
  </si>
  <si>
    <t>5377769</t>
  </si>
  <si>
    <t>XJ IMUDUNIMI FIX 001 1L</t>
  </si>
  <si>
    <t>5377769/THDP</t>
  </si>
  <si>
    <t>5671056</t>
  </si>
  <si>
    <t>XJ IMUDUNIMI FIX 001 10L</t>
  </si>
  <si>
    <t>2765122</t>
  </si>
  <si>
    <t>CAN PLS 10L XJ IMUDUNIMI FIX 0001 MOZ</t>
  </si>
  <si>
    <t>5671056/THDP</t>
  </si>
  <si>
    <t>5751808</t>
  </si>
  <si>
    <t>HZ SM FUMUZIBUKI WG WIT 2,5L</t>
  </si>
  <si>
    <t>5751808/THDP</t>
  </si>
  <si>
    <t>5946165</t>
  </si>
  <si>
    <t>CQ PRO BINDER 10 L</t>
  </si>
  <si>
    <t>5946165/THDP</t>
  </si>
  <si>
    <t>5367172</t>
  </si>
  <si>
    <t>MQ STAIN BLOCK (WB) 2.5L</t>
  </si>
  <si>
    <t>5367172/THDP</t>
  </si>
  <si>
    <t>5433851</t>
  </si>
  <si>
    <t>WX S/C CUISINE &amp; OGU 2,5 L</t>
  </si>
  <si>
    <t>5433851/THDP</t>
  </si>
  <si>
    <t>5361452</t>
  </si>
  <si>
    <t>MQ STAIN BLOCK (WB) 1L</t>
  </si>
  <si>
    <t>5361452/THDP</t>
  </si>
  <si>
    <t>5821700</t>
  </si>
  <si>
    <t>XJ IMUDUNIMI FIX 001 5L</t>
  </si>
  <si>
    <t>2592299</t>
  </si>
  <si>
    <t>CAN PLS 7.5L XJ IMUDUNIMI FIX 001</t>
  </si>
  <si>
    <t>5821700/THDP</t>
  </si>
  <si>
    <t>5961536</t>
  </si>
  <si>
    <t>NQ DAMP SEAL 0,75L</t>
  </si>
  <si>
    <t>5961536/THDP</t>
  </si>
  <si>
    <t>5123104</t>
  </si>
  <si>
    <t>S1 SOUS-DAMAMI INTERIEURE 1L</t>
  </si>
  <si>
    <t>5123104/THDP</t>
  </si>
  <si>
    <t>5994909</t>
  </si>
  <si>
    <t>CQ PRO OZECULOLA+ 10 L</t>
  </si>
  <si>
    <t>5994909/THDP</t>
  </si>
  <si>
    <t>5603786</t>
  </si>
  <si>
    <t>S1 SOUS-DAMAMI INTERIEURE 10L</t>
  </si>
  <si>
    <t>5603786/THDP</t>
  </si>
  <si>
    <t>5954357</t>
  </si>
  <si>
    <t>WX S/C MASQUE TACHES MULTI-SUPPORTS 10 L</t>
  </si>
  <si>
    <t>2411212</t>
  </si>
  <si>
    <t>CAN MTL 10L BLANK PCK0099 TRI ONUNAR</t>
  </si>
  <si>
    <t>5954357/THDP</t>
  </si>
  <si>
    <t>5130165</t>
  </si>
  <si>
    <t>WX S/C MASQUE TACHES MULTI-SUP 2,5L+20%</t>
  </si>
  <si>
    <t>5130165/THDP</t>
  </si>
  <si>
    <t>5589934</t>
  </si>
  <si>
    <t>NQ DAMP SEAL 2,5L</t>
  </si>
  <si>
    <t>2481672</t>
  </si>
  <si>
    <t>CAN PLS 2,5L BLANK PCK2726 LAG GREYCOL12</t>
  </si>
  <si>
    <t>PCK_2726</t>
  </si>
  <si>
    <t>5589934/THDP</t>
  </si>
  <si>
    <t>5070345</t>
  </si>
  <si>
    <t>WX S/C MASQUE TACHES MULTI-SUP 2,5L</t>
  </si>
  <si>
    <t>5070345/THDP</t>
  </si>
  <si>
    <t>5496575</t>
  </si>
  <si>
    <t>IJ W/PAPER PRIMER U/COAT WHITE 2.5L</t>
  </si>
  <si>
    <t>5496575/THDP</t>
  </si>
  <si>
    <t>5106569</t>
  </si>
  <si>
    <t>NH EASYCLEAN MUR PRIMER 2.5L</t>
  </si>
  <si>
    <t>5106569/THDP</t>
  </si>
  <si>
    <t>5971335</t>
  </si>
  <si>
    <t>HZ EC FUMUZIBUKI WIT 1L</t>
  </si>
  <si>
    <t>5971335/THDP</t>
  </si>
  <si>
    <t>5236806</t>
  </si>
  <si>
    <t>QR EZODOFINO PRIMER WHITE 1 L</t>
  </si>
  <si>
    <t>5236806/THDP</t>
  </si>
  <si>
    <t>5750751</t>
  </si>
  <si>
    <t>S1 FUMUZIBUKI WIT 2,5L</t>
  </si>
  <si>
    <t>5750751/THDP</t>
  </si>
  <si>
    <t>5982330</t>
  </si>
  <si>
    <t>NQ STAIN BLOCK 0,75L</t>
  </si>
  <si>
    <t>5982330/THDP</t>
  </si>
  <si>
    <t>5529222</t>
  </si>
  <si>
    <t>NH VAZIDUV PRIM 100 5 L</t>
  </si>
  <si>
    <t>5529222/THDP</t>
  </si>
  <si>
    <t>5715282</t>
  </si>
  <si>
    <t>JJ ORESU GRUND 5 L</t>
  </si>
  <si>
    <t>5715282/THDP</t>
  </si>
  <si>
    <t>5611916</t>
  </si>
  <si>
    <t>QR ISORA BL IMPRESSION WHITE 1 L</t>
  </si>
  <si>
    <t>5611916/THDP</t>
  </si>
  <si>
    <t>5729215</t>
  </si>
  <si>
    <t>VK IFOFEGUTE PRIM BLANC 5 L</t>
  </si>
  <si>
    <t>5729215/THDP</t>
  </si>
  <si>
    <t>5936797</t>
  </si>
  <si>
    <t>QR PUTUNUPAR PRIMER WHITE 5 L</t>
  </si>
  <si>
    <t>5936797/THDP</t>
  </si>
  <si>
    <t>5830602</t>
  </si>
  <si>
    <t>QR PUTUNUPAR PRIMER WHITE 2,5 L</t>
  </si>
  <si>
    <t>5830602/THDP</t>
  </si>
  <si>
    <t>5050477</t>
  </si>
  <si>
    <t>VK IFOFEGUTE PRIM BLANC 15 L</t>
  </si>
  <si>
    <t>5050477/THDP</t>
  </si>
  <si>
    <t>5818221</t>
  </si>
  <si>
    <t>JJ ORESU GRUND 12,5L</t>
  </si>
  <si>
    <t>2112829</t>
  </si>
  <si>
    <t>CAN PLS 12.5L JJ ORESU GRUND</t>
  </si>
  <si>
    <t>5818221/THDP</t>
  </si>
  <si>
    <t>5668441</t>
  </si>
  <si>
    <t>QR ISORA BL IMPRESSION WHITE 15 L</t>
  </si>
  <si>
    <t>2270117</t>
  </si>
  <si>
    <t>CAN PLS 15L QR ISORA BL IMPRESSION WHITE</t>
  </si>
  <si>
    <t>5668441/THDP</t>
  </si>
  <si>
    <t>5200447</t>
  </si>
  <si>
    <t>NH VAZIDUV PRIM 100 15 L</t>
  </si>
  <si>
    <t>231795</t>
  </si>
  <si>
    <t>CAN MTL 15L BLANK PCK0101 TRI WHITE</t>
  </si>
  <si>
    <t>5200447/THDP</t>
  </si>
  <si>
    <t>5201905</t>
  </si>
  <si>
    <t>XJ IMUDUNIMI 001 10L</t>
  </si>
  <si>
    <t>5201905/THDP</t>
  </si>
  <si>
    <t>5788875</t>
  </si>
  <si>
    <t>QR PUTUNUPAR PRIMER WHITE 10L</t>
  </si>
  <si>
    <t>5788875/THDP</t>
  </si>
  <si>
    <t>5588957</t>
  </si>
  <si>
    <t>QR PEMUCITO PRIMER SF WHITE 5 L</t>
  </si>
  <si>
    <t>5588957/THDP</t>
  </si>
  <si>
    <t>5096358</t>
  </si>
  <si>
    <t>QR ISORA BL IMPRESSION WHITE 5 L</t>
  </si>
  <si>
    <t>5096358/THDP</t>
  </si>
  <si>
    <t>5350716</t>
  </si>
  <si>
    <t>QR PEMUCITO PRIMER SF WHITE 10 L</t>
  </si>
  <si>
    <t>5350716/THDP</t>
  </si>
  <si>
    <t>5281200</t>
  </si>
  <si>
    <t>WX S/C MASQUE TACHES MULTI-SUP 10L+20%</t>
  </si>
  <si>
    <t>2947414</t>
  </si>
  <si>
    <t>CAN MTL 12L WX S/C ZOLA TACH TEV-SUP</t>
  </si>
  <si>
    <t>5281200/THDP</t>
  </si>
  <si>
    <t>5450362</t>
  </si>
  <si>
    <t>LZ FUMUZIBUKI NIDIMAGEDUV WIT 2,5L</t>
  </si>
  <si>
    <t>2816584</t>
  </si>
  <si>
    <t>CAN PLS 2.5L LZ NEHERID. IBOGED WIT MOZ</t>
  </si>
  <si>
    <t>5450362/THDP</t>
  </si>
  <si>
    <t>C7554265 BBW0100 AR.I01.02 AFEDU BW DE</t>
  </si>
  <si>
    <t>5687815</t>
  </si>
  <si>
    <t>QR DISATIRA HD SF W05 2,5L</t>
  </si>
  <si>
    <t>2355789</t>
  </si>
  <si>
    <t>CAN PLS 2,5L BLANK PCK0520 ZIL GREY COL1</t>
  </si>
  <si>
    <t>5687815/THDP</t>
  </si>
  <si>
    <t>4994569/THDP</t>
  </si>
  <si>
    <t>5629998</t>
  </si>
  <si>
    <t>QR DISATIRA HD SF W05 10L</t>
  </si>
  <si>
    <t>5629998/THDP</t>
  </si>
  <si>
    <t>5164974</t>
  </si>
  <si>
    <t>QR ISORA GEZORE SF BASE W05 14L</t>
  </si>
  <si>
    <t>2323189</t>
  </si>
  <si>
    <t>CAN PLS 15L QR ISORA GEZORE SF BASE W05</t>
  </si>
  <si>
    <t>5164974/THDP</t>
  </si>
  <si>
    <t>5858989</t>
  </si>
  <si>
    <t>QR DISATIRA HD SF BASE W05 12,5 L</t>
  </si>
  <si>
    <t>5858989/THDP</t>
  </si>
  <si>
    <t>5966888</t>
  </si>
  <si>
    <t>JJ CL BETOVO. COL EZU DU1 5L</t>
  </si>
  <si>
    <t>D</t>
  </si>
  <si>
    <t>5966888/THDP</t>
  </si>
  <si>
    <t>5955765</t>
  </si>
  <si>
    <t>QR DISATIRA HD SF W05 5L</t>
  </si>
  <si>
    <t>5955765/THDP</t>
  </si>
  <si>
    <t>5782728</t>
  </si>
  <si>
    <t>JJ CL BETOVO. COL EZU BAS DU1 2,5L</t>
  </si>
  <si>
    <t>2139468</t>
  </si>
  <si>
    <t>CAN PLS 2.5L JJ CL INNENWEISS DU1 OT</t>
  </si>
  <si>
    <t>5782728/THDP</t>
  </si>
  <si>
    <t>5822923</t>
  </si>
  <si>
    <t>JJ CL BETOVO. COL EZU BAS DU1 1L</t>
  </si>
  <si>
    <t>5822923/THDP</t>
  </si>
  <si>
    <t>5326614</t>
  </si>
  <si>
    <t>QR DISATIRA HD SF BASE W05 1 L</t>
  </si>
  <si>
    <t>5326614/THDP</t>
  </si>
  <si>
    <t>5796237</t>
  </si>
  <si>
    <t>QR ISORA GEZORE SF BASE W05 1L</t>
  </si>
  <si>
    <t>5796237/THDP</t>
  </si>
  <si>
    <t>5713779</t>
  </si>
  <si>
    <t>QR ISORA GEZORE SF BASE W05 5L</t>
  </si>
  <si>
    <t>2059736</t>
  </si>
  <si>
    <t>CAN PLS 7.5L QR ISORA GEZORE SF BASE W05</t>
  </si>
  <si>
    <t>5713779/THDP</t>
  </si>
  <si>
    <t>5458719</t>
  </si>
  <si>
    <t>JJ CL BETOVO. COL EZU DU1 12,5L</t>
  </si>
  <si>
    <t>2214621</t>
  </si>
  <si>
    <t>CAN PLS 12.5L JJ CL INNENWEISS DU1 OT</t>
  </si>
  <si>
    <t>5458719/THDP</t>
  </si>
  <si>
    <t>C4603733 0000100 ORESU POWER WEISS 2013</t>
  </si>
  <si>
    <t>5584404</t>
  </si>
  <si>
    <t>JJ ORESU POWER RM WEISS 2,5L</t>
  </si>
  <si>
    <t>5584404/THDP</t>
  </si>
  <si>
    <t>4418804/THDP</t>
  </si>
  <si>
    <t>5339890</t>
  </si>
  <si>
    <t>QR ISORA COVER MAT SF WHITE 2,5L</t>
  </si>
  <si>
    <t>5339890/THDP</t>
  </si>
  <si>
    <t>5258648</t>
  </si>
  <si>
    <t>XJ PAGOS ITUPOSA SF 001 2.5L</t>
  </si>
  <si>
    <t>5258648/THDP</t>
  </si>
  <si>
    <t>5444305</t>
  </si>
  <si>
    <t>QR ISORA COVER MAT SF WHITE 10L</t>
  </si>
  <si>
    <t>2499877</t>
  </si>
  <si>
    <t>CAN PLS 10L QR ISORA COVER MAT SF BLC OZ</t>
  </si>
  <si>
    <t>5444305/THDP</t>
  </si>
  <si>
    <t>5691299</t>
  </si>
  <si>
    <t>XJ PAGOS ITUPOSA SF 001 10L</t>
  </si>
  <si>
    <t>2715741</t>
  </si>
  <si>
    <t>CAN PLS 10L XJ PAGOS ITUPOSA SF 001 OZ</t>
  </si>
  <si>
    <t>5691299/THDP</t>
  </si>
  <si>
    <t>5291662</t>
  </si>
  <si>
    <t>XJ PAGOS ITUPOSA SF 001 12,5L</t>
  </si>
  <si>
    <t>5291662/THDP</t>
  </si>
  <si>
    <t>5715897</t>
  </si>
  <si>
    <t>QR FACIBOCIN MATT SF WHITE 12,5 L</t>
  </si>
  <si>
    <t>240141</t>
  </si>
  <si>
    <t>CAN PLS 12,5L BLANK PCK2810JOK GREYCOL20</t>
  </si>
  <si>
    <t>5715897/THDP</t>
  </si>
  <si>
    <t>5784770</t>
  </si>
  <si>
    <t>JJ ORESU POWER RM WEISS 5L</t>
  </si>
  <si>
    <t>5784770/THDP</t>
  </si>
  <si>
    <t>5557643</t>
  </si>
  <si>
    <t>XJ PAGOS ITUPOSA SF 001 1L</t>
  </si>
  <si>
    <t>5557643/THDP</t>
  </si>
  <si>
    <t>5921696</t>
  </si>
  <si>
    <t>JJ ORESU POWER RM WEISS 12,5L</t>
  </si>
  <si>
    <t>2299677</t>
  </si>
  <si>
    <t>CAN PLS 12,5L JJ ORESU POWER BLANC EHA</t>
  </si>
  <si>
    <t>5921696/THDP</t>
  </si>
  <si>
    <t>C7439197 0000100 AR.I23.01 MAT SF W</t>
  </si>
  <si>
    <t>5439442</t>
  </si>
  <si>
    <t>XJ GIHIKOKE MAT SF M 001 2,5L</t>
  </si>
  <si>
    <t>5439442/THDP</t>
  </si>
  <si>
    <t>4497395/THDP</t>
  </si>
  <si>
    <t>5862572</t>
  </si>
  <si>
    <t>XJ GIHIKOKE MAT SF M 001 5 L</t>
  </si>
  <si>
    <t>5862572/THDP</t>
  </si>
  <si>
    <t>5306684</t>
  </si>
  <si>
    <t>JN ARCH. DECO MAT BLANC BW 500ML</t>
  </si>
  <si>
    <t>5306684/THDP</t>
  </si>
  <si>
    <t>5222093</t>
  </si>
  <si>
    <t>QR PEMUCITO SF (NL) WHITE 10L</t>
  </si>
  <si>
    <t>5222093/THDP</t>
  </si>
  <si>
    <t>5388938</t>
  </si>
  <si>
    <t>XJ EDEFAVOGE S.LATEX MAT S1 001 10L</t>
  </si>
  <si>
    <t>5388938/THDP</t>
  </si>
  <si>
    <t>5070410</t>
  </si>
  <si>
    <t>JN BLANC FINITION HINIBEBE MAT 10L</t>
  </si>
  <si>
    <t>2948475</t>
  </si>
  <si>
    <t>CAN MTL 10L JN BLANC FP EHA</t>
  </si>
  <si>
    <t>5070410/THDP</t>
  </si>
  <si>
    <t>5245876</t>
  </si>
  <si>
    <t>XJ GIHIKOKE MAT SF 001 1L</t>
  </si>
  <si>
    <t>5245876/THDP</t>
  </si>
  <si>
    <t>5072517</t>
  </si>
  <si>
    <t>NH VAZIDUV MAT 100 1L</t>
  </si>
  <si>
    <t>5072517/THDP</t>
  </si>
  <si>
    <t>5009686</t>
  </si>
  <si>
    <t>QR PEMUCITO SF M WHITE 10 L</t>
  </si>
  <si>
    <t>2248390</t>
  </si>
  <si>
    <t>CAN PLS 10L QR PEMUCITO SF KUREFE BLC OZ</t>
  </si>
  <si>
    <t>5009686/THDP</t>
  </si>
  <si>
    <t>5579239</t>
  </si>
  <si>
    <t>NH VAZIDUV MAT 100 15 L</t>
  </si>
  <si>
    <t>2544349</t>
  </si>
  <si>
    <t>CAN MTL 15L NH VAZIDUV MAT 100</t>
  </si>
  <si>
    <t>5579239/THDP</t>
  </si>
  <si>
    <t>5842540</t>
  </si>
  <si>
    <t>QR PEMUCITO SF WHITE 5L</t>
  </si>
  <si>
    <t>5842540/THDP</t>
  </si>
  <si>
    <t>5771906</t>
  </si>
  <si>
    <t>XJ GIHIKOKE MAT SF 001 5L</t>
  </si>
  <si>
    <t>5771906/THDP</t>
  </si>
  <si>
    <t>5414258</t>
  </si>
  <si>
    <t>QR PEMUCITO SF M WHITE 5 L</t>
  </si>
  <si>
    <t>5414258/THDP</t>
  </si>
  <si>
    <t>5437810</t>
  </si>
  <si>
    <t>NH VAZIDUV MAT 100 5 L</t>
  </si>
  <si>
    <t>5437810/THDP</t>
  </si>
  <si>
    <t>5556169</t>
  </si>
  <si>
    <t>JN BLANC FINITION HINIBEBE MAT 5L</t>
  </si>
  <si>
    <t>2861439</t>
  </si>
  <si>
    <t>CAN MTL 5L BLANK PCK0446 EXT WHITE CABED</t>
  </si>
  <si>
    <t>PCK_0446</t>
  </si>
  <si>
    <t>5556169/THDP</t>
  </si>
  <si>
    <t>5565486</t>
  </si>
  <si>
    <t>JN ARCH. DECO MAT BLANC BW 5L</t>
  </si>
  <si>
    <t>2385969</t>
  </si>
  <si>
    <t>CAN PLS 7.5L JN ARCH DECO MAT BLC BW</t>
  </si>
  <si>
    <t>5565486/THDP</t>
  </si>
  <si>
    <t>5091762</t>
  </si>
  <si>
    <t>JN ARCH. DECO MAT BLANC BW 2,5L</t>
  </si>
  <si>
    <t>2052153</t>
  </si>
  <si>
    <t>CAN PLS 2.5L JN ARCH. DECO MAT BLC BW</t>
  </si>
  <si>
    <t>5091762/THDP</t>
  </si>
  <si>
    <t>5842559</t>
  </si>
  <si>
    <t>JN BLANC FINITION HINIBEBE MAT 2,5L</t>
  </si>
  <si>
    <t>5842559/THDP</t>
  </si>
  <si>
    <t>5499545</t>
  </si>
  <si>
    <t>XJ GIHIKOKE MAT SF M 001 10L</t>
  </si>
  <si>
    <t>5499545/THDP</t>
  </si>
  <si>
    <t>5867724</t>
  </si>
  <si>
    <t>QR ISORA PROJECT WHITE 10L</t>
  </si>
  <si>
    <t>5867724/THDP</t>
  </si>
  <si>
    <t>5617255</t>
  </si>
  <si>
    <t>JN BLANC FINITION HINIBEBE MAT 10L+20%</t>
  </si>
  <si>
    <t>2441407</t>
  </si>
  <si>
    <t>CAN MTL 12L JN BLC FP MAT EHA</t>
  </si>
  <si>
    <t>5617255/THDP</t>
  </si>
  <si>
    <t>5679473</t>
  </si>
  <si>
    <t>JN ARCH. DECO MAT BLANC BW 10L</t>
  </si>
  <si>
    <t>2731785</t>
  </si>
  <si>
    <t>CAN PLS 10L JN ARCH DECO MAT BLC BW</t>
  </si>
  <si>
    <t>5679473/THDP</t>
  </si>
  <si>
    <t>C2730891 0000100 VB SAT BIM D2 001</t>
  </si>
  <si>
    <t>5472496</t>
  </si>
  <si>
    <t>NH KUMOCIKU SATIN BLANC 5L</t>
  </si>
  <si>
    <t>5472496/THDP</t>
  </si>
  <si>
    <t>4302598/THDP</t>
  </si>
  <si>
    <t>5860227</t>
  </si>
  <si>
    <t>JN BLANC FACILE SATIN 5L</t>
  </si>
  <si>
    <t>5860227/THDP</t>
  </si>
  <si>
    <t>5919715</t>
  </si>
  <si>
    <t>S1 PEINT SATIN MURS ET PLAFONDS LIGI 10L</t>
  </si>
  <si>
    <t>5919715/THDP</t>
  </si>
  <si>
    <t>5782334</t>
  </si>
  <si>
    <t>QR ISORA CLASSIC SATIN BLANC 1L</t>
  </si>
  <si>
    <t>5782334/THDP</t>
  </si>
  <si>
    <t>5490091</t>
  </si>
  <si>
    <t>S1 PEINT SATIN MURS ET PLAFONDS BLANC 1L</t>
  </si>
  <si>
    <t>5490091/THDP</t>
  </si>
  <si>
    <t>5493848</t>
  </si>
  <si>
    <t>NH KUMOCIKU SATIN BLANC 1L</t>
  </si>
  <si>
    <t>5493848/THDP</t>
  </si>
  <si>
    <t>5315090</t>
  </si>
  <si>
    <t>VK OLUHONIS SATIN BLANC  15L</t>
  </si>
  <si>
    <t>5315090/THDP</t>
  </si>
  <si>
    <t>5405543</t>
  </si>
  <si>
    <t>JN BLANC FACILE SATIN BLANC BW 10L</t>
  </si>
  <si>
    <t>5405543/THDP</t>
  </si>
  <si>
    <t>5445743</t>
  </si>
  <si>
    <t>NH KUMOCIKU SATIN BLANC 15L</t>
  </si>
  <si>
    <t>5445743/THDP</t>
  </si>
  <si>
    <t>5796126</t>
  </si>
  <si>
    <t>QR ISORA CLASSIC SATIN BLANC 5L</t>
  </si>
  <si>
    <t>5796126/THDP</t>
  </si>
  <si>
    <t>5254109</t>
  </si>
  <si>
    <t>VK OLUHONIS SATIN BLANC 5L</t>
  </si>
  <si>
    <t>5254109/THDP</t>
  </si>
  <si>
    <t>5032450</t>
  </si>
  <si>
    <t>S1 PEINT SATIN MURS ET PLAFONDS BLANC 5L</t>
  </si>
  <si>
    <t>5032450/THDP</t>
  </si>
  <si>
    <t>5360491</t>
  </si>
  <si>
    <t>JJ LANISUDEVA BLC 3L</t>
  </si>
  <si>
    <t>5360491/THDP</t>
  </si>
  <si>
    <t>5453920</t>
  </si>
  <si>
    <t>VK OLUHONIS SATIN BLANC 1 L</t>
  </si>
  <si>
    <t>5453920/THDP</t>
  </si>
  <si>
    <t>5574817</t>
  </si>
  <si>
    <t>JN BLANC FACILE SATIN BLANC BW 0,5L</t>
  </si>
  <si>
    <t>5574817/THDP</t>
  </si>
  <si>
    <t>5590795</t>
  </si>
  <si>
    <t>JN BLANC FACILE SATIN 2,5L</t>
  </si>
  <si>
    <t>5590795/THDP</t>
  </si>
  <si>
    <t>5808284</t>
  </si>
  <si>
    <t>JN BLANC SIMPLE SAT 2,5L</t>
  </si>
  <si>
    <t>2814330</t>
  </si>
  <si>
    <t>CAN PLS 2.5L JN BLC SIMPLE SAT BLC BW</t>
  </si>
  <si>
    <t>5808284/THDP</t>
  </si>
  <si>
    <t>5019242</t>
  </si>
  <si>
    <t>JN BLANC SIMPLE SAT 5L</t>
  </si>
  <si>
    <t>2775766</t>
  </si>
  <si>
    <t>CAN PLS 5L JN BLANC SIMPLE SAT EHA</t>
  </si>
  <si>
    <t>5019242/THDP</t>
  </si>
  <si>
    <t>5578441</t>
  </si>
  <si>
    <t>JN BLANC FACILE SATIN BLANC BW 10L+20%</t>
  </si>
  <si>
    <t>5578441/THDP</t>
  </si>
  <si>
    <t>5147684</t>
  </si>
  <si>
    <t>QR ISORA CLASSIC SATIN BLANC 15L</t>
  </si>
  <si>
    <t>5147684/THDP</t>
  </si>
  <si>
    <t>5909764</t>
  </si>
  <si>
    <t>JN BLANC SIMPLE SAT 10L</t>
  </si>
  <si>
    <t>2930419</t>
  </si>
  <si>
    <t>CAN PLS 10L JN BLC SIMPLE SAT BLC BW</t>
  </si>
  <si>
    <t>5909764/THDP</t>
  </si>
  <si>
    <t>5631034</t>
  </si>
  <si>
    <t>JJ LANISUDEVA BLC 10L</t>
  </si>
  <si>
    <t>5631034/THDP</t>
  </si>
  <si>
    <t>C0428534 BWW0100 VB MIP BIM C5 001</t>
  </si>
  <si>
    <t>5448273</t>
  </si>
  <si>
    <t>NQ ACRYL MATT  BASE L 2,5L</t>
  </si>
  <si>
    <t>2666112</t>
  </si>
  <si>
    <t>CAN PLS 2.5L HQ HUC 2.5GL NQ MEHAPE EKIC</t>
  </si>
  <si>
    <t>PCK_0303</t>
  </si>
  <si>
    <t>5448273/THDP</t>
  </si>
  <si>
    <t>4304587/THDP</t>
  </si>
  <si>
    <t>5657749</t>
  </si>
  <si>
    <t>NQ ACRYL MATT  BASE L 10L</t>
  </si>
  <si>
    <t>2917954</t>
  </si>
  <si>
    <t>CAN PLS 10L VT HOM 12.2ES NQ FIBA BA SEM</t>
  </si>
  <si>
    <t>5657749/THDP</t>
  </si>
  <si>
    <t>5256942</t>
  </si>
  <si>
    <t>JJ ENOTOFEN GT BLC BW 15L</t>
  </si>
  <si>
    <t>5256942/THDP</t>
  </si>
  <si>
    <t>5786925</t>
  </si>
  <si>
    <t>NQ ACRYL MATT  BASE L 5L</t>
  </si>
  <si>
    <t>2478936</t>
  </si>
  <si>
    <t>CAN PLS 5L NQ HOM 5.6ES ACR MAT BA LIGHT</t>
  </si>
  <si>
    <t>5786925/THDP</t>
  </si>
  <si>
    <t>5418607</t>
  </si>
  <si>
    <t>NQ ACRYL MATT BASE L 1L</t>
  </si>
  <si>
    <t>5418607/THDP</t>
  </si>
  <si>
    <t>5289173</t>
  </si>
  <si>
    <t>IJ WALLS PRIMER &amp; U/COAT WHITE 10L</t>
  </si>
  <si>
    <t>2176850</t>
  </si>
  <si>
    <t>CAN PLS 10L IJ PRIMER &amp; UNDERCOAT(UK) OZ</t>
  </si>
  <si>
    <t>5289173/THDP</t>
  </si>
  <si>
    <t>C4545743 BWW0100 VB EGG STY D3 001</t>
  </si>
  <si>
    <t>5765318</t>
  </si>
  <si>
    <t>JJ PUBANIHIFUNA GT BLC BW 15L</t>
  </si>
  <si>
    <t>5765318/THDP</t>
  </si>
  <si>
    <t>4107918/THDP</t>
  </si>
  <si>
    <t>C7121003 BWW0000 VB MIP BIM B2 001</t>
  </si>
  <si>
    <t>5222102</t>
  </si>
  <si>
    <t>D2 OTEK RIBUVO OPACO 5L</t>
  </si>
  <si>
    <t>2014984</t>
  </si>
  <si>
    <t>CAN PLS 5L BLANK MOZ IML WIT 2513 LAG</t>
  </si>
  <si>
    <t>5222102/THDP</t>
  </si>
  <si>
    <t>4311205/THDP</t>
  </si>
  <si>
    <t>5377703</t>
  </si>
  <si>
    <t>XJ NIROZIVAB PLAFOND 001/AW 2,5 L</t>
  </si>
  <si>
    <t>5377703/THDP</t>
  </si>
  <si>
    <t>5641406</t>
  </si>
  <si>
    <t>NH PLAFOND N 0001 2,5 L</t>
  </si>
  <si>
    <t>5641406/THDP</t>
  </si>
  <si>
    <t>5901152</t>
  </si>
  <si>
    <t>NH LEC PLAFOND 0001 2,5 L</t>
  </si>
  <si>
    <t>5901152/THDP</t>
  </si>
  <si>
    <t>5085415</t>
  </si>
  <si>
    <t>JJ ORESU LG BIANCO=BAS DU1 5L</t>
  </si>
  <si>
    <t>5085415/THDP</t>
  </si>
  <si>
    <t>5113288</t>
  </si>
  <si>
    <t>JJ ORESU IVUZICITA POWER RM WEISS 20 KG</t>
  </si>
  <si>
    <t>5113288/THDP</t>
  </si>
  <si>
    <t>5947434</t>
  </si>
  <si>
    <t>JJ ORESU LG BIANCO=BAS DU1 12,5L</t>
  </si>
  <si>
    <t>5947434/THDP</t>
  </si>
  <si>
    <t>5612297</t>
  </si>
  <si>
    <t>JJ ORESU IVUZICITA POWER RM WEISS 12,5 L</t>
  </si>
  <si>
    <t>5612297/THDP</t>
  </si>
  <si>
    <t>5314255</t>
  </si>
  <si>
    <t>JJ ORESU IVUZICITA POWER BAS DU1 12,5 L</t>
  </si>
  <si>
    <t>5314255/THDP</t>
  </si>
  <si>
    <t>5990405</t>
  </si>
  <si>
    <t>JJ ORESU LG BIANCO=BAS DU1 1L</t>
  </si>
  <si>
    <t>5990405/THDP</t>
  </si>
  <si>
    <t>5053884</t>
  </si>
  <si>
    <t>XJ NIROZIVAB PLAFOND 001/AW 10L</t>
  </si>
  <si>
    <t>2453621</t>
  </si>
  <si>
    <t>CAN PLS 10L XJ DULUBE PLAFOND 001/AW MOZ</t>
  </si>
  <si>
    <t>5053884/THDP</t>
  </si>
  <si>
    <t>5732253</t>
  </si>
  <si>
    <t>NH PLAFOND N 0001 10 L</t>
  </si>
  <si>
    <t>2767856</t>
  </si>
  <si>
    <t>CAN PLS 10L NH PLAFOND NEW 0001 OZ</t>
  </si>
  <si>
    <t>5732253/THDP</t>
  </si>
  <si>
    <t>5940365</t>
  </si>
  <si>
    <t>JJ ORESU IVUZICITA POWER BAS DU1 5 L</t>
  </si>
  <si>
    <t>5940365/THDP</t>
  </si>
  <si>
    <t>5013128</t>
  </si>
  <si>
    <t>D2 OTEK RIBUVO OPACO 1L</t>
  </si>
  <si>
    <t>5013128/THDP</t>
  </si>
  <si>
    <t>5552001</t>
  </si>
  <si>
    <t>NH PLAFOND N 0001 5 L</t>
  </si>
  <si>
    <t>2961866</t>
  </si>
  <si>
    <t>CAN PLS 5L NH PLAFOND NEW 0001 OZ</t>
  </si>
  <si>
    <t>5552001/THDP</t>
  </si>
  <si>
    <t>5557326</t>
  </si>
  <si>
    <t>NH LEC PLAFOND 0001 5 L</t>
  </si>
  <si>
    <t>2495212</t>
  </si>
  <si>
    <t>CAN PLS 5L NH LEC PLAFOND OZ</t>
  </si>
  <si>
    <t>5557326/THDP</t>
  </si>
  <si>
    <t>5934015</t>
  </si>
  <si>
    <t>NH PLAFOND N 0001 5+1 L</t>
  </si>
  <si>
    <t>2007972</t>
  </si>
  <si>
    <t>CAN PLS 6L NH PLAFOND NEW 0001 OZ</t>
  </si>
  <si>
    <t>5934015/THDP</t>
  </si>
  <si>
    <t>5946752</t>
  </si>
  <si>
    <t>XJ PERFORMANCE PROJECT MAT 001/AW 20KG</t>
  </si>
  <si>
    <t>5946752/THDP</t>
  </si>
  <si>
    <t>5819476</t>
  </si>
  <si>
    <t>NH PLAFOND N 0001 10+2 L</t>
  </si>
  <si>
    <t>2456754</t>
  </si>
  <si>
    <t>CAN PLS 12.5L NH PLAFOND N 0001 OZ MOZ</t>
  </si>
  <si>
    <t>5819476/THDP</t>
  </si>
  <si>
    <t>A2260520 BWW0000 EW MIP SIR C BA3 001</t>
  </si>
  <si>
    <t>5782500</t>
  </si>
  <si>
    <t>NQ PRO W/S SILICON PLUS  BASE L 2,5L</t>
  </si>
  <si>
    <t>5782500/THDP</t>
  </si>
  <si>
    <t>4830710/THDP</t>
  </si>
  <si>
    <t>5837678</t>
  </si>
  <si>
    <t>QR MOBITEDUKI EZU WHITE/W05 2,5L</t>
  </si>
  <si>
    <t>5837678/THDP</t>
  </si>
  <si>
    <t>5210200</t>
  </si>
  <si>
    <t>NH LUGO EXT MUUR ZIDOM BASE W 2.5L</t>
  </si>
  <si>
    <t>5210200/THDP</t>
  </si>
  <si>
    <t>5824915</t>
  </si>
  <si>
    <t>NH LUGO EXT MUUR ZIDOM BASE W 5L</t>
  </si>
  <si>
    <t>5824915/THDP</t>
  </si>
  <si>
    <t>5123167</t>
  </si>
  <si>
    <t>VK OGUZIDISEPE + BLANC BASE P 15 L</t>
  </si>
  <si>
    <t>5123167/THDP</t>
  </si>
  <si>
    <t>5767090</t>
  </si>
  <si>
    <t>NH DOKIHEKUG 10 C + BW 15 L</t>
  </si>
  <si>
    <t>5767090/THDP</t>
  </si>
  <si>
    <t>5743543</t>
  </si>
  <si>
    <t>QR MOBITEDUKI WHITE/W05 12,5 L</t>
  </si>
  <si>
    <t>5743543/THDP</t>
  </si>
  <si>
    <t>5268753</t>
  </si>
  <si>
    <t>JJ BOKONASI PLUS EZU RM WEISS 12,5L</t>
  </si>
  <si>
    <t>5268753/THDP</t>
  </si>
  <si>
    <t>5657801</t>
  </si>
  <si>
    <t>JJ BOKONASI PLUS EZU BAS DU1 5L</t>
  </si>
  <si>
    <t>5657801/THDP</t>
  </si>
  <si>
    <t>5651986</t>
  </si>
  <si>
    <t>JJ BOKONASI PLUS EZU RM WEISS 5L</t>
  </si>
  <si>
    <t>5651986/THDP</t>
  </si>
  <si>
    <t>5519966</t>
  </si>
  <si>
    <t>JJ BOKONASI PLUS EZU BAS DU1 1L</t>
  </si>
  <si>
    <t>5519966/THDP</t>
  </si>
  <si>
    <t>5406077</t>
  </si>
  <si>
    <t>NH DOKIHEKUG 10 C + BW 5 L</t>
  </si>
  <si>
    <t>5406077/THDP</t>
  </si>
  <si>
    <t>5490479</t>
  </si>
  <si>
    <t>QR MOBITEDUKI 10C WHITE/B.W05 5L</t>
  </si>
  <si>
    <t>5490479/THDP</t>
  </si>
  <si>
    <t>5611136</t>
  </si>
  <si>
    <t>VK OGUZIDISEPE + BLANC BASE P 5 L</t>
  </si>
  <si>
    <t>5611136/THDP</t>
  </si>
  <si>
    <t>5154325</t>
  </si>
  <si>
    <t>NQ PRO W/S SILICON PLUS  BASE L 5L</t>
  </si>
  <si>
    <t>5154325/THDP</t>
  </si>
  <si>
    <t>5497372</t>
  </si>
  <si>
    <t>JJ BOKONASI PLUS EZU BAS DU1 12,5L</t>
  </si>
  <si>
    <t>5497372/THDP</t>
  </si>
  <si>
    <t>5404639</t>
  </si>
  <si>
    <t>QR MOBITEDUKI 10C WHITE/B.W05 15L</t>
  </si>
  <si>
    <t>5404639/THDP</t>
  </si>
  <si>
    <t>C6253736 0000100 VB DEMERED PEH W</t>
  </si>
  <si>
    <t>5664486</t>
  </si>
  <si>
    <t>XJ EDEFAVOGE SUPER LATEX 001 10L</t>
  </si>
  <si>
    <t>2892439</t>
  </si>
  <si>
    <t>CAN PLS 10L XJ EDEFAVOGE PECAHONOBE CIL</t>
  </si>
  <si>
    <t>5664486/THDP</t>
  </si>
  <si>
    <t>4395538/THDP</t>
  </si>
  <si>
    <t>5634227</t>
  </si>
  <si>
    <t>JJ UZAPIG ROLL SOFT WIT 12,5 L</t>
  </si>
  <si>
    <t>5634227/THDP</t>
  </si>
  <si>
    <t>C2196415 0000100 ONAMAD VELEZAPE 001/W05</t>
  </si>
  <si>
    <t>5655667</t>
  </si>
  <si>
    <t>VK IFOFEGUTE PREMIUM MAT BLANC 1L</t>
  </si>
  <si>
    <t>5655667/THDP</t>
  </si>
  <si>
    <t>4495849/THDP</t>
  </si>
  <si>
    <t>5011496</t>
  </si>
  <si>
    <t>QR PUTUNUPAR HIMOLE WHITE 10 L</t>
  </si>
  <si>
    <t>5011496/THDP</t>
  </si>
  <si>
    <t>5444777</t>
  </si>
  <si>
    <t>QR PEMUCITO MAT REFERENCE WHITE 10L</t>
  </si>
  <si>
    <t>5444777/THDP</t>
  </si>
  <si>
    <t>5154466</t>
  </si>
  <si>
    <t>VK IFOFEGUTE PREMIUM MAT BLANC 5L</t>
  </si>
  <si>
    <t>5154466/THDP</t>
  </si>
  <si>
    <t>5613540</t>
  </si>
  <si>
    <t>NH BEMESIBO MAT COLOR BLANC 2,5L</t>
  </si>
  <si>
    <t>5613540/THDP</t>
  </si>
  <si>
    <t>5521416</t>
  </si>
  <si>
    <t>NH BEMESIBO MAT COLOR BLANC 10L</t>
  </si>
  <si>
    <t>5521416/THDP</t>
  </si>
  <si>
    <t>5604489</t>
  </si>
  <si>
    <t>QR PEMUCITO MAT REFERENCE WHITE 1 L</t>
  </si>
  <si>
    <t>5604489/THDP</t>
  </si>
  <si>
    <t>5969741</t>
  </si>
  <si>
    <t>QR PUTUNUPAR HIMOLE WHITE 5 L</t>
  </si>
  <si>
    <t>5969741/THDP</t>
  </si>
  <si>
    <t>5913889</t>
  </si>
  <si>
    <t>VK IFOFEGUTE PREMIUM MAT BLANC 10L</t>
  </si>
  <si>
    <t>5913889/THDP</t>
  </si>
  <si>
    <t>5513441</t>
  </si>
  <si>
    <t>XJ NIROZIVAB VELEZAPE MAT 001 1L</t>
  </si>
  <si>
    <t>5513441/THDP</t>
  </si>
  <si>
    <t>5951391</t>
  </si>
  <si>
    <t>XJ NIROZIVAB VELEZAPE MAT 001 2,5L</t>
  </si>
  <si>
    <t>5951391/THDP</t>
  </si>
  <si>
    <t>5705266</t>
  </si>
  <si>
    <t>XJ NIROZIVAB VELEZAPE MAT 001 5L</t>
  </si>
  <si>
    <t>5705266/THDP</t>
  </si>
  <si>
    <t>5300867</t>
  </si>
  <si>
    <t>QR PUTUNUPAR HIMOLE WHITE 2,5 L</t>
  </si>
  <si>
    <t>5300867/THDP</t>
  </si>
  <si>
    <t>5305382</t>
  </si>
  <si>
    <t>QR PEMUCITO MAT REFERENCE WHITE 5 L</t>
  </si>
  <si>
    <t>5305382/THDP</t>
  </si>
  <si>
    <t>5064619</t>
  </si>
  <si>
    <t>XJ NIROZIVAB VELEZAPE MAT 001 10L</t>
  </si>
  <si>
    <t>5064619/THDP</t>
  </si>
  <si>
    <t>C5334812 0000100 VB SAT BIM C2 001</t>
  </si>
  <si>
    <t>5344772</t>
  </si>
  <si>
    <t>NH VAZIDUV SATIN BLANC 15 L</t>
  </si>
  <si>
    <t>-</t>
  </si>
  <si>
    <t>5344772/THDP</t>
  </si>
  <si>
    <t>4465094/THDP</t>
  </si>
  <si>
    <t>5443840</t>
  </si>
  <si>
    <t>QR ISORA BL SATIN WHITE 15 L</t>
  </si>
  <si>
    <t>2138490</t>
  </si>
  <si>
    <t>CAN PLS 15L QR ISORA BL SATIN</t>
  </si>
  <si>
    <t>5443840/THDP</t>
  </si>
  <si>
    <t>5182497</t>
  </si>
  <si>
    <t>JJ LATEX SATIN RM WEISS 2,5L</t>
  </si>
  <si>
    <t>5182497/THDP</t>
  </si>
  <si>
    <t>5838865</t>
  </si>
  <si>
    <t>XJ NIROZIVAB SATIN 001 2,5 L</t>
  </si>
  <si>
    <t>5838865/THDP</t>
  </si>
  <si>
    <t>5715341</t>
  </si>
  <si>
    <t>NH LEC MUR SATIN 0001 2,5 L</t>
  </si>
  <si>
    <t>5715341/THDP</t>
  </si>
  <si>
    <t>5222040</t>
  </si>
  <si>
    <t>NH VAZIDUV SATIN BLANC 5 L</t>
  </si>
  <si>
    <t>5222040/THDP</t>
  </si>
  <si>
    <t>5539252</t>
  </si>
  <si>
    <t>JN BLANC FINITION HINIBEBE SATIN 5L</t>
  </si>
  <si>
    <t>:</t>
  </si>
  <si>
    <t>5539252/THDP</t>
  </si>
  <si>
    <t>5995993</t>
  </si>
  <si>
    <t>VK IFOFEGUTE SATIN BLANC 15 L</t>
  </si>
  <si>
    <t>5995993/THDP</t>
  </si>
  <si>
    <t>5030964</t>
  </si>
  <si>
    <t>XJ NIROZIVAB SATIN 001 10 L</t>
  </si>
  <si>
    <t>5030964/THDP</t>
  </si>
  <si>
    <t>5940421</t>
  </si>
  <si>
    <t>JN ARCH. DECO SAT BLANC BW 500ML</t>
  </si>
  <si>
    <t>5940421/THDP</t>
  </si>
  <si>
    <t>5798413</t>
  </si>
  <si>
    <t>JJ LATEX SATIN RM WEISS 5L</t>
  </si>
  <si>
    <t>5798413/THDP</t>
  </si>
  <si>
    <t>5461921</t>
  </si>
  <si>
    <t>QR ISORA BL SATIN WHITE 1 L</t>
  </si>
  <si>
    <t>5461921/THDP</t>
  </si>
  <si>
    <t>5804817</t>
  </si>
  <si>
    <t>NH VAZIDUV SATIN BLANC 1L</t>
  </si>
  <si>
    <t>5804817/THDP</t>
  </si>
  <si>
    <t>5527886</t>
  </si>
  <si>
    <t>XJ NIROZIVAB SATIN 001 1 L</t>
  </si>
  <si>
    <t>5527886/THDP</t>
  </si>
  <si>
    <t>5416149</t>
  </si>
  <si>
    <t>JN BLANC FINITION HINIBEBE SATIN 10L</t>
  </si>
  <si>
    <t>5416149/THDP</t>
  </si>
  <si>
    <t>5655061</t>
  </si>
  <si>
    <t>NH LEC MUR SATIN 0001 10 L</t>
  </si>
  <si>
    <t>2050282</t>
  </si>
  <si>
    <t>CAN PLS 10L NH LEC MUR SATIN 001 MOZ MP</t>
  </si>
  <si>
    <t>5655061/THDP</t>
  </si>
  <si>
    <t>5890431</t>
  </si>
  <si>
    <t>XJ NIROZIVAB SATIN 001 5 L</t>
  </si>
  <si>
    <t>5890431/THDP</t>
  </si>
  <si>
    <t>5875717</t>
  </si>
  <si>
    <t>VK IFOFEGUTE SATIN BLANC 5 L</t>
  </si>
  <si>
    <t>5875717/THDP</t>
  </si>
  <si>
    <t>5030259</t>
  </si>
  <si>
    <t>QR ISORA BL SATIN WHITE 5 L</t>
  </si>
  <si>
    <t>5030259/THDP</t>
  </si>
  <si>
    <t>5956653</t>
  </si>
  <si>
    <t>NH LEC MUR SATIN 0001 5 L</t>
  </si>
  <si>
    <t>2331572</t>
  </si>
  <si>
    <t>CAN PLS 5L NH LEC MUR SATIN MOZ</t>
  </si>
  <si>
    <t>5956653/THDP</t>
  </si>
  <si>
    <t>5932876</t>
  </si>
  <si>
    <t>JN ARCH. DECO SAT BLANC BW 5L</t>
  </si>
  <si>
    <t>2923616</t>
  </si>
  <si>
    <t>CAN PLS 7.5L JN ARCH DECO SAT BLC BW</t>
  </si>
  <si>
    <t>5932876/THDP</t>
  </si>
  <si>
    <t>5296788</t>
  </si>
  <si>
    <t>JN BLANC FINITION HINIBEBE SATIN 2,5L</t>
  </si>
  <si>
    <t>5296788/THDP</t>
  </si>
  <si>
    <t>5274782</t>
  </si>
  <si>
    <t>JN ARCH. DECO SAT BLANC BW 2,5L</t>
  </si>
  <si>
    <t>2405361</t>
  </si>
  <si>
    <t>CAN PLS 2.5L JN ARCH. DECO SAT BLC BW</t>
  </si>
  <si>
    <t>5274782/THDP</t>
  </si>
  <si>
    <t>5995305</t>
  </si>
  <si>
    <t>JJ LATEX SATIN RM WEISS 12,5L</t>
  </si>
  <si>
    <t>2061315</t>
  </si>
  <si>
    <t>CAN PLS 12,5L JJ LATEX SATIN BLC EHA</t>
  </si>
  <si>
    <t>5995305/THDP</t>
  </si>
  <si>
    <t>5592548</t>
  </si>
  <si>
    <t>JN BLANC FINITION HINIBEBE SATIN 10L+20%</t>
  </si>
  <si>
    <t>2082294</t>
  </si>
  <si>
    <t>CAN MTL 12L JN BLC FP SAT EHA</t>
  </si>
  <si>
    <t>5592548/THDP</t>
  </si>
  <si>
    <t>5150081</t>
  </si>
  <si>
    <t>JN ARCH. DECO SAT BLANC BW 10L</t>
  </si>
  <si>
    <t>2894768</t>
  </si>
  <si>
    <t>CAN PLS 10L JN ARCH DECO SAT BLC BW</t>
  </si>
  <si>
    <t>5150081/THDP</t>
  </si>
  <si>
    <t>C7439197 0GN0288 VB MIP BIM B2 003 W</t>
  </si>
  <si>
    <t>5382612</t>
  </si>
  <si>
    <t>QR PEMUCITO SF RAL 9010 10L</t>
  </si>
  <si>
    <t>5382612/THDP</t>
  </si>
  <si>
    <t>4856973/THDP</t>
  </si>
  <si>
    <t>5749328</t>
  </si>
  <si>
    <t>XJ GIHIKOKE MAT SF RAL9010 10L</t>
  </si>
  <si>
    <t>5749328/THDP</t>
  </si>
  <si>
    <t>5337332</t>
  </si>
  <si>
    <t>S1 MUREN &amp; PLAFONDS MAT RAL9010 10L</t>
  </si>
  <si>
    <t>2157374</t>
  </si>
  <si>
    <t>CAN PLS 10L S1 MUREN &amp; PLAFONDS MAT 9010</t>
  </si>
  <si>
    <t>5337332/THDP</t>
  </si>
  <si>
    <t>5042616</t>
  </si>
  <si>
    <t>QR ISORA PROJECT RAL9010 10L</t>
  </si>
  <si>
    <t>5042616/THDP</t>
  </si>
  <si>
    <t>5214462</t>
  </si>
  <si>
    <t>QR PEMUCITO SF M RAL 9010 10 L</t>
  </si>
  <si>
    <t>2433100</t>
  </si>
  <si>
    <t>CAN PLS 10L QR PEMUCITO SF KUREFE 9010OZ</t>
  </si>
  <si>
    <t>5214462/THDP</t>
  </si>
  <si>
    <t>C2128209 BWW0000 VB PAKE STY D1 001</t>
  </si>
  <si>
    <t>5975259</t>
  </si>
  <si>
    <t>YS HEMOSIK KOLOPAF WHITE= WB 1 L</t>
  </si>
  <si>
    <t>5975259/THDP</t>
  </si>
  <si>
    <t>4714905/THDP</t>
  </si>
  <si>
    <t>5843665</t>
  </si>
  <si>
    <t>QR ISORA CAV EASY CL WHITE 2,5L</t>
  </si>
  <si>
    <t>5843665/THDP</t>
  </si>
  <si>
    <t>5229440</t>
  </si>
  <si>
    <t>QR ISORA CAV EASY CL WHITE 10L</t>
  </si>
  <si>
    <t>2088791</t>
  </si>
  <si>
    <t>CAN PLS 10L QR §APIREGACEHUZU BLC OZ MOZ</t>
  </si>
  <si>
    <t>5229440/THDP</t>
  </si>
  <si>
    <t>5467413</t>
  </si>
  <si>
    <t>QR ISORA CAV EC MAT WHITE 12,5L</t>
  </si>
  <si>
    <t>2386255</t>
  </si>
  <si>
    <t>CAN PLS 12.5L QR §APIREGACEHUZU BLC MP</t>
  </si>
  <si>
    <t>5467413/THDP</t>
  </si>
  <si>
    <t>5280425</t>
  </si>
  <si>
    <t>QR ISORA CAV EASY CL WHITE 1L</t>
  </si>
  <si>
    <t>5280425/THDP</t>
  </si>
  <si>
    <t>5942708</t>
  </si>
  <si>
    <t>HZ PURE YN EXT MAT WHITE/W05 7,5L</t>
  </si>
  <si>
    <t>2009754</t>
  </si>
  <si>
    <t>CAN PLS 7.5L HZ PURE YN EX MAT BLACK MOZ</t>
  </si>
  <si>
    <t>5942708/THDP</t>
  </si>
  <si>
    <t>5847780</t>
  </si>
  <si>
    <t>YS HEMOSIK KOLOPAF WHITE =WB 4 L</t>
  </si>
  <si>
    <t>2283103</t>
  </si>
  <si>
    <t>CAN PLS 4L YS HEMOSIK KOLOPAF WHITE =WB</t>
  </si>
  <si>
    <t>5847780/THDP</t>
  </si>
  <si>
    <t>5599692</t>
  </si>
  <si>
    <t>QR ISORA CAV EASY CL WHITE 5L</t>
  </si>
  <si>
    <t>2979339</t>
  </si>
  <si>
    <t>CAN PLS 5L QR FUGAPOTALAS BLC OZ</t>
  </si>
  <si>
    <t>5599692/THDP</t>
  </si>
  <si>
    <t>5480881</t>
  </si>
  <si>
    <t>XJ PAGOS CLEAN 001/AW 10L</t>
  </si>
  <si>
    <t>2176533</t>
  </si>
  <si>
    <t>CAN PLS 10L XJ PAGOS CL MAT 001/AW</t>
  </si>
  <si>
    <t>5480881/THDP</t>
  </si>
  <si>
    <t>5449957</t>
  </si>
  <si>
    <t>YS HEMOSIK KOLOPAF WHITE=WB  10 L</t>
  </si>
  <si>
    <t>2512896</t>
  </si>
  <si>
    <t>CAN PLS 10L YS HEMOSIK KOLOPAF WHITE=WB</t>
  </si>
  <si>
    <t>5449957/THDP</t>
  </si>
  <si>
    <t>C5519700 E784225 VB EGG OKE C1 001 Eco</t>
  </si>
  <si>
    <t>5705588</t>
  </si>
  <si>
    <t>NH VAZIDUV VELOURS BLANC 5 L</t>
  </si>
  <si>
    <t>5705588/THDP</t>
  </si>
  <si>
    <t>4180927/THDP</t>
  </si>
  <si>
    <t>5770836</t>
  </si>
  <si>
    <t>JN ARCH. DECO VELOURS BLANC BW 500ML</t>
  </si>
  <si>
    <t>5770836/THDP</t>
  </si>
  <si>
    <t>5261644</t>
  </si>
  <si>
    <t>NH VAZIDUV VELOURS BLANC 15 L</t>
  </si>
  <si>
    <t>5261644/THDP</t>
  </si>
  <si>
    <t>5625109</t>
  </si>
  <si>
    <t>QR ISORA BL VELOURS WHITE 5 L</t>
  </si>
  <si>
    <t>5625109/THDP</t>
  </si>
  <si>
    <t>5448424</t>
  </si>
  <si>
    <t>QR ISORA BL VELOURS WHITE 1 L</t>
  </si>
  <si>
    <t>5448424/THDP</t>
  </si>
  <si>
    <t>5048819</t>
  </si>
  <si>
    <t>NH VAZIDUV VELOURS BLANC 1 L</t>
  </si>
  <si>
    <t>5048819/THDP</t>
  </si>
  <si>
    <t>5716885</t>
  </si>
  <si>
    <t>JN ARCH. DECO VELOURS BLANC BW 5L</t>
  </si>
  <si>
    <t>2994851</t>
  </si>
  <si>
    <t>CAN PLS 7.5L JN ARCH DECO REN BLC BW</t>
  </si>
  <si>
    <t>5716885/THDP</t>
  </si>
  <si>
    <t>5407274</t>
  </si>
  <si>
    <t>JN ARCH. DECO VELOURS BLANC BW 2,5L</t>
  </si>
  <si>
    <t>2350864</t>
  </si>
  <si>
    <t>CAN PLS 2.5L JN ARCH. DECO REN BLC BW</t>
  </si>
  <si>
    <t>5407274/THDP</t>
  </si>
  <si>
    <t>5340852</t>
  </si>
  <si>
    <t>QR ISORA BL VELOURS WHITE 15 L</t>
  </si>
  <si>
    <t>5340852/THDP</t>
  </si>
  <si>
    <t>5705094</t>
  </si>
  <si>
    <t>JN ARCH. DECO VELOURS BLANC BW 10L</t>
  </si>
  <si>
    <t>2605630</t>
  </si>
  <si>
    <t>CAN PLS 10L JN ARCH DECO REN BLC BW</t>
  </si>
  <si>
    <t>5705094/THDP</t>
  </si>
  <si>
    <t>A5230850 BWW0000 SATIN EXT FC BW</t>
  </si>
  <si>
    <t>5152996</t>
  </si>
  <si>
    <t>VT FASSADENSCHUTZ MIX BASIS 1 5 L</t>
  </si>
  <si>
    <t>5152996/THDP</t>
  </si>
  <si>
    <t>4549916/THDP</t>
  </si>
  <si>
    <t>5503488</t>
  </si>
  <si>
    <t>VT FASSADENSCHUTZ WEISS 10 L</t>
  </si>
  <si>
    <t>5503488/THDP</t>
  </si>
  <si>
    <t>5371350</t>
  </si>
  <si>
    <t>VT FASSADENSCHUTZ WEISS 5 L</t>
  </si>
  <si>
    <t>5371350/THDP</t>
  </si>
  <si>
    <t>5260291</t>
  </si>
  <si>
    <t>VT FASSADENSCHUTZ MIX BASIS 1 10 L</t>
  </si>
  <si>
    <t>5260291/THDP</t>
  </si>
  <si>
    <t>5219629</t>
  </si>
  <si>
    <t>VT FASSADENSCHUTZ MIX BASIS 1 2,5 L</t>
  </si>
  <si>
    <t>5219629/THDP</t>
  </si>
  <si>
    <t>5323593</t>
  </si>
  <si>
    <t>NH MUUR BUITEN MIX BASE W 5 L</t>
  </si>
  <si>
    <t>5323593/THDP</t>
  </si>
  <si>
    <t>5996888</t>
  </si>
  <si>
    <t>NH MUUR BUITEN 0001 6 L</t>
  </si>
  <si>
    <t>2641422</t>
  </si>
  <si>
    <t>CAN PLS 10L NH PIHISODOBO PROMO 5+1L G2</t>
  </si>
  <si>
    <t>5996888/THDP</t>
  </si>
  <si>
    <t>5819297</t>
  </si>
  <si>
    <t>NH MUUR BUITEN 0001 12 L</t>
  </si>
  <si>
    <t>2761576</t>
  </si>
  <si>
    <t>CAN PLS 12.5L BLANK MOZ IML WIT 0523 ILO</t>
  </si>
  <si>
    <t>5819297/THDP</t>
  </si>
  <si>
    <t>5653032</t>
  </si>
  <si>
    <t>JJ KALAPUFU RIFILIDOMO BAS DU1 12,5L</t>
  </si>
  <si>
    <t>5653032/THDP</t>
  </si>
  <si>
    <t>5951371</t>
  </si>
  <si>
    <t>XJ HAFOSOLIG FACADE 001/AW 5 L</t>
  </si>
  <si>
    <t>5951371/THDP</t>
  </si>
  <si>
    <t>5577776</t>
  </si>
  <si>
    <t>XJ HAFOSOLIG VILLA REN 001/AW 1L</t>
  </si>
  <si>
    <t>5577776/THDP</t>
  </si>
  <si>
    <t>5002706</t>
  </si>
  <si>
    <t>XJ HAFOSOLIG VILLA REN 001/AW 5L</t>
  </si>
  <si>
    <t>5002706/THDP</t>
  </si>
  <si>
    <t>5189575</t>
  </si>
  <si>
    <t>NH MUUR BUITEN MIX BASE W 2,5 L</t>
  </si>
  <si>
    <t>5189575/THDP</t>
  </si>
  <si>
    <t>5478120</t>
  </si>
  <si>
    <t>NH BEDEVIHUD SATIN BW 15 L</t>
  </si>
  <si>
    <t>5478120/THDP</t>
  </si>
  <si>
    <t>5651234</t>
  </si>
  <si>
    <t>NH MUUR BUITEN 0001 10 L</t>
  </si>
  <si>
    <t>5651234/THDP</t>
  </si>
  <si>
    <t>5913940</t>
  </si>
  <si>
    <t>NH MUUR BUITEN  0001 2,5 L</t>
  </si>
  <si>
    <t>5913940/THDP</t>
  </si>
  <si>
    <t>5442001</t>
  </si>
  <si>
    <t>NH MUUR BUITEN 0001 5 L</t>
  </si>
  <si>
    <t>2540865</t>
  </si>
  <si>
    <t>CAN PLS 10L NH PIHISODOBO 0001 G2</t>
  </si>
  <si>
    <t>5442001/THDP</t>
  </si>
  <si>
    <t>5402624</t>
  </si>
  <si>
    <t>WX RERAREDU. FACADES BLANC BW 2,5L</t>
  </si>
  <si>
    <t>2313116</t>
  </si>
  <si>
    <t>CAN PLS 2.5L JN RERAREDU FACADES G2</t>
  </si>
  <si>
    <t>5402624/THDP</t>
  </si>
  <si>
    <t>5130146</t>
  </si>
  <si>
    <t>XJ HAFOSOLIG FACADE 001/AW 1 L</t>
  </si>
  <si>
    <t>5130146/THDP</t>
  </si>
  <si>
    <t>5694269</t>
  </si>
  <si>
    <t>JJ KALAPUFU RIFILIDOMO RM WEISS 12,5L</t>
  </si>
  <si>
    <t>5694269/THDP</t>
  </si>
  <si>
    <t>5575529</t>
  </si>
  <si>
    <t>NH EXPERT GEVEL GIZ MIX BASE W 10 L</t>
  </si>
  <si>
    <t>5575529/THDP</t>
  </si>
  <si>
    <t>5400035</t>
  </si>
  <si>
    <t>NH EXPERT GEVEL GIZ 0001 2,5 L</t>
  </si>
  <si>
    <t>5400035/THDP</t>
  </si>
  <si>
    <t>5869740</t>
  </si>
  <si>
    <t>QR PEMUCITO IQ BASE W05 12,5 L</t>
  </si>
  <si>
    <t>5869740/THDP</t>
  </si>
  <si>
    <t>5761198</t>
  </si>
  <si>
    <t>QR PEMUCITO IQ WHITE 5L</t>
  </si>
  <si>
    <t>5761198/THDP</t>
  </si>
  <si>
    <t>5953333</t>
  </si>
  <si>
    <t>QR PEMUCITO IQ W05 5L</t>
  </si>
  <si>
    <t>5953333/THDP</t>
  </si>
  <si>
    <t>5033474</t>
  </si>
  <si>
    <t>QR PEMUCITO IQ W05 1L</t>
  </si>
  <si>
    <t>5033474/THDP</t>
  </si>
  <si>
    <t>5112838</t>
  </si>
  <si>
    <t>HZ SM BUITEN TIPUCO W05 2,5L</t>
  </si>
  <si>
    <t>2355526</t>
  </si>
  <si>
    <t>CAN PLS 2.5L HZ RACO BUITEN BS W05 G2</t>
  </si>
  <si>
    <t>5112838/THDP</t>
  </si>
  <si>
    <t>5601347</t>
  </si>
  <si>
    <t>HZ SM BUITEN TIPUCO WIT 2,5L</t>
  </si>
  <si>
    <t>5601347/THDP</t>
  </si>
  <si>
    <t>5067995</t>
  </si>
  <si>
    <t>WX RERAREDU. FACADES BLANC BW 1L</t>
  </si>
  <si>
    <t>5067995/THDP</t>
  </si>
  <si>
    <t>5496181</t>
  </si>
  <si>
    <t>JN MULTI-IHUK FACADE BLANC 1L</t>
  </si>
  <si>
    <t>5496181/THDP</t>
  </si>
  <si>
    <t>5316905</t>
  </si>
  <si>
    <t>NH EXPERT GEVEL GIZ MIX BASE W 1 L</t>
  </si>
  <si>
    <t>5316905/THDP</t>
  </si>
  <si>
    <t>5672569</t>
  </si>
  <si>
    <t>QR PEMUCITO IQ WHITE 10L</t>
  </si>
  <si>
    <t>2392711</t>
  </si>
  <si>
    <t>CAN PLS 10L QR PEMUCITO IQ MOZ G2</t>
  </si>
  <si>
    <t>5672569/THDP</t>
  </si>
  <si>
    <t>5159294</t>
  </si>
  <si>
    <t>QR PEMUCITO IQ WHITE 1L</t>
  </si>
  <si>
    <t>5159294/THDP</t>
  </si>
  <si>
    <t>5954981</t>
  </si>
  <si>
    <t>NH EXPERT GEVEL GIZ MIX BASE W 5 L</t>
  </si>
  <si>
    <t>5954981/THDP</t>
  </si>
  <si>
    <t>5660081</t>
  </si>
  <si>
    <t>NH EXPERT GEVEL EMEKEV BASE W 2,5L</t>
  </si>
  <si>
    <t>5660081/THDP</t>
  </si>
  <si>
    <t>5041671</t>
  </si>
  <si>
    <t>NH EXPERT GEVEL GIZ 0001 10 L</t>
  </si>
  <si>
    <t>5041671/THDP</t>
  </si>
  <si>
    <t>5065489</t>
  </si>
  <si>
    <t>NH EXPERT GEVEL GIZ 0001 5 L</t>
  </si>
  <si>
    <t>2923549</t>
  </si>
  <si>
    <t>CAN PLS 10L NH EXP GEVEL FACADE 0001 G2</t>
  </si>
  <si>
    <t>5065489/THDP</t>
  </si>
  <si>
    <t>5335696</t>
  </si>
  <si>
    <t>NH EXPERT GEVEL GIZ 0001 1 L</t>
  </si>
  <si>
    <t>5335696/THDP</t>
  </si>
  <si>
    <t>5220221</t>
  </si>
  <si>
    <t>QR PEMUCITO IQ WHITE 12,5 L</t>
  </si>
  <si>
    <t>5220221/THDP</t>
  </si>
  <si>
    <t>5699338</t>
  </si>
  <si>
    <t>JN MULTI-IHUK FACADE BLANC BW 2,5L</t>
  </si>
  <si>
    <t>5699338/THDP</t>
  </si>
  <si>
    <t>5279547</t>
  </si>
  <si>
    <t>JN MULTI-IHUK FACADE BLANC BW 10L</t>
  </si>
  <si>
    <t>2384030</t>
  </si>
  <si>
    <t>CAN MTL 10L JN KECUDUFIG FAÇADE G2</t>
  </si>
  <si>
    <t>5279547/THDP</t>
  </si>
  <si>
    <t>C5519700 0000100 VB EGG OKE C1 001</t>
  </si>
  <si>
    <t>5832619</t>
  </si>
  <si>
    <t>NH MUUR BINNEN MAT 0001 2,5 L</t>
  </si>
  <si>
    <t>5832619/THDP</t>
  </si>
  <si>
    <t>4184259/THDP</t>
  </si>
  <si>
    <t>5548334</t>
  </si>
  <si>
    <t>JN BLANC FINITION HINIBEBE VELOURS 2,5L</t>
  </si>
  <si>
    <t>2693006</t>
  </si>
  <si>
    <t>CAN PLS 2.5L JN BLANC FINI PARA VELOURS</t>
  </si>
  <si>
    <t>5548334/THDP</t>
  </si>
  <si>
    <t>5768212</t>
  </si>
  <si>
    <t>JN BLANC RUFIB RESISTANCE VELOURS 2,5L</t>
  </si>
  <si>
    <t>2202966</t>
  </si>
  <si>
    <t>CAN PLS 2.5L JN BLANC RUFIB IHU VELOURS</t>
  </si>
  <si>
    <t>5768212/THDP</t>
  </si>
  <si>
    <t>5015168</t>
  </si>
  <si>
    <t>JN BLANC VELOURS 98% M&amp;P PH. AQU. 2,5L</t>
  </si>
  <si>
    <t>5015168/THDP</t>
  </si>
  <si>
    <t>5466754</t>
  </si>
  <si>
    <t>JN BLANC FINITION HINIBEBE VELOURS 5L</t>
  </si>
  <si>
    <t>2046003</t>
  </si>
  <si>
    <t>CAN MTL 5L JN BLANC FP VELOURS</t>
  </si>
  <si>
    <t>;</t>
  </si>
  <si>
    <t>5466754/THDP</t>
  </si>
  <si>
    <t>5666991</t>
  </si>
  <si>
    <t>JN BLANC RUFIB RESISTANCE VELOURS 10L</t>
  </si>
  <si>
    <t>2578233</t>
  </si>
  <si>
    <t>CAN MTL 10L JN BLANC HR REN MP</t>
  </si>
  <si>
    <t>5666991/THDP</t>
  </si>
  <si>
    <t>5104770</t>
  </si>
  <si>
    <t>JN BLANC VELOURS 98% M&amp;P PH. AQU. 10L</t>
  </si>
  <si>
    <t>2406851</t>
  </si>
  <si>
    <t>CAN MTL 10L JN BLC OLA 98%M&amp;P PH.AQU CIL</t>
  </si>
  <si>
    <t>5104770/THDP</t>
  </si>
  <si>
    <t>5592155</t>
  </si>
  <si>
    <t>JN BLANC FINITION HINIBEBE VELOURS 10L</t>
  </si>
  <si>
    <t>2618214</t>
  </si>
  <si>
    <t>CAN MTL 10L JN BLANC FP REN EHA</t>
  </si>
  <si>
    <t>5592155/THDP</t>
  </si>
  <si>
    <t>5238355</t>
  </si>
  <si>
    <t>XJ NIROZIVAB VELOURS 001 5L</t>
  </si>
  <si>
    <t>5238355/THDP</t>
  </si>
  <si>
    <t>5390924</t>
  </si>
  <si>
    <t>NH MUUR BINNEN MAT 0001 1 L</t>
  </si>
  <si>
    <t>5390924/THDP</t>
  </si>
  <si>
    <t>5785141</t>
  </si>
  <si>
    <t>NH WHITE+ ALL IN ONE 5L</t>
  </si>
  <si>
    <t>2585845</t>
  </si>
  <si>
    <t>CAN PLS 5L NH WHITE+ AIR CLEAN EHA</t>
  </si>
  <si>
    <t>5785141/THDP</t>
  </si>
  <si>
    <t>5431502</t>
  </si>
  <si>
    <t>NH MUUR BINNEN MAT 0001 5 L</t>
  </si>
  <si>
    <t>2743240</t>
  </si>
  <si>
    <t>CAN PLS 5L NH MUUR BINNEN 0001</t>
  </si>
  <si>
    <t>5431502/THDP</t>
  </si>
  <si>
    <t>5079385</t>
  </si>
  <si>
    <t>NH MUUR BINNEN MAT 0001 6 L</t>
  </si>
  <si>
    <t>2570892</t>
  </si>
  <si>
    <t>CAN PLS 6L NH MUR MAT 0001 EHA</t>
  </si>
  <si>
    <t>5079385/THDP</t>
  </si>
  <si>
    <t>5578006</t>
  </si>
  <si>
    <t>JN BLANC RUFIB RESISTANCE VELOURS 5L</t>
  </si>
  <si>
    <t>2942778</t>
  </si>
  <si>
    <t>CAN PLS 5L JN BLANC RUFIB IHU VELOURS</t>
  </si>
  <si>
    <t>5578006/THDP</t>
  </si>
  <si>
    <t>5028524</t>
  </si>
  <si>
    <t>JN BLANC VELOURS 98% M&amp;P PH. AQU. 5L</t>
  </si>
  <si>
    <t>5028524/THDP</t>
  </si>
  <si>
    <t>5738084</t>
  </si>
  <si>
    <t>NH MUUR BINNEN MAT 0001 12 L</t>
  </si>
  <si>
    <t>2899002</t>
  </si>
  <si>
    <t>CAN PLS 12,5L NH MUUR BINNEN MAT 001 MOZ</t>
  </si>
  <si>
    <t>5738084/THDP</t>
  </si>
  <si>
    <t>5729452</t>
  </si>
  <si>
    <t>JN BLANC REN 98% M&amp;P PH. AQU. 10+20%=12L</t>
  </si>
  <si>
    <t>2221528</t>
  </si>
  <si>
    <t>CAN MTL 12L JN BLC OLA 98%M&amp;P PH.AQU MP</t>
  </si>
  <si>
    <t>5729452/THDP</t>
  </si>
  <si>
    <t>5755249</t>
  </si>
  <si>
    <t>JN BLANC FINITION HINIBEBE REN 10L+20%</t>
  </si>
  <si>
    <t>2371436</t>
  </si>
  <si>
    <t>CAN MTL 12L JN BLC FP REN EHA</t>
  </si>
  <si>
    <t>5755249/THDP</t>
  </si>
  <si>
    <t>C6011540 BWW0000 VB MAT AESTHETICS V1 BW</t>
  </si>
  <si>
    <t>5474314</t>
  </si>
  <si>
    <t>HZ PURE YN EXT MAT W05 2,5L</t>
  </si>
  <si>
    <t>5474314/THDP</t>
  </si>
  <si>
    <t>4963715/THDP</t>
  </si>
  <si>
    <t>5788042</t>
  </si>
  <si>
    <t>HZ PURE YN EXT MAT W05 500ML</t>
  </si>
  <si>
    <t>200046</t>
  </si>
  <si>
    <t>CAN MTL 0,5L BLANK PCK0086 TRI NU</t>
  </si>
  <si>
    <t>PCK_0086</t>
  </si>
  <si>
    <t>5788042/THDP</t>
  </si>
  <si>
    <t>5791014</t>
  </si>
  <si>
    <t>NH ATELIER PLAFOND BASE W 2,5 L</t>
  </si>
  <si>
    <t>5791014/THDP</t>
  </si>
  <si>
    <t>5918436</t>
  </si>
  <si>
    <t>JJ ORESU JK 03 BAS DU1 1L</t>
  </si>
  <si>
    <t>5918436/THDP</t>
  </si>
  <si>
    <t>5781910</t>
  </si>
  <si>
    <t>HZ PURE YN EXT MAT W05 1L</t>
  </si>
  <si>
    <t>5781910/THDP</t>
  </si>
  <si>
    <t>5954615</t>
  </si>
  <si>
    <t>NH ATELIER PLAFOND BASE W 5 L</t>
  </si>
  <si>
    <t>5954615/THDP</t>
  </si>
  <si>
    <t>5049722</t>
  </si>
  <si>
    <t>JJ ORESU JK 03 BAS DU1 5L</t>
  </si>
  <si>
    <t>5049722/THDP</t>
  </si>
  <si>
    <t>5032465</t>
  </si>
  <si>
    <t>HZ PURE YN EXT MAT W05 5L</t>
  </si>
  <si>
    <t>5032465/THDP</t>
  </si>
  <si>
    <t>5059786</t>
  </si>
  <si>
    <t>XJ PAGOS DIBEDIGEN 001/AW 2,5L</t>
  </si>
  <si>
    <t>5059786/THDP</t>
  </si>
  <si>
    <t>5689141</t>
  </si>
  <si>
    <t>JJ ORESU JK 03 BAS DU1 12,5L</t>
  </si>
  <si>
    <t>2327374</t>
  </si>
  <si>
    <t>CAN PLS 12,5L JJ CAZ JK 03 BAS DU1</t>
  </si>
  <si>
    <t>5689141/THDP</t>
  </si>
  <si>
    <t>5133366</t>
  </si>
  <si>
    <t>XJ PAGOS DIBEDIGEN 001/AW 10L</t>
  </si>
  <si>
    <t>2804703</t>
  </si>
  <si>
    <t>CAN PLS 10L XJ PAGOS SP MAT 001/AW</t>
  </si>
  <si>
    <t>5133366/THDP</t>
  </si>
  <si>
    <t>C7439197 0000200 VB MAT BIM C2 003</t>
  </si>
  <si>
    <t>5640050</t>
  </si>
  <si>
    <t>JJ LATEX SEMUGOVURI WHITE 12,5L</t>
  </si>
  <si>
    <t>5640050/THDP</t>
  </si>
  <si>
    <t>4095574/THDP</t>
  </si>
  <si>
    <t>5257252</t>
  </si>
  <si>
    <t>S1 MUREN &amp; PLAFONDS MAT WIT 10L</t>
  </si>
  <si>
    <t>2756790</t>
  </si>
  <si>
    <t>CAN PLS 10L S1 MUREN &amp; PLAFONDS MAT WIT</t>
  </si>
  <si>
    <t>5257252/THDP</t>
  </si>
  <si>
    <t>A8607181 BWW0100 EW FAR PAC E AB3 001</t>
  </si>
  <si>
    <t>5011469</t>
  </si>
  <si>
    <t>QR PEMUCITO IQ MAT WHITE/W05 5L</t>
  </si>
  <si>
    <t>2169253</t>
  </si>
  <si>
    <t>CAN PLS 7.5L QR ALP IQ M BLC W05  MP</t>
  </si>
  <si>
    <t>5011469/THDP</t>
  </si>
  <si>
    <t>4705892/THDP</t>
  </si>
  <si>
    <t>5832915</t>
  </si>
  <si>
    <t>JJ KALAPUFU MATT WEISS/DU1 12,5L</t>
  </si>
  <si>
    <t>(</t>
  </si>
  <si>
    <t>5832915/THDP</t>
  </si>
  <si>
    <t>5618960</t>
  </si>
  <si>
    <t>JJ KALAPUFU MATT EZU BAS DU1 2,5L</t>
  </si>
  <si>
    <t>5618960/THDP</t>
  </si>
  <si>
    <t>5430074</t>
  </si>
  <si>
    <t>QR ISORA OMUDULENU. EZU BASE W05 5 L</t>
  </si>
  <si>
    <t>5430074/THDP</t>
  </si>
  <si>
    <t>5869591</t>
  </si>
  <si>
    <t>XJ HAFOSOLIG VILLA MAT 001/AW 10L</t>
  </si>
  <si>
    <t>5869591/THDP</t>
  </si>
  <si>
    <t>5525658</t>
  </si>
  <si>
    <t>QR PEMUCITO IQ MAT WH/W05 10L</t>
  </si>
  <si>
    <t>2766498</t>
  </si>
  <si>
    <t>CAN PLS 10L QR RIFEVULI KENOC/W05  MP</t>
  </si>
  <si>
    <t>5525658/THDP</t>
  </si>
  <si>
    <t>5117903</t>
  </si>
  <si>
    <t>QR PEMUCITO IQ MAT NEW W05/WHITE 12,5 L</t>
  </si>
  <si>
    <t>5117903/THDP</t>
  </si>
  <si>
    <t>5972393</t>
  </si>
  <si>
    <t>JJ KALAPUFU MATT EZU BAS DU1 5L</t>
  </si>
  <si>
    <t>5972393/THDP</t>
  </si>
  <si>
    <t>5657715</t>
  </si>
  <si>
    <t>JJ KALAPUFU MATT EZU RM WEISS 12,5L</t>
  </si>
  <si>
    <t>5657715/THDP</t>
  </si>
  <si>
    <t>5000095</t>
  </si>
  <si>
    <t>JJ KALAPUFU ALL SEASONS BCO=DU1 12,5L</t>
  </si>
  <si>
    <t>5000095/THDP</t>
  </si>
  <si>
    <t>5046903</t>
  </si>
  <si>
    <t>JJ KALAPUFU MATT EZU RM WEISS 2,5L</t>
  </si>
  <si>
    <t>5046903/THDP</t>
  </si>
  <si>
    <t>5157858</t>
  </si>
  <si>
    <t>JJ KALAPUFU MATT EZU RM WEISS 5L</t>
  </si>
  <si>
    <t>5157858/THDP</t>
  </si>
  <si>
    <t>5317609</t>
  </si>
  <si>
    <t>JJ KALAPUFU ALL SEASONS BCO = DU1  5L</t>
  </si>
  <si>
    <t>5317609/THDP</t>
  </si>
  <si>
    <t>5769759</t>
  </si>
  <si>
    <t>JJ KALAPUFU MATT EZU BAS DU1 1L</t>
  </si>
  <si>
    <t>5769759/THDP</t>
  </si>
  <si>
    <t>5977429</t>
  </si>
  <si>
    <t>QR ISORA OMUDULENU. EZU BASE W05 1 L</t>
  </si>
  <si>
    <t>5977429/THDP</t>
  </si>
  <si>
    <t>5724549</t>
  </si>
  <si>
    <t>JJ KALAPUFU ALL SEASONS BCO DU1  1L</t>
  </si>
  <si>
    <t>5724549/THDP</t>
  </si>
  <si>
    <t>5660724</t>
  </si>
  <si>
    <t>NH BEDEVIHUD + MAT BLANC BW 1 L</t>
  </si>
  <si>
    <t>5660724/THDP</t>
  </si>
  <si>
    <t>5386113</t>
  </si>
  <si>
    <t>VK EKUMUKIMIR + BLANC BASE P 1 L</t>
  </si>
  <si>
    <t>5386113/THDP</t>
  </si>
  <si>
    <t>5616984</t>
  </si>
  <si>
    <t>NH BEDEVIHUD + MAT MIX BLANC BW 15 L</t>
  </si>
  <si>
    <t>5616984/THDP</t>
  </si>
  <si>
    <t>5647237</t>
  </si>
  <si>
    <t>QR ISORA OMUDULENU. EZU BASE W05 10 L</t>
  </si>
  <si>
    <t>5647237/THDP</t>
  </si>
  <si>
    <t>5298761</t>
  </si>
  <si>
    <t>QR ISORA OMUDULENU. EZU BASE W05 2,5L</t>
  </si>
  <si>
    <t>5298761/THDP</t>
  </si>
  <si>
    <t>5388948</t>
  </si>
  <si>
    <t>XJ HAFOSOLIG VILLA MAT 001/AW 5L</t>
  </si>
  <si>
    <t>5388948/THDP</t>
  </si>
  <si>
    <t>5125072</t>
  </si>
  <si>
    <t>VK EKUMUKIMIR + BLANC BASE P 5 L</t>
  </si>
  <si>
    <t>5125072/THDP</t>
  </si>
  <si>
    <t>5915864</t>
  </si>
  <si>
    <t>NH BEDEVIHUD + MAT MIX BLANC BW 5 L</t>
  </si>
  <si>
    <t>5915864/THDP</t>
  </si>
  <si>
    <t>5767766</t>
  </si>
  <si>
    <t>QR PEMUCITO IQ MAT WHITE/W05 1L</t>
  </si>
  <si>
    <t>5767766/THDP</t>
  </si>
  <si>
    <t>5361173</t>
  </si>
  <si>
    <t>QR PEMUCITO IQ MAT NEW WHITE/W05 15L</t>
  </si>
  <si>
    <t>5361173/THDP</t>
  </si>
  <si>
    <t>C7024385 0001501 TAFABO I/WEISS MAT</t>
  </si>
  <si>
    <t>5199523</t>
  </si>
  <si>
    <t>JJ CL BETOVO. COL RM WEISS 5L</t>
  </si>
  <si>
    <t>5199523/THDP</t>
  </si>
  <si>
    <t>4652786/THDP</t>
  </si>
  <si>
    <t>5284308</t>
  </si>
  <si>
    <t>QR DISATIRA HD SF WHITE 10L</t>
  </si>
  <si>
    <t>5284308/THDP</t>
  </si>
  <si>
    <t>5917746</t>
  </si>
  <si>
    <t>QR DISATIRA HD SF WHITE 5L</t>
  </si>
  <si>
    <t>5917746/THDP</t>
  </si>
  <si>
    <t>5952571</t>
  </si>
  <si>
    <t>QR DISATIRA HD SF WHITE 2,5 L</t>
  </si>
  <si>
    <t>&gt;</t>
  </si>
  <si>
    <t>5952571/THDP</t>
  </si>
  <si>
    <t>5636295</t>
  </si>
  <si>
    <t>JJ CL BETOVO. COL RM WEISS 2,5L</t>
  </si>
  <si>
    <t>5636295/THDP</t>
  </si>
  <si>
    <t>5459836</t>
  </si>
  <si>
    <t>QR DISATIRA HD SF WHITE 12,5 L</t>
  </si>
  <si>
    <t>5459836/THDP</t>
  </si>
  <si>
    <t>5772723</t>
  </si>
  <si>
    <t>QR ISORA GEZORE SF BIANCO 5L</t>
  </si>
  <si>
    <t>2246517</t>
  </si>
  <si>
    <t>CAN PLS 7.5L QR ISORA GOLAF SF BIANCO 5L</t>
  </si>
  <si>
    <t>5772723/THDP</t>
  </si>
  <si>
    <t>5610155</t>
  </si>
  <si>
    <t>JJ CL BETOVO. COL RM WEISS 12,5L</t>
  </si>
  <si>
    <t>5610155/THDP</t>
  </si>
  <si>
    <t>5596257</t>
  </si>
  <si>
    <t>QR ISORA GEZORE SF BIANCO 14L</t>
  </si>
  <si>
    <t>2978436</t>
  </si>
  <si>
    <t>CAN PLS 15L QR ISORA GEZORE SF BIANCO</t>
  </si>
  <si>
    <t>5596257/THDP</t>
  </si>
  <si>
    <t>C0428534 BBW0100 AR.I14.01 CEIL OZU BW 2</t>
  </si>
  <si>
    <t>5560107</t>
  </si>
  <si>
    <t>WX S/C J6 PLAQUES ATEDOS 2,5 L</t>
  </si>
  <si>
    <t>5560107/THDP</t>
  </si>
  <si>
    <t>4368102/THDP</t>
  </si>
  <si>
    <t>5259278</t>
  </si>
  <si>
    <t>WX S/C J6 PLAQUES ATEDOS 2,5 L+20%</t>
  </si>
  <si>
    <t>5259278/THDP</t>
  </si>
  <si>
    <t>5012505</t>
  </si>
  <si>
    <t>JN SOUS-DAMAMI PLAQUES DE ATEDOS 10L+20%</t>
  </si>
  <si>
    <t>2385716</t>
  </si>
  <si>
    <t>CAN PLS 12.5L JN SC Plaques de Atedos</t>
  </si>
  <si>
    <t>5012505/THDP</t>
  </si>
  <si>
    <t>5040148</t>
  </si>
  <si>
    <t>JN SOUS-DAMAMI PLAQUES DE ATEDOS 10L</t>
  </si>
  <si>
    <t>2414601</t>
  </si>
  <si>
    <t>CAN PLS 10L JN SC Plaques de Atedos</t>
  </si>
  <si>
    <t>5040148/THDP</t>
  </si>
  <si>
    <t>5006614</t>
  </si>
  <si>
    <t>WX S/C J6 PLAQUES ATEDOS 500 ML</t>
  </si>
  <si>
    <t>5006614/THDP</t>
  </si>
  <si>
    <t>5658548</t>
  </si>
  <si>
    <t>WX S/C J6 PLAQUES ATEDOS 10 L</t>
  </si>
  <si>
    <t>5658548/THDP</t>
  </si>
  <si>
    <t>5855263</t>
  </si>
  <si>
    <t>JN SOUS-DAMAMI PLAQUES DE ATEDOS 5L</t>
  </si>
  <si>
    <t>2226825</t>
  </si>
  <si>
    <t>CAN PLS 7.5L JN SC Plaques de Atedos</t>
  </si>
  <si>
    <t>5855263/THDP</t>
  </si>
  <si>
    <t>5332257</t>
  </si>
  <si>
    <t>WX S/C J6 PLAQUES ATEDOS 10 L+20%</t>
  </si>
  <si>
    <t>2011541</t>
  </si>
  <si>
    <t>CAN PLS 12.5L WX S/C J6 AHUV PLAT 10+20%</t>
  </si>
  <si>
    <t>5332257/THDP</t>
  </si>
  <si>
    <t>C6253736 0GN0288 VB DEMERED PEH 9010</t>
  </si>
  <si>
    <t>5024595</t>
  </si>
  <si>
    <t>JJ UZAPIG ROLL SOFT RAL 9010 12,5 L</t>
  </si>
  <si>
    <t>5024595/THDP</t>
  </si>
  <si>
    <t>4769831/THDP</t>
  </si>
  <si>
    <t>5113790</t>
  </si>
  <si>
    <t>XJ EDEFAVOGE SUPER LAT 9010 10L</t>
  </si>
  <si>
    <t>5113790/THDP</t>
  </si>
  <si>
    <t>C4830419 0000100 31.I24.01 ZUPICO SF W</t>
  </si>
  <si>
    <t>5384899</t>
  </si>
  <si>
    <t>YJ STAIN BLOCK MATT WHITE 1L</t>
  </si>
  <si>
    <t>5384899/THDP</t>
  </si>
  <si>
    <t>4491401/THDP</t>
  </si>
  <si>
    <t>5179731</t>
  </si>
  <si>
    <t>RY ZOMISATUP WHITE 1L</t>
  </si>
  <si>
    <t>5179731/THDP</t>
  </si>
  <si>
    <t>5577287</t>
  </si>
  <si>
    <t>RY ZOMISATUP WHITE 5L</t>
  </si>
  <si>
    <t>5577287/THDP</t>
  </si>
  <si>
    <t>5413455</t>
  </si>
  <si>
    <t>XJ GIHIKOKE ZUPICO 001/AW 2,5L</t>
  </si>
  <si>
    <t>5413455/THDP</t>
  </si>
  <si>
    <t>5907805</t>
  </si>
  <si>
    <t>NH CISOLEPIZULUHI PRIMER 5L</t>
  </si>
  <si>
    <t>5907805/THDP</t>
  </si>
  <si>
    <t>5706320</t>
  </si>
  <si>
    <t>NH CISOLEPIZULUHI PRIMER 2,5L</t>
  </si>
  <si>
    <t>2062972</t>
  </si>
  <si>
    <t>CAN MTL 2,5L BLANK PCK008 TRI HDL WHITE</t>
  </si>
  <si>
    <t>PCK_0008</t>
  </si>
  <si>
    <t>5706320/THDP</t>
  </si>
  <si>
    <t>5157450</t>
  </si>
  <si>
    <t>QX FLECKEN BLOCKER 750 ML</t>
  </si>
  <si>
    <t>5157450/THDP</t>
  </si>
  <si>
    <t>5495084</t>
  </si>
  <si>
    <t>QX FLECKEN BLOCKER 2,5 L</t>
  </si>
  <si>
    <t>5495084/THDP</t>
  </si>
  <si>
    <t>5794070</t>
  </si>
  <si>
    <t>NH HEVOT MAT ACRYL PLUS BLANC BW 10L</t>
  </si>
  <si>
    <t>5794070/THDP</t>
  </si>
  <si>
    <t>5909425</t>
  </si>
  <si>
    <t>XJ GIHIKOKE ZUPICO 001/AW 10L</t>
  </si>
  <si>
    <t>5909425/THDP</t>
  </si>
  <si>
    <t>5026475</t>
  </si>
  <si>
    <t>VK IFOFEGUTE PUVIM ST BLANC BASE P 10L</t>
  </si>
  <si>
    <t>5026475/THDP</t>
  </si>
  <si>
    <t>5953237</t>
  </si>
  <si>
    <t>CQ ORIGINAL HIVENIFAK ISO 1 L</t>
  </si>
  <si>
    <t>5953237/THDP</t>
  </si>
  <si>
    <t>5520610</t>
  </si>
  <si>
    <t>CQ ORIGINAL HIVENIFAK ISO 10 L</t>
  </si>
  <si>
    <t>2653350</t>
  </si>
  <si>
    <t>CAN PLS 10L CQ ORIGINAL HIVENIFAK ISO</t>
  </si>
  <si>
    <t>5520610/THDP</t>
  </si>
  <si>
    <t>5861395</t>
  </si>
  <si>
    <t>CQ PRO ZOLOGO 10 L</t>
  </si>
  <si>
    <t>5861395/THDP</t>
  </si>
  <si>
    <t>5203494</t>
  </si>
  <si>
    <t>YJ STAIN BLOCK MATT WHITE 2.5L</t>
  </si>
  <si>
    <t>5203494/THDP</t>
  </si>
  <si>
    <t>5994095</t>
  </si>
  <si>
    <t>CQ ORIGINAL HIVENIFAK ISO 2,5 L</t>
  </si>
  <si>
    <t>2921852</t>
  </si>
  <si>
    <t>CAN PLS 2.5L CQ ORIGINAL HIVENIFAK ISO</t>
  </si>
  <si>
    <t>5994095/THDP</t>
  </si>
  <si>
    <t>5022041</t>
  </si>
  <si>
    <t>QR ISORA PINAKI SF SOTEN WHITE 10 L</t>
  </si>
  <si>
    <t>2994773</t>
  </si>
  <si>
    <t>CAN PLS 10L QR ISORA PINAKI SF MOZ</t>
  </si>
  <si>
    <t>5022041/THDP</t>
  </si>
  <si>
    <t>5835690</t>
  </si>
  <si>
    <t>YJ STAIN BLOCK MATT WHITE 5L</t>
  </si>
  <si>
    <t>2370439</t>
  </si>
  <si>
    <t>CAN MTL 5L BLANK PCK2717 TRI HDL WHITE</t>
  </si>
  <si>
    <t>PCK_2717</t>
  </si>
  <si>
    <t>5835690/THDP</t>
  </si>
  <si>
    <t>5015567</t>
  </si>
  <si>
    <t>IY STAIN BLOCK PAINT MASOGA 0000 4 L</t>
  </si>
  <si>
    <t>2989479</t>
  </si>
  <si>
    <t>CAN MTL 4L BLANK PCK2055 TRI CLEAR</t>
  </si>
  <si>
    <t>PCK_2055</t>
  </si>
  <si>
    <t>5015567/THDP</t>
  </si>
  <si>
    <t>5276176</t>
  </si>
  <si>
    <t>IY STAIN BLOCK PAINT MASOGA 0000 0.75 L</t>
  </si>
  <si>
    <t>2002892</t>
  </si>
  <si>
    <t>CAN MTL 0,75L BLANK PCK0032 ICE FULL PET</t>
  </si>
  <si>
    <t>5276176/THDP</t>
  </si>
  <si>
    <t>5417881</t>
  </si>
  <si>
    <t>QR ISORA PINAKI WHITE/BASE W05 10L</t>
  </si>
  <si>
    <t>5417881/THDP</t>
  </si>
  <si>
    <t>A0157414 BBW0100 01.E17.01 QR EGAKULA BW</t>
  </si>
  <si>
    <t>5576049</t>
  </si>
  <si>
    <t>QR MOBITEDUKI FLEX WH./W05 2,5L</t>
  </si>
  <si>
    <t>5576049/THDP</t>
  </si>
  <si>
    <t>4677102/THDP</t>
  </si>
  <si>
    <t>5671402</t>
  </si>
  <si>
    <t>QR MOBITEDUKI FLEX B.EJ=BASE W05 14L</t>
  </si>
  <si>
    <t>5671402/THDP</t>
  </si>
  <si>
    <t>5826344</t>
  </si>
  <si>
    <t>XJ TOLIGIGEF FLEX 001/AW 10L</t>
  </si>
  <si>
    <t>5826344/THDP</t>
  </si>
  <si>
    <t>5147937</t>
  </si>
  <si>
    <t>VK KOVADIKA BLANC BASE P 15 L</t>
  </si>
  <si>
    <t>5147937/THDP</t>
  </si>
  <si>
    <t>5261077</t>
  </si>
  <si>
    <t>RZ R60 SILOXANE COATING MAT WHITE=WB 15L</t>
  </si>
  <si>
    <t>2012763</t>
  </si>
  <si>
    <t>CAN PLS 15L BLANK MOZ IML WIT 0524 ILO</t>
  </si>
  <si>
    <t>5261077/THDP</t>
  </si>
  <si>
    <t>5884115</t>
  </si>
  <si>
    <t>QR MOBITEDUKI FLEX D3-I1 WHITE/BW05 5L</t>
  </si>
  <si>
    <t>5884115/THDP</t>
  </si>
  <si>
    <t>5976737</t>
  </si>
  <si>
    <t>QR MOBITEDUKI FLEX WH./W05 10L</t>
  </si>
  <si>
    <t>2810707</t>
  </si>
  <si>
    <t>CAN PLS 10L QR MOBITEDUKI FLEX WH/W05 MP</t>
  </si>
  <si>
    <t>5976737/THDP</t>
  </si>
  <si>
    <t>5825820</t>
  </si>
  <si>
    <t>YS ZIHATUGO FOGE MIX BASE BB 10 L</t>
  </si>
  <si>
    <t>5825820/THDP</t>
  </si>
  <si>
    <t>5079400</t>
  </si>
  <si>
    <t>NH BEDEVIHUD RS 700 BW 15 L</t>
  </si>
  <si>
    <t>2457868</t>
  </si>
  <si>
    <t>CAN PLS 15L NH BEDEVIHUD RS700 BW G2</t>
  </si>
  <si>
    <t>5079400/THDP</t>
  </si>
  <si>
    <t>5508419</t>
  </si>
  <si>
    <t>YS ZIHATUGO FOGE BLANCO 15 L</t>
  </si>
  <si>
    <t>2923648</t>
  </si>
  <si>
    <t>CAN PLS 15L YS ZIHATUGO VEGUPUVO BLC G2</t>
  </si>
  <si>
    <t>5508419/THDP</t>
  </si>
  <si>
    <t>5681207</t>
  </si>
  <si>
    <t>XJ TOLIGIGEF FLEX 001/AW 5L</t>
  </si>
  <si>
    <t>5681207/THDP</t>
  </si>
  <si>
    <t>5250286</t>
  </si>
  <si>
    <t>XJ TOLIGIGEF FLEX AW 5 L</t>
  </si>
  <si>
    <t>5250286/THDP</t>
  </si>
  <si>
    <t>C7569018 FWW0000 VB SAT OKE E2 001 F</t>
  </si>
  <si>
    <t>5113050</t>
  </si>
  <si>
    <t>RZ P40 VINYL PREMIUM SAT BLANCO=BB 1L</t>
  </si>
  <si>
    <t>5113050/THDP</t>
  </si>
  <si>
    <t>4524765/THDP</t>
  </si>
  <si>
    <t>5034115</t>
  </si>
  <si>
    <t>YS HEMOSIK SAT WHITE= BB  1 L</t>
  </si>
  <si>
    <t>5034115/THDP</t>
  </si>
  <si>
    <t>5910408</t>
  </si>
  <si>
    <t>RZ P40 VINYL PREMIUM SAT BLANCO=BB 4L</t>
  </si>
  <si>
    <t>2946235</t>
  </si>
  <si>
    <t>CAN PLS 4L RZ P40 VINYL PREMIUM SAT WB</t>
  </si>
  <si>
    <t>5910408/THDP</t>
  </si>
  <si>
    <t>5331637</t>
  </si>
  <si>
    <t>YS HEMOSIK SAT BLANCO= WB 4 L</t>
  </si>
  <si>
    <t>2295349</t>
  </si>
  <si>
    <t>CAN PLS 4L YS HEMOSIK SAT BLANCO=WB</t>
  </si>
  <si>
    <t>5331637/THDP</t>
  </si>
  <si>
    <t>5879598</t>
  </si>
  <si>
    <t>SQ PEMILOF SAT WHITE=WB 4L</t>
  </si>
  <si>
    <t>2355803</t>
  </si>
  <si>
    <t>CAN PLS 4L SQ PEMILOF SAT.BLANCO</t>
  </si>
  <si>
    <t>5879598/THDP</t>
  </si>
  <si>
    <t>5847187</t>
  </si>
  <si>
    <t>IY ATUHILA SATIN  4L</t>
  </si>
  <si>
    <t>2069265</t>
  </si>
  <si>
    <t>CAN PLS 4L IY ATUHILA SATINADO MOZ</t>
  </si>
  <si>
    <t>5847187/THDP</t>
  </si>
  <si>
    <t>5960991</t>
  </si>
  <si>
    <t>IY ATUHILA SATIN MIX WB 4L</t>
  </si>
  <si>
    <t>2634088</t>
  </si>
  <si>
    <t>CAN PLS 4L IY ATUHILA SAT MIX WB MOZ</t>
  </si>
  <si>
    <t>5960991/THDP</t>
  </si>
  <si>
    <t>5580642</t>
  </si>
  <si>
    <t>IY ATUHILA SATIN MIX WB 0,75L</t>
  </si>
  <si>
    <t>2377480</t>
  </si>
  <si>
    <t>CAN MTL 0,75L BLANK PCK0531 TRI CLEAR</t>
  </si>
  <si>
    <t>PCK_0531</t>
  </si>
  <si>
    <t>5580642/THDP</t>
  </si>
  <si>
    <t>5161947</t>
  </si>
  <si>
    <t>SQ PEMILOF SAT WHITE=WB 0,75L</t>
  </si>
  <si>
    <t>5161947/THDP</t>
  </si>
  <si>
    <t>5535441</t>
  </si>
  <si>
    <t>IY ATUHILA SATIN 15L</t>
  </si>
  <si>
    <t>2027495</t>
  </si>
  <si>
    <t>CAN PLS 15L IY ATUHILA SATINADO MOZ</t>
  </si>
  <si>
    <t>5535441/THDP</t>
  </si>
  <si>
    <t>5492993</t>
  </si>
  <si>
    <t>SQ PEMILOF SAT WHITE=WB 15L</t>
  </si>
  <si>
    <t>5492993/THDP</t>
  </si>
  <si>
    <t>5869071</t>
  </si>
  <si>
    <t>YS HEMOSIK SAT WHITE=BB 15 L</t>
  </si>
  <si>
    <t>2038173</t>
  </si>
  <si>
    <t>CAN PLS 15L YS HEMOSIK SAT WHITE=BB</t>
  </si>
  <si>
    <t>5869071/THDP</t>
  </si>
  <si>
    <t>5121143</t>
  </si>
  <si>
    <t>RZ P40 VINYL DEMAVO SAT WHITE=WB 15L</t>
  </si>
  <si>
    <t>2091471</t>
  </si>
  <si>
    <t>CAN PLS 15L RZ P40 VINYL DEMAVO SAT WB</t>
  </si>
  <si>
    <t>5121143/THDP</t>
  </si>
  <si>
    <t>C7285672 0000100 VB MIP BIM B2 002</t>
  </si>
  <si>
    <t>5935948</t>
  </si>
  <si>
    <t>VT BISIHUCONENO 2,5 L</t>
  </si>
  <si>
    <t>5935948/THDP</t>
  </si>
  <si>
    <t>4995218/THDP</t>
  </si>
  <si>
    <t>5300862</t>
  </si>
  <si>
    <t>QR ISORA RAPID PLUS WHITE 2,5L</t>
  </si>
  <si>
    <t>5300862/THDP</t>
  </si>
  <si>
    <t>5066218</t>
  </si>
  <si>
    <t>QR ISORA RAPID PLUS WHITE 5L</t>
  </si>
  <si>
    <t>5066218/THDP</t>
  </si>
  <si>
    <t>5282667</t>
  </si>
  <si>
    <t>VT BISIHUCONENO 5 L</t>
  </si>
  <si>
    <t>5282667/THDP</t>
  </si>
  <si>
    <t>5656212</t>
  </si>
  <si>
    <t>VT BISIHUCONENO 10 L</t>
  </si>
  <si>
    <t>5656212/THDP</t>
  </si>
  <si>
    <t>5285229</t>
  </si>
  <si>
    <t>JJ RAPID INNENWEISS RM WEISS 12,5L</t>
  </si>
  <si>
    <t>2483173</t>
  </si>
  <si>
    <t>CAN PLS 12,5L JJ RAPID INNENWEISS DUROGA</t>
  </si>
  <si>
    <t>5285229/THDP</t>
  </si>
  <si>
    <t>5167015</t>
  </si>
  <si>
    <t>JJ NIBABAZAZU OPOMEGAZA.EZU WEISS 20KG</t>
  </si>
  <si>
    <t>5167015/THDP</t>
  </si>
  <si>
    <t>5036038</t>
  </si>
  <si>
    <t>QR ISORA RAPID PLUS WHITE 10L</t>
  </si>
  <si>
    <t>5036038/THDP</t>
  </si>
  <si>
    <t>5993676</t>
  </si>
  <si>
    <t>JJ RAPID INNENWEISS RM WEISS 5L</t>
  </si>
  <si>
    <t>5993676/THDP</t>
  </si>
  <si>
    <t>5164640</t>
  </si>
  <si>
    <t>NH WHITE+ EXTRA WHITE 5L</t>
  </si>
  <si>
    <t>2316058</t>
  </si>
  <si>
    <t>CAN PLS 5L NH WHITE+ EXTRA WHITE</t>
  </si>
  <si>
    <t>5164640/THDP</t>
  </si>
  <si>
    <t>5811722</t>
  </si>
  <si>
    <t>QR ISORA RAPID PLUS WHITE 12,5L</t>
  </si>
  <si>
    <t>5811722/THDP</t>
  </si>
  <si>
    <t>C0893696 BBW0100 AR.I05.02 SATIN OZU BW</t>
  </si>
  <si>
    <t>5150361</t>
  </si>
  <si>
    <t>JN KF BLANC SATIN 5 L</t>
  </si>
  <si>
    <t>2753478</t>
  </si>
  <si>
    <t>CAN MTL 5L JN KF BLANC SATIN</t>
  </si>
  <si>
    <t>5150361/THDP</t>
  </si>
  <si>
    <t>4513759/THDP</t>
  </si>
  <si>
    <t>5409646</t>
  </si>
  <si>
    <t>JJ LATEX SATIN BAS DU1 12,5L</t>
  </si>
  <si>
    <t>5409646/THDP</t>
  </si>
  <si>
    <t>5586501</t>
  </si>
  <si>
    <t>S1 PEINT SATIN MURS ET PLAFONDS BW05 10L</t>
  </si>
  <si>
    <t>+</t>
  </si>
  <si>
    <t>5586501/THDP</t>
  </si>
  <si>
    <t>5859007</t>
  </si>
  <si>
    <t>XJ BEPUKOHI SATIN AW 10L</t>
  </si>
  <si>
    <t>5859007/THDP</t>
  </si>
  <si>
    <t>5267755</t>
  </si>
  <si>
    <t>XJ BEPUKOHI SAT 001 10L</t>
  </si>
  <si>
    <t>5267755/THDP</t>
  </si>
  <si>
    <t>5588487</t>
  </si>
  <si>
    <t>JN KF BLANC SATIN 10 L</t>
  </si>
  <si>
    <t>2483216</t>
  </si>
  <si>
    <t>CAN MTL 10L JN BLANC INTENSE SAT (KF) MP</t>
  </si>
  <si>
    <t>5588487/THDP</t>
  </si>
  <si>
    <t>5957568</t>
  </si>
  <si>
    <t>NH KUMOCIKU SATIN BASE W 15L</t>
  </si>
  <si>
    <t>5957568/THDP</t>
  </si>
  <si>
    <t>5317584</t>
  </si>
  <si>
    <t>VK OLUHONIS SATIN  BASE P 15 L</t>
  </si>
  <si>
    <t>5317584/THDP</t>
  </si>
  <si>
    <t>5944393</t>
  </si>
  <si>
    <t>WX BLANC CEHULA SATIN W/BW  2,5L</t>
  </si>
  <si>
    <t>5944393/THDP</t>
  </si>
  <si>
    <t>5408665</t>
  </si>
  <si>
    <t>JN KF BLANC SATIN 2,5 L</t>
  </si>
  <si>
    <t>2634156</t>
  </si>
  <si>
    <t>CAN MTL 2,5L BLANK PCK0409 TRI HDL WHITE</t>
  </si>
  <si>
    <t>PCK_0409</t>
  </si>
  <si>
    <t>5408665/THDP</t>
  </si>
  <si>
    <t>5432951</t>
  </si>
  <si>
    <t>JJ CLASSIC SUP COL SAT WIT/DU1 5 L</t>
  </si>
  <si>
    <t>5432951/THDP</t>
  </si>
  <si>
    <t>5074289</t>
  </si>
  <si>
    <t>VK RIBAGEG SATIN BLANC 15 L</t>
  </si>
  <si>
    <t>5074289/THDP</t>
  </si>
  <si>
    <t>5381946</t>
  </si>
  <si>
    <t>QR ISORA CLASSIC SATIN BASE W05 15L</t>
  </si>
  <si>
    <t>5381946/THDP</t>
  </si>
  <si>
    <t>5815700</t>
  </si>
  <si>
    <t>JJ CLASSIC SUP COL SAT WIT/DU1 12,5 L</t>
  </si>
  <si>
    <t>5815700/THDP</t>
  </si>
  <si>
    <t>5846016</t>
  </si>
  <si>
    <t>JJ UZAPIG-LATEX CAHIH WEISS 12,5L</t>
  </si>
  <si>
    <t>5846016/THDP</t>
  </si>
  <si>
    <t>5703600</t>
  </si>
  <si>
    <t>JJ LATEX SATIN BAS DU1 2,5L</t>
  </si>
  <si>
    <t>5703600/THDP</t>
  </si>
  <si>
    <t>5147006</t>
  </si>
  <si>
    <t>JJ LATEX SATIN BAS DU1 5L</t>
  </si>
  <si>
    <t>5147006/THDP</t>
  </si>
  <si>
    <t>5036935</t>
  </si>
  <si>
    <t>VK OLUHONIS SATIN BASE P 1 L</t>
  </si>
  <si>
    <t>5036935/THDP</t>
  </si>
  <si>
    <t>5739324</t>
  </si>
  <si>
    <t>JN TEST MA ZEZECEH SUR FUTIKE BW 250ML</t>
  </si>
  <si>
    <t>5739324/THDP</t>
  </si>
  <si>
    <t>5168666</t>
  </si>
  <si>
    <t>QR ISORA CLASSIC SATIN BASE W05 1L</t>
  </si>
  <si>
    <t>5168666/THDP</t>
  </si>
  <si>
    <t>5211081</t>
  </si>
  <si>
    <t>S1 PEINT SATIN MURS ET PLAFONDS B.W05 1L</t>
  </si>
  <si>
    <t>5211081/THDP</t>
  </si>
  <si>
    <t>5880245</t>
  </si>
  <si>
    <t>NH KUMOCIKU SATIN BASE W 1L</t>
  </si>
  <si>
    <t>5880245/THDP</t>
  </si>
  <si>
    <t>5475411</t>
  </si>
  <si>
    <t>VK OLUHONIS SATIN  BASE P 5 L</t>
  </si>
  <si>
    <t>5475411/THDP</t>
  </si>
  <si>
    <t>5874593</t>
  </si>
  <si>
    <t>S1 PEINT SATIN MURS ET PLAFONDS B.W05 5L</t>
  </si>
  <si>
    <t>5874593/THDP</t>
  </si>
  <si>
    <t>5778252</t>
  </si>
  <si>
    <t>NH KUMOCIKU SATIN BASE W 5L</t>
  </si>
  <si>
    <t>5778252/THDP</t>
  </si>
  <si>
    <t>5106777</t>
  </si>
  <si>
    <t>QR ISORA CLASSIC SATIN BASE W05 5L</t>
  </si>
  <si>
    <t>5106777/THDP</t>
  </si>
  <si>
    <t>5896922</t>
  </si>
  <si>
    <t>JJ LANISUDEVA BW 3L</t>
  </si>
  <si>
    <t>5896922/THDP</t>
  </si>
  <si>
    <t>5999394</t>
  </si>
  <si>
    <t>WX BLANC CEHULA SATIN W/BW 5L</t>
  </si>
  <si>
    <t>2695236</t>
  </si>
  <si>
    <t>CAN PLS 5L WX BLC CEHULA OLA MP</t>
  </si>
  <si>
    <t>5999394/THDP</t>
  </si>
  <si>
    <t>5505207</t>
  </si>
  <si>
    <t>JN KF BLANC SATIN 12 L</t>
  </si>
  <si>
    <t>2143554</t>
  </si>
  <si>
    <t>CAN MTL 12L JN BLANC INTENSE SATIN  MP</t>
  </si>
  <si>
    <t>5505207/THDP</t>
  </si>
  <si>
    <t>5512640</t>
  </si>
  <si>
    <t>WX BLANC CEHULA SAT W/BW 10L</t>
  </si>
  <si>
    <t>2261951</t>
  </si>
  <si>
    <t>CAN PLS 10L WX BLANC CEHULA SAT W/BW</t>
  </si>
  <si>
    <t>5512640/THDP</t>
  </si>
  <si>
    <t>5337620</t>
  </si>
  <si>
    <t>JJ LANISUDEVA BW 10L</t>
  </si>
  <si>
    <t>5337620/THDP</t>
  </si>
  <si>
    <t>C6819223 BWW0000 VB SOFT AESTHETICS W</t>
  </si>
  <si>
    <t>5116302</t>
  </si>
  <si>
    <t>NH EXPERT BADKAMER 0001 1 L</t>
  </si>
  <si>
    <t>5116302/THDP</t>
  </si>
  <si>
    <t>4628825/THDP</t>
  </si>
  <si>
    <t>5491409</t>
  </si>
  <si>
    <t>NH EXPERT BADKAMER 0001 2,5 L</t>
  </si>
  <si>
    <t>5491409/THDP</t>
  </si>
  <si>
    <t>5834402</t>
  </si>
  <si>
    <t>QR PEMUCITO VELOURS REFER WHITE 10L</t>
  </si>
  <si>
    <t>5834402/THDP</t>
  </si>
  <si>
    <t>5609584</t>
  </si>
  <si>
    <t>S1 PEINT INTERIEURE VELOURS BLC 10L</t>
  </si>
  <si>
    <t>5609584/THDP</t>
  </si>
  <si>
    <t>5729810</t>
  </si>
  <si>
    <t>S1 PEINT INTERIEURE VELOURS BLC 2,5L</t>
  </si>
  <si>
    <t>5729810/THDP</t>
  </si>
  <si>
    <t>5448999</t>
  </si>
  <si>
    <t>QR PEMUCITO VELOURS REFER WHITE 1 L</t>
  </si>
  <si>
    <t>5448999/THDP</t>
  </si>
  <si>
    <t>5720132</t>
  </si>
  <si>
    <t>XJ NIROZIVAB VELEZAPE REN 001 2,5L</t>
  </si>
  <si>
    <t>5720132/THDP</t>
  </si>
  <si>
    <t>5457550</t>
  </si>
  <si>
    <t>QR PUTUNUPAR FIZEBEC WHITE 10 L</t>
  </si>
  <si>
    <t>5457550/THDP</t>
  </si>
  <si>
    <t>5157114</t>
  </si>
  <si>
    <t>QR PUTUNUPAR FIZEBEC WHITE 2,5 L</t>
  </si>
  <si>
    <t>5157114/THDP</t>
  </si>
  <si>
    <t>5270862</t>
  </si>
  <si>
    <t>XJ NIROZIVAB VELEZAPE REN 001 1L</t>
  </si>
  <si>
    <t>5270862/THDP</t>
  </si>
  <si>
    <t>5951355</t>
  </si>
  <si>
    <t>XJ NIROZIVAB VELEZAPE REN 001 5L</t>
  </si>
  <si>
    <t>5951355/THDP</t>
  </si>
  <si>
    <t>5766533</t>
  </si>
  <si>
    <t>XJ NIROZIVAB VELEZAPE REN 001 10L</t>
  </si>
  <si>
    <t>2612082</t>
  </si>
  <si>
    <t>CAN MTL 10L XJ NIROZIVAB VELEZAPE REN.</t>
  </si>
  <si>
    <t>5766533/THDP</t>
  </si>
  <si>
    <t>5699276</t>
  </si>
  <si>
    <t>QR PUTUNUPAR FIZEBEC WHITE 5 L</t>
  </si>
  <si>
    <t>5699276/THDP</t>
  </si>
  <si>
    <t>5838947</t>
  </si>
  <si>
    <t>QR PEMUCITO VELOURS REFER WHITE 5 L</t>
  </si>
  <si>
    <t>5838947/THDP</t>
  </si>
  <si>
    <t>C5519700 BWW0000 VB EGG OKE E1 001</t>
  </si>
  <si>
    <t>5475618</t>
  </si>
  <si>
    <t>QR ISORA BL VELOURS BASE W05 5 L</t>
  </si>
  <si>
    <t>5475618/THDP</t>
  </si>
  <si>
    <t>4317632/THDP</t>
  </si>
  <si>
    <t>5130625</t>
  </si>
  <si>
    <t>JJ ORESU JK 10 BAS DU1 2,5L</t>
  </si>
  <si>
    <t>5130625/THDP</t>
  </si>
  <si>
    <t>5652569</t>
  </si>
  <si>
    <t>NH VAZIDUV VELOURS BW 2,5 L</t>
  </si>
  <si>
    <t>5652569/THDP</t>
  </si>
  <si>
    <t>5304348</t>
  </si>
  <si>
    <t>WX BLANC CEHULA VELOURS BASE W 2,5L</t>
  </si>
  <si>
    <t>5304348/THDP</t>
  </si>
  <si>
    <t>5194463</t>
  </si>
  <si>
    <t>XJ NIROZIVAB VELOURS AW 2,5L</t>
  </si>
  <si>
    <t>5194463/THDP</t>
  </si>
  <si>
    <t>5452668</t>
  </si>
  <si>
    <t>WX BLANC CEHULA VELOURS BASE W 5L</t>
  </si>
  <si>
    <t>5452668/THDP</t>
  </si>
  <si>
    <t>5841662</t>
  </si>
  <si>
    <t>JJ ORESU JK 10 BASIS DU1 12,5 L</t>
  </si>
  <si>
    <t>5841662/THDP</t>
  </si>
  <si>
    <t>5896632</t>
  </si>
  <si>
    <t>JJ ORESU JK 10 BASIS DU1 5 L</t>
  </si>
  <si>
    <t>5896632/THDP</t>
  </si>
  <si>
    <t>5187461</t>
  </si>
  <si>
    <t>JJ ORESU JK 10 BASIS DU1 1 L</t>
  </si>
  <si>
    <t>5187461/THDP</t>
  </si>
  <si>
    <t>5099880</t>
  </si>
  <si>
    <t>XJ NIROZIVAB VELOURS AW 1L</t>
  </si>
  <si>
    <t>5099880/THDP</t>
  </si>
  <si>
    <t>5043661</t>
  </si>
  <si>
    <t>NH VAZIDUV VELOURS BW 1 L</t>
  </si>
  <si>
    <t>5043661/THDP</t>
  </si>
  <si>
    <t>5349270</t>
  </si>
  <si>
    <t>NH VAZIDUV VELOURS BW 10 L</t>
  </si>
  <si>
    <t>5349270/THDP</t>
  </si>
  <si>
    <t>5427001</t>
  </si>
  <si>
    <t>XJ NIROZIVAB VELOURS AW 5L</t>
  </si>
  <si>
    <t>5427001/THDP</t>
  </si>
  <si>
    <t>5723709</t>
  </si>
  <si>
    <t>QR ISORA BL VELOURS BASE W05 1 L</t>
  </si>
  <si>
    <t>5723709/THDP</t>
  </si>
  <si>
    <t>5249996</t>
  </si>
  <si>
    <t>QR ISORA BL VELOURS BASE W05 15 L</t>
  </si>
  <si>
    <t>5249996/THDP</t>
  </si>
  <si>
    <t>C6253736 BWW0000 VB DEMERED PEH BW</t>
  </si>
  <si>
    <t>5464390</t>
  </si>
  <si>
    <t>XJ EDEFAVOGE SUPER LATEX AW 10L</t>
  </si>
  <si>
    <t>2223211</t>
  </si>
  <si>
    <t>CAN PLS 10L XJ EDEFAVOGE SUP AW</t>
  </si>
  <si>
    <t>5464390/THDP</t>
  </si>
  <si>
    <t>4982638/THDP</t>
  </si>
  <si>
    <t>5996991</t>
  </si>
  <si>
    <t>JJ UZAPIG ROLL SOFT DU1 12,5 L</t>
  </si>
  <si>
    <t>5996991/THDP</t>
  </si>
  <si>
    <t>C4241167 BBW0100 31.I24.02 SOFT SF BW</t>
  </si>
  <si>
    <t>5871305</t>
  </si>
  <si>
    <t>NH KUMOCIKU VELOURS BASE W 15L</t>
  </si>
  <si>
    <t>5871305/THDP</t>
  </si>
  <si>
    <t>4037735/THDP</t>
  </si>
  <si>
    <t>5010851</t>
  </si>
  <si>
    <t>QR ISORA CLASSIC VELOURS BASE W05 5L</t>
  </si>
  <si>
    <t>5010851/THDP</t>
  </si>
  <si>
    <t>5720207</t>
  </si>
  <si>
    <t>NH KUMOCIKU VELOURS BASE W 5L</t>
  </si>
  <si>
    <t>5720207/THDP</t>
  </si>
  <si>
    <t>5099945</t>
  </si>
  <si>
    <t>NH KUMOCIKU VELOURS BASE W 1L</t>
  </si>
  <si>
    <t>5099945/THDP</t>
  </si>
  <si>
    <t>5374031</t>
  </si>
  <si>
    <t>QR ISORA CLASSIC VELOURS BASE W05 15L</t>
  </si>
  <si>
    <t>5374031/THDP</t>
  </si>
  <si>
    <t>5987664</t>
  </si>
  <si>
    <t>VK OLUHONIS VELOURS BASE P 1 L</t>
  </si>
  <si>
    <t>5987664/THDP</t>
  </si>
  <si>
    <t>5430031</t>
  </si>
  <si>
    <t>XJ EMASITEL SOFT AW 2,5 L</t>
  </si>
  <si>
    <t>5430031/THDP</t>
  </si>
  <si>
    <t>5370741</t>
  </si>
  <si>
    <t>JJ CLASSIC SUP COL VUZ WIT/DU1 12,5 L</t>
  </si>
  <si>
    <t>5370741/THDP</t>
  </si>
  <si>
    <t>5461123</t>
  </si>
  <si>
    <t>JJ CLASSIC SUP COL VUZ WIT/DU1 5 L</t>
  </si>
  <si>
    <t>5461123/THDP</t>
  </si>
  <si>
    <t>5563343</t>
  </si>
  <si>
    <t>XJ EMASITEL SOFT AW 5 L</t>
  </si>
  <si>
    <t>5563343/THDP</t>
  </si>
  <si>
    <t>5084394</t>
  </si>
  <si>
    <t>XJ ECETEHOZOBO AW 0,250L</t>
  </si>
  <si>
    <t>5084394/THDP</t>
  </si>
  <si>
    <t>5813081</t>
  </si>
  <si>
    <t>XJ EMASITEL SOFT AW 10L</t>
  </si>
  <si>
    <t>5813081/THDP</t>
  </si>
  <si>
    <t>5430173</t>
  </si>
  <si>
    <t>XJ GIHIKOKE VELOURS SF AW 5L</t>
  </si>
  <si>
    <t>5430173/THDP</t>
  </si>
  <si>
    <t>5336060</t>
  </si>
  <si>
    <t>JJ PUBANIHIFUNA BW 3L</t>
  </si>
  <si>
    <t>5336060/THDP</t>
  </si>
  <si>
    <t>5557614</t>
  </si>
  <si>
    <t>QR ISORA CLASSIC VELOURS BASE W05 1L</t>
  </si>
  <si>
    <t>5557614/THDP</t>
  </si>
  <si>
    <t>5820342</t>
  </si>
  <si>
    <t>XJ EMASITEL SOFT AW 1 L</t>
  </si>
  <si>
    <t>5820342/THDP</t>
  </si>
  <si>
    <t>5217834</t>
  </si>
  <si>
    <t>JJ PUBANIHIFUNA BW 10L</t>
  </si>
  <si>
    <t>5217834/THDP</t>
  </si>
  <si>
    <t>C9751702 0000100 AR.I01.03 MAT SF PH.RED</t>
  </si>
  <si>
    <t>5309087</t>
  </si>
  <si>
    <t>JN PLAFOND MAGIC 2,5L+20% = 3 L</t>
  </si>
  <si>
    <t>2270862</t>
  </si>
  <si>
    <t>CAN PLS 3L JN V PLAFOND MAGIC EHA</t>
  </si>
  <si>
    <t>5309087/THDP</t>
  </si>
  <si>
    <t>4387746/THDP</t>
  </si>
  <si>
    <t>5716312</t>
  </si>
  <si>
    <t>JN PLAFOND MAGIC 2,5L</t>
  </si>
  <si>
    <t>2763773</t>
  </si>
  <si>
    <t>CAN PLS 2.5L JN PLAFOND MAGIC EHA</t>
  </si>
  <si>
    <t>5716312/THDP</t>
  </si>
  <si>
    <t>5770815</t>
  </si>
  <si>
    <t>JN KF PLAFOND BELODA MAGIC MAT 2,5 L</t>
  </si>
  <si>
    <t>5770815/THDP</t>
  </si>
  <si>
    <t>5265346</t>
  </si>
  <si>
    <t>JN PLAFOND BLANC MAGIC 5L</t>
  </si>
  <si>
    <t>2418828</t>
  </si>
  <si>
    <t>CAN PLS 7.5L JN RUBE BLC MAGIC</t>
  </si>
  <si>
    <t>5265346/THDP</t>
  </si>
  <si>
    <t>5580515</t>
  </si>
  <si>
    <t>JN PLAFOND BLANC MAGIC 2,5L</t>
  </si>
  <si>
    <t>2704682</t>
  </si>
  <si>
    <t>CAN PLS 2.5L JN PLAFOND BLC MAGIC EHA</t>
  </si>
  <si>
    <t>5580515/THDP</t>
  </si>
  <si>
    <t>5219282</t>
  </si>
  <si>
    <t>IJ MATT MAGIC WHITE 2.5L</t>
  </si>
  <si>
    <t>5219282/THDP</t>
  </si>
  <si>
    <t>5527191</t>
  </si>
  <si>
    <t>JN PLAFOND MAGIC 5L</t>
  </si>
  <si>
    <t>2313301</t>
  </si>
  <si>
    <t>CAN PLS 5L JN PLAFOND MAGIC EHA</t>
  </si>
  <si>
    <t>5527191/THDP</t>
  </si>
  <si>
    <t>5002423</t>
  </si>
  <si>
    <t>JN PLAFOND MAGIC 5 + 1L</t>
  </si>
  <si>
    <t>2149370</t>
  </si>
  <si>
    <t>CAN PLS 6L JN PLAFOND MAGIC EHA</t>
  </si>
  <si>
    <t>5002423/THDP</t>
  </si>
  <si>
    <t>5628411</t>
  </si>
  <si>
    <t>IJ MATT MAGIC WHITE 5L</t>
  </si>
  <si>
    <t>5628411/THDP</t>
  </si>
  <si>
    <t>C7569018 BWW0000 VB SAT OKE E2 001</t>
  </si>
  <si>
    <t>5942040</t>
  </si>
  <si>
    <t>XJ NIROZIVAB SATIN AW 2,5 L</t>
  </si>
  <si>
    <t>5942040/THDP</t>
  </si>
  <si>
    <t>4799594/THDP</t>
  </si>
  <si>
    <t>5482596</t>
  </si>
  <si>
    <t>WX BLANC COUVRANT W/BW SATIN 2,5L</t>
  </si>
  <si>
    <t>5482596/THDP</t>
  </si>
  <si>
    <t>5557058</t>
  </si>
  <si>
    <t>NH VAZIDUV SATIN MIX BW 2,5 L</t>
  </si>
  <si>
    <t>5557058/THDP</t>
  </si>
  <si>
    <t>5565229</t>
  </si>
  <si>
    <t>QA NUANCE MS BASE PASTEL SATIN 2,5 L</t>
  </si>
  <si>
    <t>5565229/THDP</t>
  </si>
  <si>
    <t>5635324</t>
  </si>
  <si>
    <t>NH MUR SATIN 0001 2,5L</t>
  </si>
  <si>
    <t>5635324/THDP</t>
  </si>
  <si>
    <t>5011134</t>
  </si>
  <si>
    <t>VK IFOFEGUTE SATIN BASE P 5 L</t>
  </si>
  <si>
    <t>5011134/THDP</t>
  </si>
  <si>
    <t>5935173</t>
  </si>
  <si>
    <t>XJ NIROZIVAB SATIN AW 10L</t>
  </si>
  <si>
    <t>5935173/THDP</t>
  </si>
  <si>
    <t>5194566</t>
  </si>
  <si>
    <t>QR PEMUCITO SAT SF WHITE 10L</t>
  </si>
  <si>
    <t>5194566/THDP</t>
  </si>
  <si>
    <t>5753126</t>
  </si>
  <si>
    <t>NH VAZIDUV SATIN MIX BW 10 L</t>
  </si>
  <si>
    <t>5753126/THDP</t>
  </si>
  <si>
    <t>5229826</t>
  </si>
  <si>
    <t>WX BLANC COUVRANT W/BW SAT 10L</t>
  </si>
  <si>
    <t>2252392</t>
  </si>
  <si>
    <t>CAN PLS 10L WX BLANC COUVRANT W/BW SAT</t>
  </si>
  <si>
    <t>5229826/THDP</t>
  </si>
  <si>
    <t>5750699</t>
  </si>
  <si>
    <t>QA NUANCE MS BASE PASTEL SATIN 500 ML</t>
  </si>
  <si>
    <t>5750699/THDP</t>
  </si>
  <si>
    <t>5919983</t>
  </si>
  <si>
    <t>QR PEMUCITO SAT SF (NL) W05 10L</t>
  </si>
  <si>
    <t>5919983/THDP</t>
  </si>
  <si>
    <t>5174074</t>
  </si>
  <si>
    <t>NH VAZIDUV SATIN MIX BW 1L</t>
  </si>
  <si>
    <t>5174074/THDP</t>
  </si>
  <si>
    <t>5788518</t>
  </si>
  <si>
    <t>VK IFOFEGUTE SATIN BASE P 1 L</t>
  </si>
  <si>
    <t>5788518/THDP</t>
  </si>
  <si>
    <t>5555487</t>
  </si>
  <si>
    <t>QR ISORA BL SATIN BASE W05 1 L</t>
  </si>
  <si>
    <t>5555487/THDP</t>
  </si>
  <si>
    <t>5966302</t>
  </si>
  <si>
    <t>XJ NIROZIVAB SATIN AW 1 L</t>
  </si>
  <si>
    <t>5966302/THDP</t>
  </si>
  <si>
    <t>5620073</t>
  </si>
  <si>
    <t>QR ISORA BL SATIN BASE W05 15 L</t>
  </si>
  <si>
    <t>5620073/THDP</t>
  </si>
  <si>
    <t>5752231</t>
  </si>
  <si>
    <t>XJ NIROZIVAB SATIN AW 5 L</t>
  </si>
  <si>
    <t>5752231/THDP</t>
  </si>
  <si>
    <t>5253958</t>
  </si>
  <si>
    <t>JN QR SIMPLE  LE BLANC 2,5L</t>
  </si>
  <si>
    <t>2837666</t>
  </si>
  <si>
    <t>CAN PLS 2.5L JN QR SIMPLE FR OMA OZ</t>
  </si>
  <si>
    <t>5253958/THDP</t>
  </si>
  <si>
    <t>5040396</t>
  </si>
  <si>
    <t>WX BLANC COUVRANT W/BW SATIN 5L</t>
  </si>
  <si>
    <t>2151850</t>
  </si>
  <si>
    <t>CAN PLS 5L WX BLANC COUVRANT MP</t>
  </si>
  <si>
    <t>5040396/THDP</t>
  </si>
  <si>
    <t>5850709</t>
  </si>
  <si>
    <t>NH MUR SATIN 0001 5 L</t>
  </si>
  <si>
    <t>5850709/THDP</t>
  </si>
  <si>
    <t>C1013755 BWW0000 VB SAT OKE D1 002</t>
  </si>
  <si>
    <t>5995338</t>
  </si>
  <si>
    <t>QR ISORA BUHOZEGE BL SATIN BCO=W05 2,5L</t>
  </si>
  <si>
    <t>5995338/THDP</t>
  </si>
  <si>
    <t>4305699/THDP</t>
  </si>
  <si>
    <t>5480324</t>
  </si>
  <si>
    <t>NH LEC MUR SATIN MIX BASE W 5 L</t>
  </si>
  <si>
    <t>5480324/THDP</t>
  </si>
  <si>
    <t>5759694</t>
  </si>
  <si>
    <t>HZ CR YN ZIJDEMAT W05 5L</t>
  </si>
  <si>
    <t>5759694/THDP</t>
  </si>
  <si>
    <t>5757656</t>
  </si>
  <si>
    <t>NH LEC MUR SATIN MIX BASE W 10 L</t>
  </si>
  <si>
    <t>2704623</t>
  </si>
  <si>
    <t>CAN MTL 10L NH LEC MUR SATIN BW OZ</t>
  </si>
  <si>
    <t>5757656/THDP</t>
  </si>
  <si>
    <t>5360383</t>
  </si>
  <si>
    <t>QR ISORA BUHOZEGE BL SATIN BCO=W05 10L</t>
  </si>
  <si>
    <t>5360383/THDP</t>
  </si>
  <si>
    <t>5362840</t>
  </si>
  <si>
    <t>JN BLANC RUFIB RESISTANCE SATIN 10L</t>
  </si>
  <si>
    <t>2247823</t>
  </si>
  <si>
    <t>CAN MTL 10L JN BLANC HR SAT MP</t>
  </si>
  <si>
    <t>5362840/THDP</t>
  </si>
  <si>
    <t>5953998</t>
  </si>
  <si>
    <t>NH LEC MUR SATIN MIX BASE W 1 L</t>
  </si>
  <si>
    <t>5953998/THDP</t>
  </si>
  <si>
    <t>5368621</t>
  </si>
  <si>
    <t>QR ISORA BUHOZEGE BL SATIN BCO=W05 1L</t>
  </si>
  <si>
    <t>5368621/THDP</t>
  </si>
  <si>
    <t>5981869</t>
  </si>
  <si>
    <t>JN BLANC RUFIB RESISTANCE SATIN 5L</t>
  </si>
  <si>
    <t>2082850</t>
  </si>
  <si>
    <t>CAN PLS 5L JN BLANC RUFIB IHU SATIN</t>
  </si>
  <si>
    <t>5981869/THDP</t>
  </si>
  <si>
    <t>5715926</t>
  </si>
  <si>
    <t>JN BLANC RUFIB RESISTANCE SATIN 2,5L</t>
  </si>
  <si>
    <t>2106917</t>
  </si>
  <si>
    <t>CAN PLS 2.5L JN BLANC RUFIB IHU SATIN</t>
  </si>
  <si>
    <t>5715926/THDP</t>
  </si>
  <si>
    <t>C6011540 0GN0288 VB MatAestheticsV1 9010</t>
  </si>
  <si>
    <t>5077880</t>
  </si>
  <si>
    <t>JJ ORESU JK 03 RM RAL9010 12,5L</t>
  </si>
  <si>
    <t>2029654</t>
  </si>
  <si>
    <t>CAN PLS 12,5L JJ CAZ JK 03 RM RAL9010</t>
  </si>
  <si>
    <t>5077880/THDP</t>
  </si>
  <si>
    <t>4758648/THDP</t>
  </si>
  <si>
    <t>A4421207 BBW0100 01.E01.03 IHUCOB OZU BW</t>
  </si>
  <si>
    <t>5696415</t>
  </si>
  <si>
    <t>NQ EZE COMPLETE PROTECTION LUR LIGHT4,5L</t>
  </si>
  <si>
    <t>5696415/THDP</t>
  </si>
  <si>
    <t>4166802/THDP</t>
  </si>
  <si>
    <t>5732238</t>
  </si>
  <si>
    <t>NQ EZE COMPLETE PROTECTION LUR LIGHT 9L</t>
  </si>
  <si>
    <t>5732238/THDP</t>
  </si>
  <si>
    <t>5344482</t>
  </si>
  <si>
    <t>JJ KITAPEHEF ACRYL D2 BLC BW 15L</t>
  </si>
  <si>
    <t>5344482/THDP</t>
  </si>
  <si>
    <t>5101958</t>
  </si>
  <si>
    <t>NQ EZE COMPLETE PROTECTION LUR LIGHT2,5L</t>
  </si>
  <si>
    <t>5101958/THDP</t>
  </si>
  <si>
    <t>5865753</t>
  </si>
  <si>
    <t>NQ EZE COMPLETE PROTECTION LUR LIGHT0,9L</t>
  </si>
  <si>
    <t>5865753/THDP</t>
  </si>
  <si>
    <t>A5564249 0000100 31.E22.02 HEHUMIGORA</t>
  </si>
  <si>
    <t>5997154</t>
  </si>
  <si>
    <t>VK FALAVOCA BLANC 15 L</t>
  </si>
  <si>
    <t>2200879</t>
  </si>
  <si>
    <t>CAN PLS 15L VK FALAVOCA BLANC G2 MP</t>
  </si>
  <si>
    <t>5997154/THDP</t>
  </si>
  <si>
    <t>4022286/THDP</t>
  </si>
  <si>
    <t>5323910</t>
  </si>
  <si>
    <t>NH DISASIHO VAZU 15 L</t>
  </si>
  <si>
    <t>5323910/THDP</t>
  </si>
  <si>
    <t>5746058</t>
  </si>
  <si>
    <t>JJ CETOROFI HYDRO BLC 15L</t>
  </si>
  <si>
    <t>5746058/THDP</t>
  </si>
  <si>
    <t>C9987137 BBW0100 AR.I05.03 SATIN BW</t>
  </si>
  <si>
    <t>5371573</t>
  </si>
  <si>
    <t>JN BLANC SATIN 98% M&amp;P PHASE AQU.BW 10 L</t>
  </si>
  <si>
    <t>5371573/THDP</t>
  </si>
  <si>
    <t>4722373/THDP</t>
  </si>
  <si>
    <t>5664545</t>
  </si>
  <si>
    <t>JN BLANC SATIN 98% M&amp;P PHASE AQU. BW 5 L</t>
  </si>
  <si>
    <t>5664545/THDP</t>
  </si>
  <si>
    <t>5192806</t>
  </si>
  <si>
    <t>JN BLANC SATIN 98% M&amp;P PH. AQU. 2,5L</t>
  </si>
  <si>
    <t>5192806/THDP</t>
  </si>
  <si>
    <t>5433896</t>
  </si>
  <si>
    <t>JN BLANC SAT 98% M&amp;P PH AQU.BW 10L+20%</t>
  </si>
  <si>
    <t>5433896/THDP</t>
  </si>
  <si>
    <t>C8357594 RAL9016 VB MIP BIM C3 001 W</t>
  </si>
  <si>
    <t>5761401</t>
  </si>
  <si>
    <t>NH MUR MAT RAL 9016 4+1L</t>
  </si>
  <si>
    <t>5761401/THDP</t>
  </si>
  <si>
    <t>4683589/THDP</t>
  </si>
  <si>
    <t>5630902</t>
  </si>
  <si>
    <t>NH LS M&amp;P MAT RAL 9016 4+1L</t>
  </si>
  <si>
    <t>5630902/THDP</t>
  </si>
  <si>
    <t>5120339</t>
  </si>
  <si>
    <t>HZ UMOVINUR MUUR&amp;RUBE 9016 10L</t>
  </si>
  <si>
    <t>2430323</t>
  </si>
  <si>
    <t>CAN PLS 10L HZ AKOSEV MUUR&amp;RUBE 9016 MOZ</t>
  </si>
  <si>
    <t>5120339/THDP</t>
  </si>
  <si>
    <t>C4272699 RAL9010 AR.I20.01 MAT AE W</t>
  </si>
  <si>
    <t>5523222</t>
  </si>
  <si>
    <t>JJ CLASSIC GRUND RAL9010 12,5L</t>
  </si>
  <si>
    <t>5523222/THDP</t>
  </si>
  <si>
    <t>4404332/THDP</t>
  </si>
  <si>
    <t>C6546277 0GN0287 VB MAT BIM C2 001 W</t>
  </si>
  <si>
    <t>5589159</t>
  </si>
  <si>
    <t>VT SR W+D EVOBEPOTI RAL9010 2,5L</t>
  </si>
  <si>
    <t>5589159/THDP</t>
  </si>
  <si>
    <t>4361695/THDP</t>
  </si>
  <si>
    <t>5550825</t>
  </si>
  <si>
    <t>QR ISORA LOGOGOBARI 9010 10L</t>
  </si>
  <si>
    <t>2064851</t>
  </si>
  <si>
    <t>CAN PLS 10L QR ONUV. PROJECT. 9010 COL12</t>
  </si>
  <si>
    <t>5550825/THDP</t>
  </si>
  <si>
    <t>5123359</t>
  </si>
  <si>
    <t>XJ SUMIDOBOZ MAT RAL9010 10L</t>
  </si>
  <si>
    <t>5123359/THDP</t>
  </si>
  <si>
    <t>5841714</t>
  </si>
  <si>
    <t>NH WHITE+ RAL 9010 5L</t>
  </si>
  <si>
    <t>2272258</t>
  </si>
  <si>
    <t>CAN PLS 5L NH WHITE+ RAL 9010</t>
  </si>
  <si>
    <t>5841714/THDP</t>
  </si>
  <si>
    <t>C6845125 BWW0000 VB MIP OKE D1 002</t>
  </si>
  <si>
    <t>5844442</t>
  </si>
  <si>
    <t>HZ CR YN EXT MAT WIT MORN SNOW 2,5L</t>
  </si>
  <si>
    <t>5844442/THDP</t>
  </si>
  <si>
    <t>4700314/THDP</t>
  </si>
  <si>
    <t>5849396</t>
  </si>
  <si>
    <t>NH LEC MUR EXTRA MAT 0001 2,5 L</t>
  </si>
  <si>
    <t>5849396/THDP</t>
  </si>
  <si>
    <t>5209125</t>
  </si>
  <si>
    <t>NH LEC MUR EXTRA MAT 0001 5 L</t>
  </si>
  <si>
    <t>2575769</t>
  </si>
  <si>
    <t>CAN PLS 5L NH LEC MUR EXTRA MAT MOZ</t>
  </si>
  <si>
    <t>5209125/THDP</t>
  </si>
  <si>
    <t>5282865</t>
  </si>
  <si>
    <t>NH LEC MUR EXTRA MAT 0001 10 L</t>
  </si>
  <si>
    <t>2150131</t>
  </si>
  <si>
    <t>CAN PLS 10L NH LEC MUR EXTRA MAT 001 MOZ</t>
  </si>
  <si>
    <t>7</t>
  </si>
  <si>
    <t>5282865/THDP</t>
  </si>
  <si>
    <t>5810931</t>
  </si>
  <si>
    <t>HZ CR YN EXT MAT W05 250ML</t>
  </si>
  <si>
    <t>5810931/THDP</t>
  </si>
  <si>
    <t>5243103</t>
  </si>
  <si>
    <t>JN OSIBACEVA BASE WHITE 2L</t>
  </si>
  <si>
    <t>5243103/THDP</t>
  </si>
  <si>
    <t>5285769</t>
  </si>
  <si>
    <t>JN OSIBACEVA BASE WHITE 0,5L</t>
  </si>
  <si>
    <t>5285769/THDP</t>
  </si>
  <si>
    <t>5186568</t>
  </si>
  <si>
    <t>HZ CR YN EXT MAT MORNING SNOW 1L</t>
  </si>
  <si>
    <t>5186568/THDP</t>
  </si>
  <si>
    <t>5995678</t>
  </si>
  <si>
    <t>HZ CR YN EXT MAT W05 1L</t>
  </si>
  <si>
    <t>5995678/THDP</t>
  </si>
  <si>
    <t>5193064</t>
  </si>
  <si>
    <t>NH LEC MUR EXTRA MAT 0001 1 L</t>
  </si>
  <si>
    <t>5193064/THDP</t>
  </si>
  <si>
    <t>5843149</t>
  </si>
  <si>
    <t>NH LEC MUR EXTRA MAT MIX W 1 L</t>
  </si>
  <si>
    <t>5843149/THDP</t>
  </si>
  <si>
    <t>5419139</t>
  </si>
  <si>
    <t>JN BLANC RUFIB RESISTANCE MAT 2,5L</t>
  </si>
  <si>
    <t>2862047</t>
  </si>
  <si>
    <t>CAN PLS 2.5L JN BLANC RUFIB IHU MAT</t>
  </si>
  <si>
    <t>5419139/THDP</t>
  </si>
  <si>
    <t>5170933</t>
  </si>
  <si>
    <t>JN BLANC RUFIB RESISTANCE MAT 5L</t>
  </si>
  <si>
    <t>2505945</t>
  </si>
  <si>
    <t>CAN PLS 5L JN BLANC RUFIB IHU MAT</t>
  </si>
  <si>
    <t>5170933/THDP</t>
  </si>
  <si>
    <t>C4099594 0000100 ND.I03.06 SUP Z MAT W</t>
  </si>
  <si>
    <t>5438076</t>
  </si>
  <si>
    <t>QR PUTUNUPAR PURE PLAFOND WHITE 5 L</t>
  </si>
  <si>
    <t>5438076/THDP</t>
  </si>
  <si>
    <t>4047270/THDP</t>
  </si>
  <si>
    <t>5238782</t>
  </si>
  <si>
    <t>NH SR NEPIFO FEP MAT SIMPLY WH 2.5L</t>
  </si>
  <si>
    <t>5238782/THDP</t>
  </si>
  <si>
    <t>5859599</t>
  </si>
  <si>
    <t>S1 BINNEN YN MAT WIT 2,5L</t>
  </si>
  <si>
    <t>5859599/THDP</t>
  </si>
  <si>
    <t>5878171</t>
  </si>
  <si>
    <t>S1 PEINT INTERIEURE MAT BLC 10L</t>
  </si>
  <si>
    <t>5878171/THDP</t>
  </si>
  <si>
    <t>5408652</t>
  </si>
  <si>
    <t>QR PUTUNUPAR PURE MAT SF WHITE 5L</t>
  </si>
  <si>
    <t>2085360</t>
  </si>
  <si>
    <t>CAN PLS 7.5L QR PUTUNUPAR PURE MAT SF WH</t>
  </si>
  <si>
    <t>5408652/THDP</t>
  </si>
  <si>
    <t>5339184</t>
  </si>
  <si>
    <t>QR PUTUNUPAR PURE PLAFOND WHITE 10L</t>
  </si>
  <si>
    <t>5339184/THDP</t>
  </si>
  <si>
    <t>5908922</t>
  </si>
  <si>
    <t>QR PUTUNUPAR PURE MAT SF WHITE 12,5 L</t>
  </si>
  <si>
    <t>5908922/THDP</t>
  </si>
  <si>
    <t>5356609</t>
  </si>
  <si>
    <t>NH EXPERT KEUKEN 0001 2,5 L</t>
  </si>
  <si>
    <t>5356609/THDP</t>
  </si>
  <si>
    <t>5232733</t>
  </si>
  <si>
    <t>NH EXPERT KEUKEN 0001 1 L</t>
  </si>
  <si>
    <t>5232733/THDP</t>
  </si>
  <si>
    <t>5052825</t>
  </si>
  <si>
    <t>QR PUTUNUPAR PURE MAT SF NL WIT 10L</t>
  </si>
  <si>
    <t>2913397</t>
  </si>
  <si>
    <t>CAN PLS 10L QR PUTUNUPAR PURE MAT SF MOZ</t>
  </si>
  <si>
    <t>5052825/THDP</t>
  </si>
  <si>
    <t>C5424729 RAL9016 VB MIP BIM D3 001 W</t>
  </si>
  <si>
    <t>5634707</t>
  </si>
  <si>
    <t>NH MUR MAT RAL 9016 8+2L</t>
  </si>
  <si>
    <t>2581963</t>
  </si>
  <si>
    <t>CAN PLS 10L NH MUR MAT RAL9016</t>
  </si>
  <si>
    <t>5634707/THDP</t>
  </si>
  <si>
    <t>4690832/THDP</t>
  </si>
  <si>
    <t>5593479</t>
  </si>
  <si>
    <t>NH LS M&amp;P MAT RAL 9016 8+2L</t>
  </si>
  <si>
    <t>2733201</t>
  </si>
  <si>
    <t>CAN PLS 10L NH LS MR &amp; IZO MAT RAL9016</t>
  </si>
  <si>
    <t>5593479/THDP</t>
  </si>
  <si>
    <t>A0976139 BBW0100 31.E10.04 LAVINE SIL BW</t>
  </si>
  <si>
    <t>5331368</t>
  </si>
  <si>
    <t>JJ KITAPEHEF HODIG D3 BLC BW 15L</t>
  </si>
  <si>
    <t>5331368/THDP</t>
  </si>
  <si>
    <t>4487018/THDP</t>
  </si>
  <si>
    <t>C0706890 0000100 AN.I08.01 MAT W</t>
  </si>
  <si>
    <t>5541696</t>
  </si>
  <si>
    <t>QR ISORA BL MAT ITU WHITE 15 L</t>
  </si>
  <si>
    <t>2226773</t>
  </si>
  <si>
    <t>CAN MTL 15L QR ISORA BL MAT ITU WHITE</t>
  </si>
  <si>
    <t>5541696/THDP</t>
  </si>
  <si>
    <t>4463265/THDP</t>
  </si>
  <si>
    <t>5800946</t>
  </si>
  <si>
    <t>QR ISORA BL MAT ITU WHITE 1L</t>
  </si>
  <si>
    <t>5800946/THDP</t>
  </si>
  <si>
    <t>5507619</t>
  </si>
  <si>
    <t>QR ISORA BL MAT ITU WHITE 5 L</t>
  </si>
  <si>
    <t>5507619/THDP</t>
  </si>
  <si>
    <t>C6011540 0000100 VB MAT AESTHETICS V1 W</t>
  </si>
  <si>
    <t>5379710</t>
  </si>
  <si>
    <t>JJ ORESU JK 03 RM WIT/BLANC 5L</t>
  </si>
  <si>
    <t>5379710/THDP</t>
  </si>
  <si>
    <t>4545371/THDP</t>
  </si>
  <si>
    <t>5613616</t>
  </si>
  <si>
    <t>JJ ORESU JK 03 RM WIT/BLANC 12,5L</t>
  </si>
  <si>
    <t>5613616/THDP</t>
  </si>
  <si>
    <t>5336297</t>
  </si>
  <si>
    <t>JJ ZOLOGO WV WEISS 12,5L</t>
  </si>
  <si>
    <t>5336297/THDP</t>
  </si>
  <si>
    <t>A0077412 BBW0100 01.E11.07 IMP MAT BW</t>
  </si>
  <si>
    <t>5933795</t>
  </si>
  <si>
    <t>JJ PALIKEPIL D3/I4 BLC BW 15L</t>
  </si>
  <si>
    <t>5933795/THDP</t>
  </si>
  <si>
    <t>4992974/THDP</t>
  </si>
  <si>
    <t>5413866</t>
  </si>
  <si>
    <t>VK INOBOTE  BLANC BASE P 15 L</t>
  </si>
  <si>
    <t>5413866/THDP</t>
  </si>
  <si>
    <t>5310528</t>
  </si>
  <si>
    <t>NH FOSIN MAT BW 15 L</t>
  </si>
  <si>
    <t>5310528/THDP</t>
  </si>
  <si>
    <t>5797582</t>
  </si>
  <si>
    <t>QR ISORA TOPCOAT FLEX WHITE/W05 10L</t>
  </si>
  <si>
    <t>5797582/THDP</t>
  </si>
  <si>
    <t>C3201698 0000100 VB SAT STY C4 001</t>
  </si>
  <si>
    <t>5616402</t>
  </si>
  <si>
    <t>JJ LANISUDEVA GT BLC BW 15L</t>
  </si>
  <si>
    <t>5616402/THDP</t>
  </si>
  <si>
    <t>4153516/THDP</t>
  </si>
  <si>
    <t>C6819223 BWW0100 VB SOFT AESTHETICS BW</t>
  </si>
  <si>
    <t>5005046</t>
  </si>
  <si>
    <t>VK IFOFEGUTE PREM VELOUR BLC BASE P 1 L</t>
  </si>
  <si>
    <t>5005046/THDP</t>
  </si>
  <si>
    <t>4267467/THDP</t>
  </si>
  <si>
    <t>5622485</t>
  </si>
  <si>
    <t>NH BEMESIBO VELOURS COLOR BLANC/BW 1 L</t>
  </si>
  <si>
    <t>5622485/THDP</t>
  </si>
  <si>
    <t>5923219</t>
  </si>
  <si>
    <t>QR PUTUNUPAR FIZEBEC W05 1 L</t>
  </si>
  <si>
    <t>5923219/THDP</t>
  </si>
  <si>
    <t>5156147</t>
  </si>
  <si>
    <t>XJ NIROZIVAB VELEZAPE VELOURS AW 1L</t>
  </si>
  <si>
    <t>5156147/THDP</t>
  </si>
  <si>
    <t>5115525</t>
  </si>
  <si>
    <t>QR PUTUNUPAR FIZEBEC W05 5 L</t>
  </si>
  <si>
    <t>5115525/THDP</t>
  </si>
  <si>
    <t>5308298</t>
  </si>
  <si>
    <t>QR PUTUNUPAR FIZEBEC W05 2,5 L</t>
  </si>
  <si>
    <t>5308298/THDP</t>
  </si>
  <si>
    <t>5461988</t>
  </si>
  <si>
    <t>S1 PEINT INTERIEURE VELOURS W05 10L</t>
  </si>
  <si>
    <t>5461988/THDP</t>
  </si>
  <si>
    <t>5910651</t>
  </si>
  <si>
    <t>NH ATELIER MUUR VELOURS BASE W 1 L</t>
  </si>
  <si>
    <t>5910651/THDP</t>
  </si>
  <si>
    <t>5892039</t>
  </si>
  <si>
    <t>NH ATELIER MUUR VELOURS BASE W 2,5L</t>
  </si>
  <si>
    <t>5892039/THDP</t>
  </si>
  <si>
    <t>5627676</t>
  </si>
  <si>
    <t>NH ATELIER MUUR VELOURS BASE W 5 L</t>
  </si>
  <si>
    <t>5627676/THDP</t>
  </si>
  <si>
    <t>5801990</t>
  </si>
  <si>
    <t>S1 PEINT INTERIEURE VELOURS W05 2,5L</t>
  </si>
  <si>
    <t>5801990/THDP</t>
  </si>
  <si>
    <t>5575040</t>
  </si>
  <si>
    <t>QR PEMUCITO VELOURS REFER BASE W05 5 L</t>
  </si>
  <si>
    <t>5575040/THDP</t>
  </si>
  <si>
    <t>5564978</t>
  </si>
  <si>
    <t>NH EXPERT BADKAMER BASE W 2,5 L</t>
  </si>
  <si>
    <t>5564978/THDP</t>
  </si>
  <si>
    <t>A0023057 BBW0100 31.E02.06 FLEX MAT BW</t>
  </si>
  <si>
    <t>5080603</t>
  </si>
  <si>
    <t>QR ISORA BETON BASE W05 5L</t>
  </si>
  <si>
    <t>5080603/THDP</t>
  </si>
  <si>
    <t>4463940/THDP</t>
  </si>
  <si>
    <t>5764595</t>
  </si>
  <si>
    <t>JJ KALAPUFU SATIN WIT/DU1 12,5L</t>
  </si>
  <si>
    <t>5764595/THDP</t>
  </si>
  <si>
    <t>5804065</t>
  </si>
  <si>
    <t>JJ BETON FINISH BAS DU1 12,5L</t>
  </si>
  <si>
    <t>5804065/THDP</t>
  </si>
  <si>
    <t>5074855</t>
  </si>
  <si>
    <t>JJ KALAPUFU SATIN BAS WIT/DU1 2,5L</t>
  </si>
  <si>
    <t>5074855/THDP</t>
  </si>
  <si>
    <t>5994249</t>
  </si>
  <si>
    <t>QR ISORA BETON BASE W05 10L</t>
  </si>
  <si>
    <t>5994249/THDP</t>
  </si>
  <si>
    <t>5637794</t>
  </si>
  <si>
    <t>QR ISORA BETON WHITE 10L</t>
  </si>
  <si>
    <t>5637794/THDP</t>
  </si>
  <si>
    <t>C5377682 BWW0000 VB MIP STY E2 004</t>
  </si>
  <si>
    <t>5596363</t>
  </si>
  <si>
    <t>JN KF BLANC MAT 2,5 L</t>
  </si>
  <si>
    <t>5596363/THDP</t>
  </si>
  <si>
    <t>4417042/THDP</t>
  </si>
  <si>
    <t>5116408</t>
  </si>
  <si>
    <t>JN KF BLANC MAT 10 L</t>
  </si>
  <si>
    <t>2643779</t>
  </si>
  <si>
    <t>CAN MTL 10L JN BLANC INTENSE MAT (KF) MP</t>
  </si>
  <si>
    <t>5116408/THDP</t>
  </si>
  <si>
    <t>5959105</t>
  </si>
  <si>
    <t>JN KF BLANC MAT 5 L</t>
  </si>
  <si>
    <t>2648631</t>
  </si>
  <si>
    <t>CAN MTL 5L JN KF BLANC MAT</t>
  </si>
  <si>
    <t>5959105/THDP</t>
  </si>
  <si>
    <t>5836031</t>
  </si>
  <si>
    <t>JN KF BLANC MAT 12 L</t>
  </si>
  <si>
    <t>2586372</t>
  </si>
  <si>
    <t>CAN MTL 12L JN BLANC INTENSE MAT (KF)OZ</t>
  </si>
  <si>
    <t>5836031/THDP</t>
  </si>
  <si>
    <t>A4239468 BBW0100 31.E02.07 LAVINE BW</t>
  </si>
  <si>
    <t>5786117</t>
  </si>
  <si>
    <t>NH BEDEVIHUD G400 WHITE BW 15 L</t>
  </si>
  <si>
    <t>5786117/THDP</t>
  </si>
  <si>
    <t>4799555/THDP</t>
  </si>
  <si>
    <t>5065424</t>
  </si>
  <si>
    <t>QR PEMUCITO GOLEBIN D3 WHITE/BW05 5L</t>
  </si>
  <si>
    <t>5065424/THDP</t>
  </si>
  <si>
    <t>5496304</t>
  </si>
  <si>
    <t>VK FEGAPEB BLANC BASE P 15 L</t>
  </si>
  <si>
    <t>5496304/THDP</t>
  </si>
  <si>
    <t>5427321</t>
  </si>
  <si>
    <t>QR PEMUCITO GOLEBIN D3 WHITE/BW05 15L</t>
  </si>
  <si>
    <t>5427321/THDP</t>
  </si>
  <si>
    <t>A0467900_BBW0100_MELITOSU 0,1mm  BASE G1</t>
  </si>
  <si>
    <t>5535023</t>
  </si>
  <si>
    <t>JN UHOPA+ FACADE FACILE BLANC BW  2,5L</t>
  </si>
  <si>
    <t>742</t>
  </si>
  <si>
    <t>2005123</t>
  </si>
  <si>
    <t>CAN PLS 2.5L JN ZAH GIZ BLANC BW G2</t>
  </si>
  <si>
    <t>5535023/THDP</t>
  </si>
  <si>
    <t>4953832/THDP</t>
  </si>
  <si>
    <t>C7285672 0003825 AN.I08.01 IR ALTWEISS</t>
  </si>
  <si>
    <t>5000841</t>
  </si>
  <si>
    <t>JJ RAPID INNENWEISS RM ALTWEISS 12,5L</t>
  </si>
  <si>
    <t>2172378</t>
  </si>
  <si>
    <t>CAN PLS 12,5L JJ RAPID INNENWEISS VANEVO</t>
  </si>
  <si>
    <t>5000841/THDP</t>
  </si>
  <si>
    <t>4243790/THDP</t>
  </si>
  <si>
    <t>C8173479 0GN0288 31.I19.03 IDOPUBO  9010</t>
  </si>
  <si>
    <t>5730445</t>
  </si>
  <si>
    <t>JJ ORESU GRUND RAL 9010 12,5 L</t>
  </si>
  <si>
    <t>5730445/THDP</t>
  </si>
  <si>
    <t>4823953/THDP</t>
  </si>
  <si>
    <t>A0467900_0F87674_[RM] PIERRE 0,1mm G1</t>
  </si>
  <si>
    <t>5296408</t>
  </si>
  <si>
    <t>JN UHOPA+ FACADE FACILE TON PIERRE 2,5L</t>
  </si>
  <si>
    <t>5296408/THDP</t>
  </si>
  <si>
    <t>4456368/THDP</t>
  </si>
  <si>
    <t>A8654148 BBW0100 01.E17.02 QR IMP BW</t>
  </si>
  <si>
    <t>5521232</t>
  </si>
  <si>
    <t>QR MOBITEDUKI FLEX BASE W05 12,5 L</t>
  </si>
  <si>
    <t>5521232/THDP</t>
  </si>
  <si>
    <t>4148652/THDP</t>
  </si>
  <si>
    <t>5476071</t>
  </si>
  <si>
    <t>QR MOBITEDUKI FLEX WHITE 12,5 L</t>
  </si>
  <si>
    <t>5476071/THDP</t>
  </si>
  <si>
    <t>5535942</t>
  </si>
  <si>
    <t>JJ BOKONASI THERM BAS DU1 12,5L</t>
  </si>
  <si>
    <t>5535942/THDP</t>
  </si>
  <si>
    <t>5989654</t>
  </si>
  <si>
    <t>JJ BOKONASI THERM RM WEISS 12,5L</t>
  </si>
  <si>
    <t>5989654/THDP</t>
  </si>
  <si>
    <t>C8052934 0000100 31.I24.02 SOFT SF W</t>
  </si>
  <si>
    <t>5435277</t>
  </si>
  <si>
    <t>NH LATEX 0001 10+2 L</t>
  </si>
  <si>
    <t>2793101</t>
  </si>
  <si>
    <t>CAN PLS 12,5L NH LATEX 0001 10+2L MOZ</t>
  </si>
  <si>
    <t>5435277/THDP</t>
  </si>
  <si>
    <t>4765694/THDP</t>
  </si>
  <si>
    <t>5293650</t>
  </si>
  <si>
    <t>XJ GIHIKOKE VELOURS SF 001 10L</t>
  </si>
  <si>
    <t>5293650/THDP</t>
  </si>
  <si>
    <t>5793834</t>
  </si>
  <si>
    <t>XJ EMASITEL SOFT 001 10 L</t>
  </si>
  <si>
    <t>5793834/THDP</t>
  </si>
  <si>
    <t>5930235</t>
  </si>
  <si>
    <t>XJ EMASITEL SOFT 001 2,5 L</t>
  </si>
  <si>
    <t>5930235/THDP</t>
  </si>
  <si>
    <t>5099569</t>
  </si>
  <si>
    <t>XJ EMASITEL SOFT 001 5 L</t>
  </si>
  <si>
    <t>5099569/THDP</t>
  </si>
  <si>
    <t>5188325</t>
  </si>
  <si>
    <t>NH LATEX 0001 5+1 L</t>
  </si>
  <si>
    <t>2612991</t>
  </si>
  <si>
    <t>CAN PLS 5L NH LATEX 0001 5+1L</t>
  </si>
  <si>
    <t>5188325/THDP</t>
  </si>
  <si>
    <t>C5424729 RAL9010 VB MIP BIM D3 001 W</t>
  </si>
  <si>
    <t>5436029</t>
  </si>
  <si>
    <t>NH LS M&amp;P MAT RAL 9010 8+2L</t>
  </si>
  <si>
    <t>2747489</t>
  </si>
  <si>
    <t>CAN PLS 10L NH LS MR &amp; IZO MAT RAL9010</t>
  </si>
  <si>
    <t>5436029/THDP</t>
  </si>
  <si>
    <t>4950332/THDP</t>
  </si>
  <si>
    <t>C1944296 BWC0000 VB MIP PAC D1 006</t>
  </si>
  <si>
    <t>5009851</t>
  </si>
  <si>
    <t>JJ NIBABAZAZU OPOMEGAZA.EZU RAL9010 20KG</t>
  </si>
  <si>
    <t>5009851/THDP</t>
  </si>
  <si>
    <t>4851062/THDP</t>
  </si>
  <si>
    <t>C5700890 BBW0100 31.I04.02 SUHOTON BW A+</t>
  </si>
  <si>
    <t>5645454</t>
  </si>
  <si>
    <t>S1 PEINT REN. MURS ET PLAFONDS B.W05 5L</t>
  </si>
  <si>
    <t>5645454/THDP</t>
  </si>
  <si>
    <t>4060643/THDP</t>
  </si>
  <si>
    <t>5564154</t>
  </si>
  <si>
    <t>S1 PEINT REN. MURS ET PLAFONDS B.W05 1L</t>
  </si>
  <si>
    <t>5564154/THDP</t>
  </si>
  <si>
    <t>5384933</t>
  </si>
  <si>
    <t>VK OLUHONIS VELOURS BASE P 15 L</t>
  </si>
  <si>
    <t>5384933/THDP</t>
  </si>
  <si>
    <t>5300251</t>
  </si>
  <si>
    <t>S1 PEINT REN. MURS ET PLAFONDS B.W05 10L</t>
  </si>
  <si>
    <t>5300251/THDP</t>
  </si>
  <si>
    <t>5980634</t>
  </si>
  <si>
    <t>VK OLUHONIS VELOURS BASE P 5 L</t>
  </si>
  <si>
    <t>5980634/THDP</t>
  </si>
  <si>
    <t>C7285672 RAL9016 VB MIP BIM B2 002 W</t>
  </si>
  <si>
    <t>5434918</t>
  </si>
  <si>
    <t>JJ NIBABAZAZU OPOMEGAZA.EZU RAL9016 20KG</t>
  </si>
  <si>
    <t>5434918/THDP</t>
  </si>
  <si>
    <t>4207941/THDP</t>
  </si>
  <si>
    <t>C5334812 0GN0186 VB SAT BIM C2 001 W</t>
  </si>
  <si>
    <t>5346233</t>
  </si>
  <si>
    <t>JJ LATEX SATIN ALTWEISS 12,5L</t>
  </si>
  <si>
    <t>5346233/THDP</t>
  </si>
  <si>
    <t>4931299/THDP</t>
  </si>
  <si>
    <t>C7439197 0JN0188 VB MIP BIM B2 003 W</t>
  </si>
  <si>
    <t>5679544</t>
  </si>
  <si>
    <t>S1 MUREN &amp; PLAFONDS MAT RAL9016 10L</t>
  </si>
  <si>
    <t>2701090</t>
  </si>
  <si>
    <t>CAN PLS 10L S1 MUREN&amp;PLAFONDS MAT R9016</t>
  </si>
  <si>
    <t>5679544/THDP</t>
  </si>
  <si>
    <t>4311315/THDP</t>
  </si>
  <si>
    <t>A7337016 BBW0100 31.E02.04 FLEX D.MAT BW</t>
  </si>
  <si>
    <t>5885152</t>
  </si>
  <si>
    <t>JJ PALIKEPIL FINISH MAT DU1 12,5L</t>
  </si>
  <si>
    <t>5885152/THDP</t>
  </si>
  <si>
    <t>4133719/THDP</t>
  </si>
  <si>
    <t>C1450647 0000100 VB SAT STY D1 002</t>
  </si>
  <si>
    <t>5131181</t>
  </si>
  <si>
    <t>JN PLAFOND ZUKA &amp; BAINS 2,5L</t>
  </si>
  <si>
    <t>2512599</t>
  </si>
  <si>
    <t>CAN PLS 2.5L JN PLAFOND C&amp;B EHA</t>
  </si>
  <si>
    <t>5131181/THDP</t>
  </si>
  <si>
    <t>4430246/THDP</t>
  </si>
  <si>
    <t>C1135597 0000100 AR.I14.02 CEIL OLUP W 2</t>
  </si>
  <si>
    <t>5830857</t>
  </si>
  <si>
    <t>WX SOVUH SP SC PLAQUES ATEDOS V3 10L</t>
  </si>
  <si>
    <t>2327465</t>
  </si>
  <si>
    <t>CAN MTL 10L WX S/C PLAQUE ATEDOS V3 EHA</t>
  </si>
  <si>
    <t>5830857/THDP</t>
  </si>
  <si>
    <t>4025136/THDP</t>
  </si>
  <si>
    <t>A0467900_0F50227_[RM] LUGUPEN 0,1mm G1</t>
  </si>
  <si>
    <t>5304370</t>
  </si>
  <si>
    <t>JN UHOPA+FACADE FACILE MAT KEHOVATA 2,5L</t>
  </si>
  <si>
    <t>5304370/THDP</t>
  </si>
  <si>
    <t>4588900/THDP</t>
  </si>
  <si>
    <t>A7862985 0S55948 AR.E01.01 D.MAT EXT GRI</t>
  </si>
  <si>
    <t>5592325</t>
  </si>
  <si>
    <t>JN UHOPA+ FACADE FACILE RAL 7016 2,5L</t>
  </si>
  <si>
    <t>5592325/THDP</t>
  </si>
  <si>
    <t>4045252/THDP</t>
  </si>
  <si>
    <t>C7121003 RAL9010 VB MIP BIM B2 001 W</t>
  </si>
  <si>
    <t>5370987</t>
  </si>
  <si>
    <t>JJ ORESU IVUZICITA POWER RM9010-HR20 KG</t>
  </si>
  <si>
    <t>5370987/THDP</t>
  </si>
  <si>
    <t>4352395/THDP</t>
  </si>
  <si>
    <t>C8052934 RAL9010 31.I24.02 SOFT 9010</t>
  </si>
  <si>
    <t>5997676</t>
  </si>
  <si>
    <t>JJ CLASSIC SUP COL VUZ 9010 12,5 L</t>
  </si>
  <si>
    <t>5997676/THDP</t>
  </si>
  <si>
    <t>4018606/THDP</t>
  </si>
  <si>
    <t>C8173479 0UN0165 31.I19.03 IDOPUBO GREY</t>
  </si>
  <si>
    <t>5461012</t>
  </si>
  <si>
    <t>NH PRIMER MUR &amp; PLAFOND GRIJS 2,5 L</t>
  </si>
  <si>
    <t>5461012/THDP</t>
  </si>
  <si>
    <t>4824309/THDP</t>
  </si>
  <si>
    <t>5530976</t>
  </si>
  <si>
    <t>LZ FUMUZIBUKI NIDIMAGEDUV GR. 2,5L</t>
  </si>
  <si>
    <t>2205440</t>
  </si>
  <si>
    <t>CAN PLS 2.5L LZ FUMUZIBUKI S. GR MOZ</t>
  </si>
  <si>
    <t>5530976/THDP</t>
  </si>
  <si>
    <t>C7285672 NCS500N VB MIP BIM B2 002 W</t>
  </si>
  <si>
    <t>5323732</t>
  </si>
  <si>
    <t>JJ NIBABAZAZU OPOMEGAZA.EZU S-0500N 20KG</t>
  </si>
  <si>
    <t>5323732/THDP</t>
  </si>
  <si>
    <t>4100584/THDP</t>
  </si>
  <si>
    <t>C7554265 RAL9016 VB MAT BIM E3 002 W</t>
  </si>
  <si>
    <t>5544875</t>
  </si>
  <si>
    <t>QR DISATIRA HD SF MOCIZIBA 12,5 L</t>
  </si>
  <si>
    <t>5544875/THDP</t>
  </si>
  <si>
    <t>4581100/THDP</t>
  </si>
  <si>
    <t>5950150</t>
  </si>
  <si>
    <t>HZ CR LAK ZG SPACIOUS GREY 750ML</t>
  </si>
  <si>
    <t>5950150/THDP</t>
  </si>
  <si>
    <t>5315603</t>
  </si>
  <si>
    <t>HZ CR LAK ZG SIMPLY BREAD 750ML</t>
  </si>
  <si>
    <t>5315603/THDP</t>
  </si>
  <si>
    <t>5967304</t>
  </si>
  <si>
    <t>HZ CR YN ZIJDEMAT CAMOUFLAGE GR 1L</t>
  </si>
  <si>
    <t>5967304/THDP</t>
  </si>
  <si>
    <t>5622547</t>
  </si>
  <si>
    <t>VT FASSADENSCHUTZ MIX BASIS 3 9,3 L</t>
  </si>
  <si>
    <t>5622547/THDP</t>
  </si>
  <si>
    <t>5600024</t>
  </si>
  <si>
    <t>VT FASSADENSCHUTZ MIX BASIS 3 4,65 L</t>
  </si>
  <si>
    <t>5600024/THDP</t>
  </si>
  <si>
    <t>5706675</t>
  </si>
  <si>
    <t>VT FASSADENSCHUTZ MIX BASIS 3 2,325 L</t>
  </si>
  <si>
    <t>5706675/THDP</t>
  </si>
  <si>
    <t>5416071</t>
  </si>
  <si>
    <t>HZ CR LAK ZG TRANQUIL DAWN 750ML</t>
  </si>
  <si>
    <t>5416071/THDP</t>
  </si>
  <si>
    <t>5205450</t>
  </si>
  <si>
    <t>HZ CR LAK ZG CHARMING CLOUD 750ML</t>
  </si>
  <si>
    <t>5205450/THDP</t>
  </si>
  <si>
    <t>5840826</t>
  </si>
  <si>
    <t>HZ CR LAK ZG SERENE LAGOON 750ML</t>
  </si>
  <si>
    <t>5840826/THDP</t>
  </si>
  <si>
    <t>5186594</t>
  </si>
  <si>
    <t>HZ CR YN ZIJDEMAT SAKAZAF GREY 1L</t>
  </si>
  <si>
    <t>5186594/THDP</t>
  </si>
  <si>
    <t>5937011</t>
  </si>
  <si>
    <t>QR ISORA BL MAT ITU BASE N00 13,95 L</t>
  </si>
  <si>
    <t>5937011/THDP</t>
  </si>
  <si>
    <t>5795249</t>
  </si>
  <si>
    <t>XJ GLOBAL SOUS-DAMAMI BASE AW 15 L</t>
  </si>
  <si>
    <t>5795249/THDP</t>
  </si>
  <si>
    <t>5507197</t>
  </si>
  <si>
    <t>HZ CR LAK ZG CAMOUFLAGE GREEN 750ML</t>
  </si>
  <si>
    <t>5507197/THDP</t>
  </si>
  <si>
    <t>5926429</t>
  </si>
  <si>
    <t>QR EZUSIVULO BL BASE W05 5 L</t>
  </si>
  <si>
    <t>5926429/THDP</t>
  </si>
  <si>
    <t>5032875</t>
  </si>
  <si>
    <t>HZ CR LAK ZG ROYAL BLUE 750ML</t>
  </si>
  <si>
    <t>5032875/THDP</t>
  </si>
  <si>
    <t>5264751</t>
  </si>
  <si>
    <t>NQ EXPERT MATT  BASE IC 4,65L</t>
  </si>
  <si>
    <t>5264751/THDP</t>
  </si>
  <si>
    <t>5702593</t>
  </si>
  <si>
    <t>NH TETOTATOHOGUME BC 4,65 L</t>
  </si>
  <si>
    <t>5702593/THDP</t>
  </si>
  <si>
    <t>5011526</t>
  </si>
  <si>
    <t>QR IHUBUCUKU HYDRO D2 BASE N00 4,65L</t>
  </si>
  <si>
    <t>5011526/THDP</t>
  </si>
  <si>
    <t>5833892</t>
  </si>
  <si>
    <t>NQ EXPERT MATT  BASE IC 9,3L</t>
  </si>
  <si>
    <t>5833892/THDP</t>
  </si>
  <si>
    <t>5728595</t>
  </si>
  <si>
    <t>VK TOP+FOSIN SS-KEGI BLANC BASE P 15 L</t>
  </si>
  <si>
    <t>5728595/THDP</t>
  </si>
  <si>
    <t>5546459</t>
  </si>
  <si>
    <t>QR MOBITEDUKI FLEX BASE N00 13,02L</t>
  </si>
  <si>
    <t>5546459/THDP</t>
  </si>
  <si>
    <t>5964937</t>
  </si>
  <si>
    <t>QR MOBITEDUKI FLEX N00 9,3L</t>
  </si>
  <si>
    <t>8</t>
  </si>
  <si>
    <t>5964937/THDP</t>
  </si>
  <si>
    <t>5100501</t>
  </si>
  <si>
    <t>QR PEMUCITO 4SO MAT N00 9,3L</t>
  </si>
  <si>
    <t>5100501/THDP</t>
  </si>
  <si>
    <t>5680147</t>
  </si>
  <si>
    <t>XJ TOLIGIGEF FLEX KX 9,3L</t>
  </si>
  <si>
    <t>5680147/THDP</t>
  </si>
  <si>
    <t>5058081</t>
  </si>
  <si>
    <t>XJ TOLIGIGEF FLEX KX 4,650L</t>
  </si>
  <si>
    <t>5058081/THDP</t>
  </si>
  <si>
    <t>5833535</t>
  </si>
  <si>
    <t>JN UHOPA + FACADE FACILE BC 9,400 L</t>
  </si>
  <si>
    <t>5833535/THDP</t>
  </si>
  <si>
    <t>5456683</t>
  </si>
  <si>
    <t>QR MOBITEDUKI FLEX D3-I1 BASE N00 4,65 L</t>
  </si>
  <si>
    <t>5456683/THDP</t>
  </si>
  <si>
    <t>5136356</t>
  </si>
  <si>
    <t>QR MOBITEDUKI FLEX D3-I1 BASE N00 13,95L</t>
  </si>
  <si>
    <t>5136356/THDP</t>
  </si>
  <si>
    <t>5254931</t>
  </si>
  <si>
    <t>QR IHUBUCUKU HYDRO D2 BASE N00 13,95L</t>
  </si>
  <si>
    <t>5254931/THDP</t>
  </si>
  <si>
    <t>5489294</t>
  </si>
  <si>
    <t>NH TETOTATOHOGUME BC 13,95 L</t>
  </si>
  <si>
    <t>5489294/THDP</t>
  </si>
  <si>
    <t>5390335</t>
  </si>
  <si>
    <t>VK KOVADIKA BASE V 13,95 L</t>
  </si>
  <si>
    <t>5390335/THDP</t>
  </si>
  <si>
    <t>5638895</t>
  </si>
  <si>
    <t>NH BEDEVIHUD RS 700 BC 13,95 L</t>
  </si>
  <si>
    <t>5638895/THDP</t>
  </si>
  <si>
    <t>5138848</t>
  </si>
  <si>
    <t>YS ZIHATUGO FOGE MIX BASE BN 9,3 L</t>
  </si>
  <si>
    <t>5138848/THDP</t>
  </si>
  <si>
    <t>5761301</t>
  </si>
  <si>
    <t>XJ HAFOSOLIG 4SO MAT KX 9,3L</t>
  </si>
  <si>
    <t>5761301/THDP</t>
  </si>
  <si>
    <t>5850998</t>
  </si>
  <si>
    <t>QR IHUBUCUKU HYDRO D2 BASE N00 0,93L</t>
  </si>
  <si>
    <t>5850998/THDP</t>
  </si>
  <si>
    <t>5551619</t>
  </si>
  <si>
    <t>JN UHOPA + FACADE FACILE BC 2,350 L</t>
  </si>
  <si>
    <t>5551619/THDP</t>
  </si>
  <si>
    <t>5967776</t>
  </si>
  <si>
    <t>NQ EXPERT MATT  BASE IC 930ML</t>
  </si>
  <si>
    <t>5967776/THDP</t>
  </si>
  <si>
    <t>5867118</t>
  </si>
  <si>
    <t>XJ HAFOSOLIG 4SO MAT KX 2,325L</t>
  </si>
  <si>
    <t>5867118/THDP</t>
  </si>
  <si>
    <t>5565016</t>
  </si>
  <si>
    <t>QR PEMUCITO 4SO MAT N00 2,325L</t>
  </si>
  <si>
    <t>5565016/THDP</t>
  </si>
  <si>
    <t>5147702</t>
  </si>
  <si>
    <t>NQ EXPERT MATT  BASE IC 2,325L</t>
  </si>
  <si>
    <t>5147702/THDP</t>
  </si>
  <si>
    <t>5536576</t>
  </si>
  <si>
    <t>QR MOBITEDUKI FLEX N00 2,325L</t>
  </si>
  <si>
    <t>5536576/THDP</t>
  </si>
  <si>
    <t>Match?</t>
  </si>
  <si>
    <t>Name</t>
  </si>
  <si>
    <t>PCK_0343</t>
  </si>
  <si>
    <t>PCK_0445</t>
  </si>
  <si>
    <t>Plant</t>
  </si>
  <si>
    <t>Total volume per week</t>
  </si>
  <si>
    <t>Weekly changes FINI-FINI</t>
  </si>
  <si>
    <t>Weekly changes FINI-FINI with PCK change</t>
  </si>
  <si>
    <t>Weekly FINI-FINI with same PCK</t>
  </si>
  <si>
    <t>Yearly volume</t>
  </si>
  <si>
    <t>Recipe combination</t>
  </si>
  <si>
    <t>*</t>
  </si>
  <si>
    <t>&amp;</t>
  </si>
  <si>
    <t>)</t>
  </si>
  <si>
    <t>For those products with pallet conversion identified</t>
  </si>
  <si>
    <r>
      <t xml:space="preserve">For those products with pallet conversion </t>
    </r>
    <r>
      <rPr>
        <b/>
        <sz val="11"/>
        <color theme="1"/>
        <rFont val="Calibri"/>
        <family val="2"/>
        <scheme val="minor"/>
      </rPr>
      <t>NOT identified</t>
    </r>
  </si>
  <si>
    <t>List of DC</t>
  </si>
  <si>
    <t>Plnt</t>
  </si>
  <si>
    <t>Lot size</t>
  </si>
  <si>
    <t>Min lot size at DC</t>
  </si>
  <si>
    <t>Rounding value</t>
  </si>
  <si>
    <t>Defined in wheel</t>
  </si>
  <si>
    <t>BMID</t>
  </si>
  <si>
    <t>96</t>
  </si>
  <si>
    <t>YES</t>
  </si>
  <si>
    <t>V03D</t>
  </si>
  <si>
    <t>9B</t>
  </si>
  <si>
    <t>X87D</t>
  </si>
  <si>
    <t>05</t>
  </si>
  <si>
    <t>NO</t>
  </si>
  <si>
    <t>C22D</t>
  </si>
  <si>
    <t>43</t>
  </si>
  <si>
    <t>13</t>
  </si>
  <si>
    <t>ZAFD</t>
  </si>
  <si>
    <t>18</t>
  </si>
  <si>
    <t>61</t>
  </si>
  <si>
    <t>JCGD</t>
  </si>
  <si>
    <t>14</t>
  </si>
  <si>
    <t>83</t>
  </si>
  <si>
    <t>20</t>
  </si>
  <si>
    <t>Z79D</t>
  </si>
  <si>
    <t>JEWD</t>
  </si>
  <si>
    <t>32</t>
  </si>
  <si>
    <t>10</t>
  </si>
  <si>
    <t>TNRD</t>
  </si>
  <si>
    <t>L71D</t>
  </si>
  <si>
    <t>9L</t>
  </si>
  <si>
    <t>DTQD</t>
  </si>
  <si>
    <t>ITVD</t>
  </si>
  <si>
    <t>65</t>
  </si>
  <si>
    <t>FNBD</t>
  </si>
  <si>
    <t>KBKD</t>
  </si>
  <si>
    <t>9D</t>
  </si>
  <si>
    <t>R78D</t>
  </si>
  <si>
    <t>39</t>
  </si>
  <si>
    <t>53</t>
  </si>
  <si>
    <t>23</t>
  </si>
  <si>
    <t>55</t>
  </si>
  <si>
    <t>04</t>
  </si>
  <si>
    <t>99</t>
  </si>
  <si>
    <t>06</t>
  </si>
  <si>
    <t>9H</t>
  </si>
  <si>
    <t>25</t>
  </si>
  <si>
    <t>11</t>
  </si>
  <si>
    <t>21</t>
  </si>
  <si>
    <t>80</t>
  </si>
  <si>
    <t>9K</t>
  </si>
  <si>
    <t>86</t>
  </si>
  <si>
    <t>5365851</t>
  </si>
  <si>
    <t>5201582</t>
  </si>
  <si>
    <t>5467665</t>
  </si>
  <si>
    <t>5702962</t>
  </si>
  <si>
    <t>5710129</t>
  </si>
  <si>
    <t>58</t>
  </si>
  <si>
    <t>22</t>
  </si>
  <si>
    <t>9E</t>
  </si>
  <si>
    <t>28</t>
  </si>
  <si>
    <t>9C</t>
  </si>
  <si>
    <t>5786627</t>
  </si>
  <si>
    <t>5655758</t>
  </si>
  <si>
    <t>5313676</t>
  </si>
  <si>
    <t>5150752</t>
  </si>
  <si>
    <t>75</t>
  </si>
  <si>
    <t>5141626</t>
  </si>
  <si>
    <t>57</t>
  </si>
  <si>
    <t>5495080</t>
  </si>
  <si>
    <t>5703852</t>
  </si>
  <si>
    <t>5408555</t>
  </si>
  <si>
    <t>5859949</t>
  </si>
  <si>
    <t>5956361</t>
  </si>
  <si>
    <t>9A</t>
  </si>
  <si>
    <t>5754774</t>
  </si>
  <si>
    <t>5956197</t>
  </si>
  <si>
    <t>72</t>
  </si>
  <si>
    <t>5360737</t>
  </si>
  <si>
    <t>5282441</t>
  </si>
  <si>
    <t>90</t>
  </si>
  <si>
    <t>5457401</t>
  </si>
  <si>
    <t>5384077</t>
  </si>
  <si>
    <t>30</t>
  </si>
  <si>
    <t>5448644</t>
  </si>
  <si>
    <t>9I</t>
  </si>
  <si>
    <t>5863266</t>
  </si>
  <si>
    <t>97</t>
  </si>
  <si>
    <t>5433594</t>
  </si>
  <si>
    <t>5807193</t>
  </si>
  <si>
    <t>5054708</t>
  </si>
  <si>
    <t>5060167</t>
  </si>
  <si>
    <t>5559909</t>
  </si>
  <si>
    <t>5913326</t>
  </si>
  <si>
    <t>5380805</t>
  </si>
  <si>
    <t>5852971</t>
  </si>
  <si>
    <t>56</t>
  </si>
  <si>
    <t>5631017</t>
  </si>
  <si>
    <t>19</t>
  </si>
  <si>
    <t>5719816</t>
  </si>
  <si>
    <t>09</t>
  </si>
  <si>
    <t>9G</t>
  </si>
  <si>
    <t>50</t>
  </si>
  <si>
    <t>88</t>
  </si>
  <si>
    <t>5759078</t>
  </si>
  <si>
    <t>85</t>
  </si>
  <si>
    <t>08</t>
  </si>
  <si>
    <t>5013324</t>
  </si>
  <si>
    <t>77</t>
  </si>
  <si>
    <t>17</t>
  </si>
  <si>
    <t>29</t>
  </si>
  <si>
    <t>79</t>
  </si>
  <si>
    <t>42</t>
  </si>
  <si>
    <t>24</t>
  </si>
  <si>
    <t>59</t>
  </si>
  <si>
    <t>60</t>
  </si>
  <si>
    <t>44</t>
  </si>
  <si>
    <t>5502274</t>
  </si>
  <si>
    <t>95</t>
  </si>
  <si>
    <t>47</t>
  </si>
  <si>
    <t>91</t>
  </si>
  <si>
    <t>46</t>
  </si>
  <si>
    <t>5635622</t>
  </si>
  <si>
    <t>5304824</t>
  </si>
  <si>
    <t>26</t>
  </si>
  <si>
    <t>35</t>
  </si>
  <si>
    <t>45</t>
  </si>
  <si>
    <t>5369024</t>
  </si>
  <si>
    <t>34</t>
  </si>
  <si>
    <t>5742256</t>
  </si>
  <si>
    <t>5369464</t>
  </si>
  <si>
    <t>5475703</t>
  </si>
  <si>
    <t>52</t>
  </si>
  <si>
    <t>41</t>
  </si>
  <si>
    <t>5492277</t>
  </si>
  <si>
    <t>84</t>
  </si>
  <si>
    <t>12</t>
  </si>
  <si>
    <t>62</t>
  </si>
  <si>
    <t>40</t>
  </si>
  <si>
    <t>5648587</t>
  </si>
  <si>
    <t>07</t>
  </si>
  <si>
    <t>9F</t>
  </si>
  <si>
    <t>27</t>
  </si>
  <si>
    <t>36</t>
  </si>
  <si>
    <t>33</t>
  </si>
  <si>
    <t>73</t>
  </si>
  <si>
    <t>94</t>
  </si>
  <si>
    <t>69</t>
  </si>
  <si>
    <t>38</t>
  </si>
  <si>
    <t>64</t>
  </si>
  <si>
    <t>16</t>
  </si>
  <si>
    <t>37</t>
  </si>
  <si>
    <t>02</t>
  </si>
  <si>
    <t>15</t>
  </si>
  <si>
    <t>74</t>
  </si>
  <si>
    <t>54</t>
  </si>
  <si>
    <t>63</t>
  </si>
  <si>
    <t>81</t>
  </si>
  <si>
    <t>5873520</t>
  </si>
  <si>
    <t>5149300</t>
  </si>
  <si>
    <t>5376484</t>
  </si>
  <si>
    <t>5285486</t>
  </si>
  <si>
    <t>5602050</t>
  </si>
  <si>
    <t>5261716</t>
  </si>
  <si>
    <t>5454169</t>
  </si>
  <si>
    <t>70</t>
  </si>
  <si>
    <t>51</t>
  </si>
  <si>
    <t>03</t>
  </si>
  <si>
    <t>01</t>
  </si>
  <si>
    <t>Calendar to be informed</t>
  </si>
  <si>
    <t>Calendar to be reset (in case in previous wheel was W12 or W22 but in this wheel has different frequency)</t>
  </si>
  <si>
    <t>Planning calendar</t>
  </si>
  <si>
    <t>Lot size Profile</t>
  </si>
  <si>
    <t>FINI</t>
  </si>
  <si>
    <t>P-site</t>
  </si>
  <si>
    <t>PK</t>
  </si>
  <si>
    <t>W12</t>
  </si>
  <si>
    <t>DDZP-W12</t>
  </si>
  <si>
    <t>EX</t>
  </si>
  <si>
    <t>W22</t>
  </si>
  <si>
    <t>DDZP-W22</t>
  </si>
  <si>
    <t>Lot size KG</t>
  </si>
  <si>
    <t>4211985</t>
  </si>
  <si>
    <t>4035382</t>
  </si>
  <si>
    <t>4714905</t>
  </si>
  <si>
    <t>Done with AI and adjusted manually</t>
  </si>
  <si>
    <t>SAP character</t>
  </si>
  <si>
    <t>4495849</t>
  </si>
  <si>
    <t>4558617</t>
  </si>
  <si>
    <t>4677102</t>
  </si>
  <si>
    <t>4491401</t>
  </si>
  <si>
    <t>4652786</t>
  </si>
  <si>
    <t>4061019</t>
  </si>
  <si>
    <t>4513759</t>
  </si>
  <si>
    <t>100</t>
  </si>
  <si>
    <t>200</t>
  </si>
  <si>
    <t>4240512</t>
  </si>
  <si>
    <t>4497395</t>
  </si>
  <si>
    <t>4606821</t>
  </si>
  <si>
    <t>4856973</t>
  </si>
  <si>
    <t>4351748</t>
  </si>
  <si>
    <t>4011459</t>
  </si>
  <si>
    <t>4418804</t>
  </si>
  <si>
    <t>4145975</t>
  </si>
  <si>
    <t>4995218</t>
  </si>
  <si>
    <t>4994569</t>
  </si>
  <si>
    <t>4849219</t>
  </si>
  <si>
    <t>4184259</t>
  </si>
  <si>
    <t>4465094</t>
  </si>
  <si>
    <t>4311205</t>
  </si>
  <si>
    <t>4035108</t>
  </si>
  <si>
    <t>4368102</t>
  </si>
  <si>
    <t>4539476</t>
  </si>
  <si>
    <t>4302598</t>
  </si>
  <si>
    <t>4620507</t>
  </si>
  <si>
    <t>4963715</t>
  </si>
  <si>
    <t>4628825</t>
  </si>
  <si>
    <t>4317632</t>
  </si>
  <si>
    <t>4395538</t>
  </si>
  <si>
    <t>4830710</t>
  </si>
  <si>
    <t>4705892</t>
  </si>
  <si>
    <t>4769831</t>
  </si>
  <si>
    <t>4982638</t>
  </si>
  <si>
    <t>4997218</t>
  </si>
  <si>
    <t>4167519</t>
  </si>
  <si>
    <t>4883656</t>
  </si>
  <si>
    <t>4304587</t>
  </si>
  <si>
    <t>4107918</t>
  </si>
  <si>
    <t>4095574</t>
  </si>
  <si>
    <t>4180927</t>
  </si>
  <si>
    <t>4549916</t>
  </si>
  <si>
    <t>4524765</t>
  </si>
  <si>
    <t>SEFI/P-site</t>
  </si>
  <si>
    <t>Clasificador</t>
  </si>
  <si>
    <t>Lot size (Litres)</t>
  </si>
  <si>
    <t>PV lot</t>
  </si>
  <si>
    <t>4549916/THDP/PV - 1</t>
  </si>
  <si>
    <t>4495849/THDP/PV - 1</t>
  </si>
  <si>
    <t>4558617/THDP/PV - 1</t>
  </si>
  <si>
    <t>4677102/THDP/PV - 1</t>
  </si>
  <si>
    <t>4992974/THDP/PV - 1</t>
  </si>
  <si>
    <t>4992974</t>
  </si>
  <si>
    <t>4148652/THDP/PV - 1</t>
  </si>
  <si>
    <t>4148652</t>
  </si>
  <si>
    <t>4166802/THDP/PV - 1</t>
  </si>
  <si>
    <t>4166802</t>
  </si>
  <si>
    <t>4931299/THDP/PV - 1</t>
  </si>
  <si>
    <t>4931299</t>
  </si>
  <si>
    <t>4513759/THDP/PV - 1</t>
  </si>
  <si>
    <t>4765694/THDP/PV - 1</t>
  </si>
  <si>
    <t>4765694</t>
  </si>
  <si>
    <t>4487018/THDP/PV - 1</t>
  </si>
  <si>
    <t>4487018</t>
  </si>
  <si>
    <t>4022286/THDP/PV - 1</t>
  </si>
  <si>
    <t>4022286</t>
  </si>
  <si>
    <t>4491401/THDP/PV - 1</t>
  </si>
  <si>
    <t>4799555/THDP/PV - 1</t>
  </si>
  <si>
    <t>4799555</t>
  </si>
  <si>
    <t>4463940/THDP/PV - 1</t>
  </si>
  <si>
    <t>4463940</t>
  </si>
  <si>
    <t>4261956/THDP</t>
  </si>
  <si>
    <t>4261956/THDP/PV - 1</t>
  </si>
  <si>
    <t>4261956</t>
  </si>
  <si>
    <t>4133719/THDP/PV - 1</t>
  </si>
  <si>
    <t>4133719</t>
  </si>
  <si>
    <t>4652786/THDP/PV - 1</t>
  </si>
  <si>
    <t>4604288/THDP</t>
  </si>
  <si>
    <t>4604288/THDP/PV - 1</t>
  </si>
  <si>
    <t>4604288</t>
  </si>
  <si>
    <t>4136944/THDP</t>
  </si>
  <si>
    <t>4136944/THDP/PV - 1</t>
  </si>
  <si>
    <t>4136944</t>
  </si>
  <si>
    <t>4099650/THDP</t>
  </si>
  <si>
    <t>4099650/THDP/PV - 1</t>
  </si>
  <si>
    <t>4099650</t>
  </si>
  <si>
    <t>4305699/THDP/PV - 1</t>
  </si>
  <si>
    <t>4305699</t>
  </si>
  <si>
    <t>4184259/THDP/PV - 1</t>
  </si>
  <si>
    <t>4184259/THDP/PV - 2</t>
  </si>
  <si>
    <t>4465094/THDP/PV - 1</t>
  </si>
  <si>
    <t>4145975/THDP/PV - 1</t>
  </si>
  <si>
    <t>4047270/THDP/PV - 1</t>
  </si>
  <si>
    <t>4047270</t>
  </si>
  <si>
    <t>4953832/THDP/PV - 1</t>
  </si>
  <si>
    <t>4953832</t>
  </si>
  <si>
    <t>4155337/THDP</t>
  </si>
  <si>
    <t>4155337/THDP/PV - 1</t>
  </si>
  <si>
    <t>4155337</t>
  </si>
  <si>
    <t>4463265/THDP/PV - 1</t>
  </si>
  <si>
    <t>4463265</t>
  </si>
  <si>
    <t>4011459/THDP/PV - 1</t>
  </si>
  <si>
    <t>4995218/THDP/PV - 1</t>
  </si>
  <si>
    <t>4418804/THDP/PV - 1</t>
  </si>
  <si>
    <t>4994569/THDP/PV - 1</t>
  </si>
  <si>
    <t>4581100/THDP/PV - 1</t>
  </si>
  <si>
    <t>4581100</t>
  </si>
  <si>
    <t>4700314/THDP/PV - 1</t>
  </si>
  <si>
    <t>4700314</t>
  </si>
  <si>
    <t>4705892/THDP/PV - 1</t>
  </si>
  <si>
    <t>4722373/THDP/PV - 1</t>
  </si>
  <si>
    <t>4722373</t>
  </si>
  <si>
    <t>4799594/THDP/PV - 1</t>
  </si>
  <si>
    <t>4799594</t>
  </si>
  <si>
    <t>4351748/THDP/PV - 1</t>
  </si>
  <si>
    <t>4351748/THDP/PV - 3</t>
  </si>
  <si>
    <t>4240512/THDP/PV - 1</t>
  </si>
  <si>
    <t>4240512/THDP/PV - 2</t>
  </si>
  <si>
    <t>4061019/THDP/PV - 1</t>
  </si>
  <si>
    <t>4830710/THDP/PV - 1</t>
  </si>
  <si>
    <t>4037735/THDP/PV - 1</t>
  </si>
  <si>
    <t>4037735</t>
  </si>
  <si>
    <t>4204287/THDP</t>
  </si>
  <si>
    <t>4204287/THDP/PV - 1</t>
  </si>
  <si>
    <t>4204287</t>
  </si>
  <si>
    <t>4361695/THDP/PV - 1</t>
  </si>
  <si>
    <t>4361695</t>
  </si>
  <si>
    <t>4195394/THDP</t>
  </si>
  <si>
    <t>4195394/THDP/PV - 1</t>
  </si>
  <si>
    <t>4195394</t>
  </si>
  <si>
    <t>4871417/THDP</t>
  </si>
  <si>
    <t>4871417/THDP/PV - 1</t>
  </si>
  <si>
    <t>4871417</t>
  </si>
  <si>
    <t>4387746/THDP/PV - 1</t>
  </si>
  <si>
    <t>4387746</t>
  </si>
  <si>
    <t>4883656/THDP/PV - 1</t>
  </si>
  <si>
    <t>4497395/THDP/PV - 1</t>
  </si>
  <si>
    <t>4211985/THDP/PV - 1</t>
  </si>
  <si>
    <t>4211985/THDP/PV - 2</t>
  </si>
  <si>
    <t>4606821/THDP/PV - 1</t>
  </si>
  <si>
    <t>4606821/THDP/PV - 2</t>
  </si>
  <si>
    <t>4606821/THDP/PV - 3</t>
  </si>
  <si>
    <t>4606821/THDP/PV - 4</t>
  </si>
  <si>
    <t>4856973/THDP/PV - 1</t>
  </si>
  <si>
    <t>4243790/THDP/PV - 1</t>
  </si>
  <si>
    <t>4243790</t>
  </si>
  <si>
    <t>4035382/THDP/PV - 1</t>
  </si>
  <si>
    <t>4035382/THDP/PV - 2</t>
  </si>
  <si>
    <t>4035382/THDP/PV - 3</t>
  </si>
  <si>
    <t>4035382/THDP/PV - 4</t>
  </si>
  <si>
    <t>4035382/THDP/PV - 5</t>
  </si>
  <si>
    <t>4997218/THDP/PV - 1</t>
  </si>
  <si>
    <t>4060643/THDP/PV - 1</t>
  </si>
  <si>
    <t>4060643</t>
  </si>
  <si>
    <t>4153516/THDP/PV - 1</t>
  </si>
  <si>
    <t>4153516</t>
  </si>
  <si>
    <t>4311205/THDP/PV - 1</t>
  </si>
  <si>
    <t>4620507/THDP/PV - 1</t>
  </si>
  <si>
    <t>4525896/THDP</t>
  </si>
  <si>
    <t>4525896/THDP/PV - 1</t>
  </si>
  <si>
    <t>4525896</t>
  </si>
  <si>
    <t>4849219/THDP/PV - 1</t>
  </si>
  <si>
    <t>4417042/THDP/PV - 1</t>
  </si>
  <si>
    <t>4417042</t>
  </si>
  <si>
    <t>4823953/THDP/PV - 1</t>
  </si>
  <si>
    <t>4823953</t>
  </si>
  <si>
    <t>4035108/THDP/PV - 1</t>
  </si>
  <si>
    <t>4035108/THDP/PV - 2</t>
  </si>
  <si>
    <t>4368102/THDP/PV - 1</t>
  </si>
  <si>
    <t>4025136/THDP/PV - 1</t>
  </si>
  <si>
    <t>4025136</t>
  </si>
  <si>
    <t>4539476/THDP/PV - 1</t>
  </si>
  <si>
    <t>4950332/THDP/PV - 1</t>
  </si>
  <si>
    <t>4950332</t>
  </si>
  <si>
    <t>4690832/THDP/PV - 1</t>
  </si>
  <si>
    <t>4690832</t>
  </si>
  <si>
    <t>4588900/THDP/PV - 1</t>
  </si>
  <si>
    <t>4588900</t>
  </si>
  <si>
    <t>4456368/THDP/PV - 1</t>
  </si>
  <si>
    <t>4456368</t>
  </si>
  <si>
    <t>4304587/THDP/PV - 1</t>
  </si>
  <si>
    <t>4350255/THDP</t>
  </si>
  <si>
    <t>4350255/THDP/PV - 1</t>
  </si>
  <si>
    <t>4350255</t>
  </si>
  <si>
    <t>4350255/THDP/PV - 2</t>
  </si>
  <si>
    <t>4302598/THDP/PV - 1</t>
  </si>
  <si>
    <t>4302598/THDP/PV - 2</t>
  </si>
  <si>
    <t>4545371/THDP/PV - 1</t>
  </si>
  <si>
    <t>4545371</t>
  </si>
  <si>
    <t>4963715/THDP/PV - 1</t>
  </si>
  <si>
    <t>4628825/THDP/PV - 1</t>
  </si>
  <si>
    <t>4714905/THDP/PV - 1</t>
  </si>
  <si>
    <t>4714905/THDP/PV - 2</t>
  </si>
  <si>
    <t>4317632/THDP/PV - 1</t>
  </si>
  <si>
    <t>4395538/THDP/PV - 1</t>
  </si>
  <si>
    <t>4758648/THDP/PV - 1</t>
  </si>
  <si>
    <t>4758648</t>
  </si>
  <si>
    <t>4769831/THDP/PV - 1</t>
  </si>
  <si>
    <t>4982638/THDP/PV - 1</t>
  </si>
  <si>
    <t>4683589/THDP/PV - 1</t>
  </si>
  <si>
    <t>4683589</t>
  </si>
  <si>
    <t>4167519/THDP/PV - 1</t>
  </si>
  <si>
    <t>4267467/THDP/PV - 1</t>
  </si>
  <si>
    <t>4267467</t>
  </si>
  <si>
    <t>4107918/THDP/PV - 1</t>
  </si>
  <si>
    <t>4095574/THDP/PV - 1</t>
  </si>
  <si>
    <t>4352395/THDP/PV - 1</t>
  </si>
  <si>
    <t>4352395</t>
  </si>
  <si>
    <t>4018606/THDP/PV - 1</t>
  </si>
  <si>
    <t>4018606</t>
  </si>
  <si>
    <t>4824309/THDP/PV - 1</t>
  </si>
  <si>
    <t>4824309</t>
  </si>
  <si>
    <t>4100584/THDP/PV - 1</t>
  </si>
  <si>
    <t>4100584</t>
  </si>
  <si>
    <t>4851062/THDP/PV - 1</t>
  </si>
  <si>
    <t>4851062</t>
  </si>
  <si>
    <t>4207941/THDP/PV - 1</t>
  </si>
  <si>
    <t>4207941</t>
  </si>
  <si>
    <t>4404332/THDP/PV - 1</t>
  </si>
  <si>
    <t>4404332</t>
  </si>
  <si>
    <t>4180927/THDP/PV - 1</t>
  </si>
  <si>
    <t>4311315/THDP/PV - 1</t>
  </si>
  <si>
    <t>4311315</t>
  </si>
  <si>
    <t>4524765/THDP/PV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</si>
</sst>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 #,##0_-;_-* &quot;-&quot;??_-;_-@_-"/>
  </numFmts>
  <fonts count="14">
    <font>
      <sz val="11"/>
      <color theme="1"/>
      <name val="Calibri"/>
      <family val="2"/>
      <scheme val="minor"/>
    </font>
    <font>
      <sz val="12"/>
      <color theme="1"/>
      <name val="Arial"/>
      <family val="2"/>
    </font>
    <font>
      <sz val="12"/>
      <color rgb="FF006100"/>
      <name val="Arial"/>
      <family val="2"/>
    </font>
    <font>
      <sz val="36"/>
      <color theme="1"/>
      <name val="Calibri"/>
      <family val="2"/>
      <scheme val="minor"/>
    </font>
    <font>
      <sz val="8"/>
      <name val="Calibri"/>
      <family val="2"/>
      <scheme val="minor"/>
    </font>
    <font>
      <sz val="10"/>
      <color rgb="FF393A34"/>
      <name val="Inherit"/>
    </font>
    <font>
      <sz val="12"/>
      <color rgb="FF9C5700"/>
      <name val="Arial"/>
      <family val="2"/>
    </font>
    <font>
      <b/>
      <sz val="12"/>
      <color rgb="FFFA7D00"/>
      <name val="Arial"/>
      <family val="2"/>
    </font>
    <font>
      <sz val="11"/>
      <color theme="1"/>
      <name val="Calibri"/>
      <family val="2"/>
      <scheme val="minor"/>
    </font>
    <font>
      <b/>
      <sz val="11"/>
      <color theme="1"/>
      <name val="Calibri"/>
      <family val="2"/>
      <scheme val="minor"/>
    </font>
    <font>
      <b/>
      <sz val="12"/>
      <color theme="0"/>
      <name val="Arial"/>
      <family val="2"/>
    </font>
    <font>
      <b/>
      <sz val="14"/>
      <color rgb="FF000000"/>
      <name val="Calibri"/>
      <family val="2"/>
      <scheme val="minor"/>
    </font>
    <font>
      <b/>
      <sz val="11"/>
      <color rgb="FFFFFFFF"/>
      <name val="Carlito"/>
    </font>
    <font>
      <sz val="11"/>
      <color theme="1"/>
      <name val="Carlito"/>
    </font>
  </fonts>
  <fills count="12">
    <fill>
      <patternFill patternType="none"/>
    </fill>
    <fill>
      <patternFill patternType="gray125"/>
    </fill>
    <fill>
      <patternFill patternType="solid">
        <fgColor rgb="FFC6EFCE"/>
      </patternFill>
    </fill>
    <fill>
      <patternFill patternType="solid">
        <fgColor theme="1" tint="0.499984740745262"/>
        <bgColor indexed="64"/>
      </patternFill>
    </fill>
    <fill>
      <patternFill patternType="solid">
        <fgColor rgb="FFFFEB9C"/>
      </patternFill>
    </fill>
    <fill>
      <patternFill patternType="solid">
        <fgColor rgb="FFF2F2F2"/>
      </patternFill>
    </fill>
    <fill>
      <patternFill patternType="solid">
        <fgColor rgb="FFFFFFCC"/>
        <bgColor indexed="64"/>
      </patternFill>
    </fill>
    <fill>
      <patternFill patternType="solid">
        <fgColor rgb="FFFFFF00"/>
        <bgColor indexed="64"/>
      </patternFill>
    </fill>
    <fill>
      <patternFill patternType="solid">
        <fgColor rgb="FFA5A5A5"/>
      </patternFill>
    </fill>
    <fill>
      <patternFill patternType="solid">
        <fgColor theme="4" tint="0.79998168889431442"/>
        <bgColor theme="4" tint="0.79998168889431442"/>
      </patternFill>
    </fill>
    <fill>
      <patternFill patternType="solid">
        <fgColor rgb="FF1F4E78"/>
      </patternFill>
    </fill>
    <fill>
      <patternFill patternType="solid">
        <fgColor rgb="FF92D050"/>
        <bgColor indexed="64"/>
      </patternFill>
    </fill>
  </fills>
  <borders count="11">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theme="4"/>
      </left>
      <right/>
      <top style="thin">
        <color theme="4"/>
      </top>
      <bottom/>
      <diagonal/>
    </border>
  </borders>
  <cellStyleXfs count="10">
    <xf numFmtId="0" fontId="0" fillId="0" borderId="0"/>
    <xf numFmtId="0" fontId="2" fillId="2" borderId="0" applyNumberFormat="0" applyBorder="0" applyAlignment="0" applyProtection="0"/>
    <xf numFmtId="0" fontId="6" fillId="4" borderId="0" applyNumberFormat="0" applyBorder="0" applyAlignment="0" applyProtection="0"/>
    <xf numFmtId="0" fontId="7" fillId="5" borderId="4" applyNumberFormat="0" applyAlignment="0" applyProtection="0"/>
    <xf numFmtId="43"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1" fillId="0" borderId="0"/>
    <xf numFmtId="0" fontId="8" fillId="0" borderId="0"/>
    <xf numFmtId="0" fontId="10" fillId="8" borderId="5" applyNumberFormat="0" applyAlignment="0" applyProtection="0"/>
  </cellStyleXfs>
  <cellXfs count="42">
    <xf numFmtId="0" fontId="0" fillId="0" borderId="0" xfId="0"/>
    <xf numFmtId="0" fontId="3" fillId="0" borderId="0" xfId="0" applyFont="1"/>
    <xf numFmtId="0" fontId="0" fillId="0" borderId="0" xfId="0" applyAlignment="1">
      <alignment horizontal="center"/>
    </xf>
    <xf numFmtId="0" fontId="2" fillId="2" borderId="0" xfId="1" applyAlignment="1">
      <alignment horizontal="center"/>
    </xf>
    <xf numFmtId="0" fontId="0" fillId="3" borderId="0" xfId="0" applyFill="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6" fillId="4" borderId="0" xfId="2"/>
    <xf numFmtId="0" fontId="7" fillId="5" borderId="4" xfId="3"/>
    <xf numFmtId="0" fontId="7" fillId="5" borderId="4" xfId="3" applyAlignment="1">
      <alignment horizontal="center"/>
    </xf>
    <xf numFmtId="0" fontId="2" fillId="2" borderId="0" xfId="1"/>
    <xf numFmtId="0" fontId="0" fillId="0" borderId="0" xfId="0" applyAlignment="1">
      <alignment wrapText="1"/>
    </xf>
    <xf numFmtId="164" fontId="0" fillId="0" borderId="0" xfId="4" applyNumberFormat="1" applyFont="1"/>
    <xf numFmtId="0" fontId="5" fillId="0" borderId="0" xfId="0" applyFont="1" applyAlignment="1">
      <alignment vertical="center"/>
    </xf>
    <xf numFmtId="164" fontId="0" fillId="0" borderId="0" xfId="4" applyNumberFormat="1" applyFont="1" applyAlignment="1">
      <alignment horizontal="center"/>
    </xf>
    <xf numFmtId="9" fontId="0" fillId="0" borderId="0" xfId="5" applyFont="1" applyAlignment="1">
      <alignment horizontal="right"/>
    </xf>
    <xf numFmtId="16" fontId="0" fillId="0" borderId="0" xfId="0" applyNumberFormat="1"/>
    <xf numFmtId="0" fontId="9" fillId="0" borderId="0" xfId="0" applyFont="1"/>
    <xf numFmtId="0" fontId="0" fillId="6" borderId="0" xfId="0" applyFill="1" applyAlignment="1">
      <alignment horizontal="left"/>
    </xf>
    <xf numFmtId="3" fontId="0" fillId="6" borderId="0" xfId="0" applyNumberFormat="1" applyFill="1"/>
    <xf numFmtId="10" fontId="0" fillId="6" borderId="0" xfId="0" applyNumberFormat="1" applyFill="1"/>
    <xf numFmtId="0" fontId="9" fillId="6" borderId="0" xfId="0" applyFont="1" applyFill="1"/>
    <xf numFmtId="0" fontId="0" fillId="0" borderId="0" xfId="0" applyAlignment="1">
      <alignment horizontal="center" vertical="center"/>
    </xf>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0" fillId="7" borderId="0" xfId="0" applyFill="1" applyAlignment="1">
      <alignment horizontal="center"/>
    </xf>
    <xf numFmtId="164" fontId="0" fillId="0" borderId="0" xfId="0" applyNumberFormat="1"/>
    <xf numFmtId="0" fontId="0" fillId="7" borderId="0" xfId="0" applyFill="1"/>
    <xf numFmtId="0" fontId="11" fillId="0" borderId="0" xfId="0" applyFont="1"/>
    <xf numFmtId="0" fontId="12" fillId="10" borderId="7" xfId="0" applyFont="1" applyFill="1" applyBorder="1" applyAlignment="1">
      <alignment horizontal="center" vertical="center" wrapText="1"/>
    </xf>
    <xf numFmtId="0" fontId="0" fillId="0" borderId="7" xfId="0" applyBorder="1" applyAlignment="1">
      <alignment horizontal="center"/>
    </xf>
    <xf numFmtId="0" fontId="13" fillId="9" borderId="6" xfId="0" applyFont="1" applyFill="1" applyBorder="1" applyAlignment="1">
      <alignment wrapText="1"/>
    </xf>
    <xf numFmtId="0" fontId="13" fillId="0" borderId="6" xfId="0" applyFont="1" applyBorder="1" applyAlignment="1">
      <alignment wrapText="1"/>
    </xf>
    <xf numFmtId="0" fontId="12" fillId="10" borderId="8" xfId="0" applyFont="1" applyFill="1" applyBorder="1" applyAlignment="1">
      <alignment horizontal="center" vertical="center" wrapText="1"/>
    </xf>
    <xf numFmtId="0" fontId="13" fillId="0" borderId="9" xfId="0" applyFont="1" applyBorder="1" applyAlignment="1">
      <alignment wrapText="1"/>
    </xf>
    <xf numFmtId="0" fontId="0" fillId="6" borderId="0" xfId="0" applyFill="1"/>
    <xf numFmtId="0" fontId="10" fillId="8" borderId="5" xfId="9"/>
    <xf numFmtId="0" fontId="0" fillId="11" borderId="0" xfId="0" applyFill="1"/>
    <xf numFmtId="0" fontId="0" fillId="0" borderId="10" xfId="0" applyBorder="1"/>
  </cellXfs>
  <cellStyles count="10">
    <cellStyle name="Calculation" xfId="3" builtinId="22"/>
    <cellStyle name="Check Cell" xfId="9" builtinId="23"/>
    <cellStyle name="Comma" xfId="4" builtinId="3"/>
    <cellStyle name="Comma 2" xfId="6" xr:uid="{5E0875E0-FF4F-4394-983C-C63895089A60}"/>
    <cellStyle name="Good" xfId="1" builtinId="26"/>
    <cellStyle name="Neutral" xfId="2" builtinId="28"/>
    <cellStyle name="Normal" xfId="0" builtinId="0"/>
    <cellStyle name="Normal 2" xfId="8" xr:uid="{F2456644-1F76-49B9-AE34-425F2D9A8A15}"/>
    <cellStyle name="Normal 3" xfId="7" xr:uid="{0D881B43-18AC-46FD-BC51-8687AA88198D}"/>
    <cellStyle name="Percent" xfId="5" builtinId="5"/>
  </cellStyles>
  <dxfs count="69">
    <dxf>
      <fill>
        <patternFill patternType="solid">
          <bgColor rgb="FFF4CCCC"/>
        </patternFill>
      </fill>
    </dxf>
    <dxf>
      <fill>
        <patternFill patternType="solid">
          <bgColor rgb="FFE2F0D9"/>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 #,##0_-;\-* #,##0_-;_-* &quot;-&quot;??_-;_-@_-"/>
    </dxf>
    <dxf>
      <numFmt numFmtId="164" formatCode="_-* #,##0_-;\-* #,##0_-;_-* &quot;-&quot;??_-;_-@_-"/>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bgColor rgb="FFFFFFCC"/>
        </patternFill>
      </fill>
    </dxf>
    <dxf>
      <fill>
        <patternFill patternType="solid">
          <bgColor rgb="FFFFFFCC"/>
        </patternFill>
      </fill>
    </dxf>
    <dxf>
      <font>
        <strike val="0"/>
        <outline val="0"/>
        <shadow val="0"/>
        <u val="none"/>
        <vertAlign val="baseline"/>
        <sz val="36"/>
        <color theme="1"/>
        <name val="Calibri"/>
        <family val="2"/>
        <scheme val="minor"/>
      </font>
    </dxf>
    <dxf>
      <font>
        <strike val="0"/>
        <outline val="0"/>
        <shadow val="0"/>
        <u val="none"/>
        <vertAlign val="baseline"/>
        <sz val="36"/>
        <color theme="1"/>
        <name val="Calibri"/>
        <family val="2"/>
        <scheme val="minor"/>
      </font>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auto="1"/>
        </left>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vertical/>
        <horizontal/>
      </border>
    </dxf>
    <dxf>
      <numFmt numFmtId="0" formatCode="General"/>
      <alignment horizontal="center" vertical="bottom" textRotation="0" wrapText="0" indent="0" justifyLastLine="0" shrinkToFit="0" readingOrder="0"/>
      <border diagonalUp="0" diagonalDown="0">
        <left/>
        <right style="thin">
          <color auto="1"/>
        </right>
        <top/>
        <bottom/>
        <vertical/>
        <horizontal/>
      </border>
    </dxf>
    <dxf>
      <fill>
        <patternFill patternType="solid">
          <fgColor indexed="64"/>
          <bgColor theme="1" tint="0.49998474074526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fill>
        <patternFill patternType="none">
          <fgColor indexed="64"/>
          <bgColor indexed="65"/>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s>
  <tableStyles count="1" defaultTableStyle="TableStyleMedium2" defaultPivotStyle="PivotStyleMedium9">
    <tableStyle name="Invisible" pivot="0" table="0" count="0" xr9:uid="{2D0314A2-3B2F-45EE-AD76-514A5E88494C}"/>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30"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0</xdr:col>
      <xdr:colOff>38100</xdr:colOff>
      <xdr:row>0</xdr:row>
      <xdr:rowOff>1</xdr:rowOff>
    </xdr:from>
    <xdr:to>
      <xdr:col>7</xdr:col>
      <xdr:colOff>2663885</xdr:colOff>
      <xdr:row>0</xdr:row>
      <xdr:rowOff>948691</xdr:rowOff>
    </xdr:to>
    <mc:AlternateContent xmlns:mc="http://schemas.openxmlformats.org/markup-compatibility/2006" xmlns:sle15="http://schemas.microsoft.com/office/drawing/2012/slicer">
      <mc:Choice Requires="sle15">
        <xdr:graphicFrame macro="">
          <xdr:nvGraphicFramePr>
            <xdr:cNvPr id="2" name="Production Frequency">
              <a:extLst>
                <a:ext uri="{FF2B5EF4-FFF2-40B4-BE49-F238E27FC236}">
                  <a16:creationId xmlns:a16="http://schemas.microsoft.com/office/drawing/2014/main" id="{3FA98252-DD65-D8CA-F3D9-8A99591BF9BF}"/>
                </a:ext>
              </a:extLst>
            </xdr:cNvPr>
            <xdr:cNvGraphicFramePr/>
          </xdr:nvGraphicFramePr>
          <xdr:xfrm>
            <a:off x="0" y="0"/>
            <a:ext cx="0" cy="0"/>
          </xdr:xfrm>
          <a:graphic>
            <a:graphicData uri="http://schemas.microsoft.com/office/drawing/2010/slicer">
              <sle:slicer xmlns:sle="http://schemas.microsoft.com/office/drawing/2010/slicer" name="Production Frequency"/>
            </a:graphicData>
          </a:graphic>
        </xdr:graphicFrame>
      </mc:Choice>
      <mc:Fallback xmlns="">
        <xdr:sp macro="" textlink="">
          <xdr:nvSpPr>
            <xdr:cNvPr id="0" name=""/>
            <xdr:cNvSpPr>
              <a:spLocks noTextEdit="1"/>
            </xdr:cNvSpPr>
          </xdr:nvSpPr>
          <xdr:spPr>
            <a:xfrm>
              <a:off x="38100" y="1"/>
              <a:ext cx="5524500" cy="933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377310</xdr:colOff>
      <xdr:row>0</xdr:row>
      <xdr:rowOff>0</xdr:rowOff>
    </xdr:from>
    <xdr:to>
      <xdr:col>29</xdr:col>
      <xdr:colOff>568274</xdr:colOff>
      <xdr:row>0</xdr:row>
      <xdr:rowOff>949325</xdr:rowOff>
    </xdr:to>
    <mc:AlternateContent xmlns:mc="http://schemas.openxmlformats.org/markup-compatibility/2006" xmlns:sle15="http://schemas.microsoft.com/office/drawing/2012/slicer">
      <mc:Choice Requires="sle15">
        <xdr:graphicFrame macro="">
          <xdr:nvGraphicFramePr>
            <xdr:cNvPr id="3" name="Recipe Combination">
              <a:extLst>
                <a:ext uri="{FF2B5EF4-FFF2-40B4-BE49-F238E27FC236}">
                  <a16:creationId xmlns:a16="http://schemas.microsoft.com/office/drawing/2014/main" id="{8558AF42-1668-92FE-13AB-4BF63E4F0A0B}"/>
                </a:ext>
              </a:extLst>
            </xdr:cNvPr>
            <xdr:cNvGraphicFramePr/>
          </xdr:nvGraphicFramePr>
          <xdr:xfrm>
            <a:off x="0" y="0"/>
            <a:ext cx="0" cy="0"/>
          </xdr:xfrm>
          <a:graphic>
            <a:graphicData uri="http://schemas.microsoft.com/office/drawing/2010/slicer">
              <sle:slicer xmlns:sle="http://schemas.microsoft.com/office/drawing/2010/slicer" name="Recipe Combination"/>
            </a:graphicData>
          </a:graphic>
        </xdr:graphicFrame>
      </mc:Choice>
      <mc:Fallback xmlns="">
        <xdr:sp macro="" textlink="">
          <xdr:nvSpPr>
            <xdr:cNvPr id="0" name=""/>
            <xdr:cNvSpPr>
              <a:spLocks noTextEdit="1"/>
            </xdr:cNvSpPr>
          </xdr:nvSpPr>
          <xdr:spPr>
            <a:xfrm>
              <a:off x="11750673" y="0"/>
              <a:ext cx="2603501" cy="9493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2740011</xdr:colOff>
      <xdr:row>0</xdr:row>
      <xdr:rowOff>1</xdr:rowOff>
    </xdr:from>
    <xdr:to>
      <xdr:col>19</xdr:col>
      <xdr:colOff>1716799</xdr:colOff>
      <xdr:row>0</xdr:row>
      <xdr:rowOff>986791</xdr:rowOff>
    </xdr:to>
    <mc:AlternateContent xmlns:mc="http://schemas.openxmlformats.org/markup-compatibility/2006" xmlns:sle15="http://schemas.microsoft.com/office/drawing/2012/slicer">
      <mc:Choice Requires="sle15">
        <xdr:graphicFrame macro="">
          <xdr:nvGraphicFramePr>
            <xdr:cNvPr id="4" name="SEFI">
              <a:extLst>
                <a:ext uri="{FF2B5EF4-FFF2-40B4-BE49-F238E27FC236}">
                  <a16:creationId xmlns:a16="http://schemas.microsoft.com/office/drawing/2014/main" id="{253A4A2B-AA62-697B-D912-594B0241742E}"/>
                </a:ext>
              </a:extLst>
            </xdr:cNvPr>
            <xdr:cNvGraphicFramePr/>
          </xdr:nvGraphicFramePr>
          <xdr:xfrm>
            <a:off x="0" y="0"/>
            <a:ext cx="0" cy="0"/>
          </xdr:xfrm>
          <a:graphic>
            <a:graphicData uri="http://schemas.microsoft.com/office/drawing/2010/slicer">
              <sle:slicer xmlns:sle="http://schemas.microsoft.com/office/drawing/2010/slicer" name="SEFI"/>
            </a:graphicData>
          </a:graphic>
        </xdr:graphicFrame>
      </mc:Choice>
      <mc:Fallback xmlns="">
        <xdr:sp macro="" textlink="">
          <xdr:nvSpPr>
            <xdr:cNvPr id="0" name=""/>
            <xdr:cNvSpPr>
              <a:spLocks noTextEdit="1"/>
            </xdr:cNvSpPr>
          </xdr:nvSpPr>
          <xdr:spPr>
            <a:xfrm>
              <a:off x="5753100" y="1"/>
              <a:ext cx="3257550" cy="9715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29</xdr:col>
      <xdr:colOff>646409</xdr:colOff>
      <xdr:row>0</xdr:row>
      <xdr:rowOff>0</xdr:rowOff>
    </xdr:from>
    <xdr:to>
      <xdr:col>34</xdr:col>
      <xdr:colOff>498475</xdr:colOff>
      <xdr:row>0</xdr:row>
      <xdr:rowOff>918209</xdr:rowOff>
    </xdr:to>
    <mc:AlternateContent xmlns:mc="http://schemas.openxmlformats.org/markup-compatibility/2006" xmlns:sle15="http://schemas.microsoft.com/office/drawing/2012/slicer">
      <mc:Choice Requires="sle15">
        <xdr:graphicFrame macro="">
          <xdr:nvGraphicFramePr>
            <xdr:cNvPr id="5" name="Subgroup">
              <a:extLst>
                <a:ext uri="{FF2B5EF4-FFF2-40B4-BE49-F238E27FC236}">
                  <a16:creationId xmlns:a16="http://schemas.microsoft.com/office/drawing/2014/main" id="{D47C4691-33BE-0679-14C6-7451F43F142F}"/>
                </a:ext>
              </a:extLst>
            </xdr:cNvPr>
            <xdr:cNvGraphicFramePr/>
          </xdr:nvGraphicFramePr>
          <xdr:xfrm>
            <a:off x="0" y="0"/>
            <a:ext cx="0" cy="0"/>
          </xdr:xfrm>
          <a:graphic>
            <a:graphicData uri="http://schemas.microsoft.com/office/drawing/2010/slicer">
              <sle:slicer xmlns:sle="http://schemas.microsoft.com/office/drawing/2010/slicer" name="Subgroup"/>
            </a:graphicData>
          </a:graphic>
        </xdr:graphicFrame>
      </mc:Choice>
      <mc:Fallback xmlns="">
        <xdr:sp macro="" textlink="">
          <xdr:nvSpPr>
            <xdr:cNvPr id="0" name=""/>
            <xdr:cNvSpPr>
              <a:spLocks noTextEdit="1"/>
            </xdr:cNvSpPr>
          </xdr:nvSpPr>
          <xdr:spPr>
            <a:xfrm>
              <a:off x="14420850" y="0"/>
              <a:ext cx="1828800" cy="9334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1756168</xdr:colOff>
      <xdr:row>0</xdr:row>
      <xdr:rowOff>0</xdr:rowOff>
    </xdr:from>
    <xdr:to>
      <xdr:col>24</xdr:col>
      <xdr:colOff>377497</xdr:colOff>
      <xdr:row>0</xdr:row>
      <xdr:rowOff>955675</xdr:rowOff>
    </xdr:to>
    <mc:AlternateContent xmlns:mc="http://schemas.openxmlformats.org/markup-compatibility/2006" xmlns:sle15="http://schemas.microsoft.com/office/drawing/2012/slicer">
      <mc:Choice Requires="sle15">
        <xdr:graphicFrame macro="">
          <xdr:nvGraphicFramePr>
            <xdr:cNvPr id="6" name="Filling line">
              <a:extLst>
                <a:ext uri="{FF2B5EF4-FFF2-40B4-BE49-F238E27FC236}">
                  <a16:creationId xmlns:a16="http://schemas.microsoft.com/office/drawing/2014/main" id="{C0E1E2D5-07F7-C9CE-6FAF-7D40520F4D57}"/>
                </a:ext>
              </a:extLst>
            </xdr:cNvPr>
            <xdr:cNvGraphicFramePr/>
          </xdr:nvGraphicFramePr>
          <xdr:xfrm>
            <a:off x="0" y="0"/>
            <a:ext cx="0" cy="0"/>
          </xdr:xfrm>
          <a:graphic>
            <a:graphicData uri="http://schemas.microsoft.com/office/drawing/2010/slicer">
              <sle:slicer xmlns:sle="http://schemas.microsoft.com/office/drawing/2010/slicer" name="Filling line"/>
            </a:graphicData>
          </a:graphic>
        </xdr:graphicFrame>
      </mc:Choice>
      <mc:Fallback xmlns="">
        <xdr:sp macro="" textlink="">
          <xdr:nvSpPr>
            <xdr:cNvPr id="0" name=""/>
            <xdr:cNvSpPr>
              <a:spLocks noTextEdit="1"/>
            </xdr:cNvSpPr>
          </xdr:nvSpPr>
          <xdr:spPr>
            <a:xfrm>
              <a:off x="9067799" y="0"/>
              <a:ext cx="2619375" cy="962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34</xdr:col>
      <xdr:colOff>797116</xdr:colOff>
      <xdr:row>0</xdr:row>
      <xdr:rowOff>34291</xdr:rowOff>
    </xdr:from>
    <xdr:to>
      <xdr:col>36</xdr:col>
      <xdr:colOff>949349</xdr:colOff>
      <xdr:row>0</xdr:row>
      <xdr:rowOff>952501</xdr:rowOff>
    </xdr:to>
    <mc:AlternateContent xmlns:mc="http://schemas.openxmlformats.org/markup-compatibility/2006" xmlns:sle15="http://schemas.microsoft.com/office/drawing/2012/slicer">
      <mc:Choice Requires="sle15">
        <xdr:graphicFrame macro="">
          <xdr:nvGraphicFramePr>
            <xdr:cNvPr id="7" name="PCK code">
              <a:extLst>
                <a:ext uri="{FF2B5EF4-FFF2-40B4-BE49-F238E27FC236}">
                  <a16:creationId xmlns:a16="http://schemas.microsoft.com/office/drawing/2014/main" id="{CCFA8FEE-154C-8A6C-37AE-9787AF446849}"/>
                </a:ext>
              </a:extLst>
            </xdr:cNvPr>
            <xdr:cNvGraphicFramePr/>
          </xdr:nvGraphicFramePr>
          <xdr:xfrm>
            <a:off x="0" y="0"/>
            <a:ext cx="0" cy="0"/>
          </xdr:xfrm>
          <a:graphic>
            <a:graphicData uri="http://schemas.microsoft.com/office/drawing/2010/slicer">
              <sle:slicer xmlns:sle="http://schemas.microsoft.com/office/drawing/2010/slicer" name="PCK code"/>
            </a:graphicData>
          </a:graphic>
        </xdr:graphicFrame>
      </mc:Choice>
      <mc:Fallback xmlns="">
        <xdr:sp macro="" textlink="">
          <xdr:nvSpPr>
            <xdr:cNvPr id="0" name=""/>
            <xdr:cNvSpPr>
              <a:spLocks noTextEdit="1"/>
            </xdr:cNvSpPr>
          </xdr:nvSpPr>
          <xdr:spPr>
            <a:xfrm>
              <a:off x="16757206" y="12701"/>
              <a:ext cx="4286083" cy="939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0" xr16:uid="{2BDFE48F-F025-487D-A58A-59724021CE4A}" autoFormatId="16" applyNumberFormats="0" applyBorderFormats="0" applyFontFormats="0" applyPatternFormats="0" applyAlignmentFormats="0" applyWidthHeightFormats="0">
  <queryTableRefresh nextId="107" unboundColumnsRight="26">
    <queryTableFields count="55">
      <queryTableField id="12" name="Production Frequency" tableColumnId="12"/>
      <queryTableField id="14" name="SEFI" tableColumnId="14"/>
      <queryTableField id="16" name="SEFI description" tableColumnId="16"/>
      <queryTableField id="17" name="Lot size considered" tableColumnId="17"/>
      <queryTableField id="18" name="Number of batches" tableColumnId="18"/>
      <queryTableField id="13" name="Batches per week" tableColumnId="13"/>
      <queryTableField id="1" name="Material" tableColumnId="1"/>
      <queryTableField id="2" name="Material Description" tableColumnId="2"/>
      <queryTableField id="28" name="Pallet in litres" tableColumnId="28"/>
      <queryTableField id="15" name="MRPCn" tableColumnId="15"/>
      <queryTableField id="19" name="Can code" tableColumnId="19"/>
      <queryTableField id="20" name="Can description" tableColumnId="20"/>
      <queryTableField id="7" name="Total FINI forecast (litres)" tableColumnId="7"/>
      <queryTableField id="23" name="Avg daily demand" tableColumnId="23"/>
      <queryTableField id="11" name="SEFI-recipe forecast" tableColumnId="11"/>
      <queryTableField id="10" name="SEFI Forecast (litres)" tableColumnId="10"/>
      <queryTableField id="25" name="% FINI - recipe" tableColumnId="25"/>
      <queryTableField id="26" name="SEFI qty as per % FINI-recipe" tableColumnId="26"/>
      <queryTableField id="9" name="Recipe Combination" tableColumnId="9"/>
      <queryTableField id="106" dataBound="0" tableColumnId="41"/>
      <queryTableField id="8" name="Volume" tableColumnId="8"/>
      <queryTableField id="88" name="PCK code" tableColumnId="27"/>
      <queryTableField id="21" name="Decoration type" tableColumnId="21"/>
      <queryTableField id="22" name="Can Shape" tableColumnId="22"/>
      <queryTableField id="99" name="Filling line" tableColumnId="53"/>
      <queryTableField id="100" name="Already produced or future transfer in" tableColumnId="56"/>
      <queryTableField id="24" name="RoC 1 full SEFI batch" tableColumnId="24"/>
      <queryTableField id="37" name="FINI/P-site" tableColumnId="37"/>
      <queryTableField id="38" name="SEFI/Plant" tableColumnId="38"/>
      <queryTableField id="34" dataBound="0" tableColumnId="34"/>
      <queryTableField id="86" dataBound="0" tableColumnId="51"/>
      <queryTableField id="35" dataBound="0" tableColumnId="35"/>
      <queryTableField id="42" dataBound="0" tableColumnId="39"/>
      <queryTableField id="43" dataBound="0" tableColumnId="40"/>
      <queryTableField id="96" dataBound="0" tableColumnId="42"/>
      <queryTableField id="87" dataBound="0" tableColumnId="52"/>
      <queryTableField id="90" dataBound="0" tableColumnId="54"/>
      <queryTableField id="97" dataBound="0" tableColumnId="43"/>
      <queryTableField id="70" dataBound="0" tableColumnId="3"/>
      <queryTableField id="71" dataBound="0" tableColumnId="4"/>
      <queryTableField id="72" dataBound="0" tableColumnId="5"/>
      <queryTableField id="73" dataBound="0" tableColumnId="29"/>
      <queryTableField id="74" dataBound="0" tableColumnId="30"/>
      <queryTableField id="75" dataBound="0" tableColumnId="31"/>
      <queryTableField id="76" dataBound="0" tableColumnId="32"/>
      <queryTableField id="77" dataBound="0" tableColumnId="33"/>
      <queryTableField id="78" dataBound="0" tableColumnId="36"/>
      <queryTableField id="79" dataBound="0" tableColumnId="44"/>
      <queryTableField id="80" dataBound="0" tableColumnId="45"/>
      <queryTableField id="81" dataBound="0" tableColumnId="46"/>
      <queryTableField id="82" dataBound="0" tableColumnId="47"/>
      <queryTableField id="83" dataBound="0" tableColumnId="48"/>
      <queryTableField id="84" dataBound="0" tableColumnId="49"/>
      <queryTableField id="85" dataBound="0" tableColumnId="50"/>
      <queryTableField id="91" dataBound="0" tableColumnId="55"/>
    </queryTableFields>
    <queryTableDeletedFields count="1">
      <deletedField name="ABCXYZ - SEFI"/>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3" xr16:uid="{8B4E57F0-C63E-4280-9003-ABE04EFF5D6E}"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5" xr16:uid="{89A863AC-2DBA-4D2E-88F8-150A72B29451}" autoFormatId="16" applyNumberFormats="0" applyBorderFormats="0" applyFontFormats="0" applyPatternFormats="0" applyAlignmentFormats="0" applyWidthHeightFormats="0">
  <queryTableRefresh nextId="10">
    <queryTableFields count="6">
      <queryTableField id="1" name="Plant" tableColumnId="1"/>
      <queryTableField id="3" name="Total volume per week" tableColumnId="3"/>
      <queryTableField id="4" name="Batches per week" tableColumnId="4"/>
      <queryTableField id="5" name="Weekly changes FINI-FINI" tableColumnId="5"/>
      <queryTableField id="8" name="Weekly changes FINI-FINI with PCK change" tableColumnId="2"/>
      <queryTableField id="9" name="Weekly FINI-FINI with same P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12" xr16:uid="{4FFB466B-ECB1-42FA-90D4-5DD0A5353AC5}" autoFormatId="16" applyNumberFormats="0" applyBorderFormats="0" applyFontFormats="0" applyPatternFormats="0" applyAlignmentFormats="0" applyWidthHeightFormats="0">
  <queryTableRefresh nextId="7">
    <queryTableFields count="3">
      <queryTableField id="4" name="Plant" tableColumnId="1"/>
      <queryTableField id="2" name="Material" tableColumnId="2"/>
      <queryTableField id="5" name="Recipe combination"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7" xr16:uid="{D8849C7D-834C-46FA-8997-7257BF381ABF}" autoFormatId="16" applyNumberFormats="0" applyBorderFormats="0" applyFontFormats="0" applyPatternFormats="0" applyAlignmentFormats="0" applyWidthHeightFormats="0">
  <queryTableRefresh nextId="8">
    <queryTableFields count="6">
      <queryTableField id="5" name="Plnt" tableColumnId="5"/>
      <queryTableField id="1" name="Material" tableColumnId="1"/>
      <queryTableField id="2" name="Lot size" tableColumnId="2"/>
      <queryTableField id="3" name="Min lot size at DC" tableColumnId="3"/>
      <queryTableField id="4" name="Rounding value" tableColumnId="4"/>
      <queryTableField id="7" name="Defined in wheel"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8" xr16:uid="{5C2758CA-E7DB-4132-BE33-5A053C6C5F1E}" autoFormatId="16" applyNumberFormats="0" applyBorderFormats="0" applyFontFormats="0" applyPatternFormats="0" applyAlignmentFormats="0" applyWidthHeightFormats="0">
  <queryTableRefresh nextId="5">
    <queryTableFields count="4">
      <queryTableField id="1" name="Plnt" tableColumnId="1"/>
      <queryTableField id="2" name="Material" tableColumnId="2"/>
      <queryTableField id="3" name="Lot size" tableColumnId="3"/>
      <queryTableField id="4" name="Defined in wheel"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13" xr16:uid="{6A5B877C-F20A-4C61-B43D-E8293113C2F6}" autoFormatId="16" applyNumberFormats="0" applyBorderFormats="0" applyFontFormats="0" applyPatternFormats="0" applyAlignmentFormats="0" applyWidthHeightFormats="0">
  <queryTableRefresh nextId="6">
    <queryTableFields count="5">
      <queryTableField id="1" name="Material" tableColumnId="1"/>
      <queryTableField id="2" name="Plant" tableColumnId="2"/>
      <queryTableField id="3" name="Lot size" tableColumnId="3"/>
      <queryTableField id="4" name="Planning calendar" tableColumnId="4"/>
      <queryTableField id="5" name="Lot size Profile"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14" xr16:uid="{43D1A2A6-F286-4941-ADC9-6DFE5DBEAE6C}" autoFormatId="16" applyNumberFormats="0" applyBorderFormats="0" applyFontFormats="0" applyPatternFormats="0" applyAlignmentFormats="0" applyWidthHeightFormats="0">
  <queryTableRefresh nextId="6">
    <queryTableFields count="5">
      <queryTableField id="1" name="FINI" tableColumnId="1"/>
      <queryTableField id="2" name="P-site" tableColumnId="2"/>
      <queryTableField id="3" name="Lot size" tableColumnId="3"/>
      <queryTableField id="4" name="Lot size Profile" tableColumnId="4"/>
      <queryTableField id="5" name="Planning calendar"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4" xr16:uid="{2E9A7CC9-2F5B-4D7F-8A70-F7F0F00A3242}" autoFormatId="16" applyNumberFormats="0" applyBorderFormats="0" applyFontFormats="0" applyPatternFormats="0" applyAlignmentFormats="0" applyWidthHeightFormats="0">
  <queryTableRefresh nextId="9">
    <queryTableFields count="3">
      <queryTableField id="1" name="SEFI" tableColumnId="1"/>
      <queryTableField id="7" name="Recipe combination" tableColumnId="2"/>
      <queryTableField id="6" name="Lot size KG"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25" xr16:uid="{1D26613A-08AB-44C0-93FD-C8C703E8161D}" autoFormatId="16" applyNumberFormats="0" applyBorderFormats="0" applyFontFormats="0" applyPatternFormats="0" applyAlignmentFormats="0" applyWidthHeightFormats="0">
  <queryTableRefresh nextId="6">
    <queryTableFields count="5">
      <queryTableField id="1" name="SEFI/P-site" tableColumnId="1"/>
      <queryTableField id="2" name="Clasificador" tableColumnId="2"/>
      <queryTableField id="3" name="Lot size (Litres)" tableColumnId="3"/>
      <queryTableField id="4" name="PV lot" tableColumnId="4"/>
      <queryTableField id="5" name="SEFI"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_Frequency" xr10:uid="{720EF203-474F-4866-ABF0-48A24EE67BAA}" sourceName="Production Frequency">
  <extLst>
    <x:ext xmlns:x15="http://schemas.microsoft.com/office/spreadsheetml/2010/11/main" uri="{2F2917AC-EB37-4324-AD4E-5DD8C200BD13}">
      <x15:tableSlicerCache tableId="4" column="1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ipe_Combination" xr10:uid="{79B3623F-E7F4-423A-A3F3-8C8A0D098540}" sourceName="Recipe Combination">
  <extLst>
    <x:ext xmlns:x15="http://schemas.microsoft.com/office/spreadsheetml/2010/11/main" uri="{2F2917AC-EB37-4324-AD4E-5DD8C200BD13}">
      <x15:tableSlicerCache tableId="4" column="9"/>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FI" xr10:uid="{458EB8CD-CBE0-4633-9C6F-029209F4DE9A}" sourceName="SEFI">
  <extLst>
    <x:ext xmlns:x15="http://schemas.microsoft.com/office/spreadsheetml/2010/11/main" uri="{2F2917AC-EB37-4324-AD4E-5DD8C200BD13}">
      <x15:tableSlicerCache tableId="4" column="14"/>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group" xr10:uid="{88AB888B-AEDC-43C6-8893-15A5766B03E6}" sourceName="Subgroup">
  <extLst>
    <x:ext xmlns:x15="http://schemas.microsoft.com/office/spreadsheetml/2010/11/main" uri="{2F2917AC-EB37-4324-AD4E-5DD8C200BD13}">
      <x15:tableSlicerCache tableId="4" column="34"/>
    </x:ex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ling_line" xr10:uid="{2E9B39C4-8B41-44C8-A327-B21881DB77F9}" sourceName="Filling line">
  <extLst>
    <x:ext xmlns:x15="http://schemas.microsoft.com/office/spreadsheetml/2010/11/main" uri="{2F2917AC-EB37-4324-AD4E-5DD8C200BD13}">
      <x15:tableSlicerCache tableId="4" column="5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K_code" xr10:uid="{9FED6747-E8FB-4E2D-A0E5-327148EACDAE}" sourceName="PCK code">
  <extLst>
    <x:ext xmlns:x15="http://schemas.microsoft.com/office/spreadsheetml/2010/11/main" uri="{2F2917AC-EB37-4324-AD4E-5DD8C200BD13}">
      <x15:tableSlicerCache tableId="4" column="27"/>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on Frequency" xr10:uid="{EE662E81-4DBC-4301-9EF3-436ADB5EC3E8}" cache="Slicer_Production_Frequency" caption="Production Frequency" columnCount="3" rowHeight="241300"/>
  <slicer name="Recipe Combination" xr10:uid="{24FBE87C-01A3-40FA-862C-9D2671831DEF}" cache="Slicer_Recipe_Combination" caption="Recipe Combination" columnCount="5" rowHeight="241300"/>
  <slicer name="SEFI" xr10:uid="{A5DC97AD-5C57-47AF-A4A8-0E3554F0C931}" cache="Slicer_SEFI" caption="SEFI" columnCount="3" rowHeight="241300"/>
  <slicer name="Subgroup" xr10:uid="{2B9D1A2C-A0B6-4FF9-85B4-F7B96B033DA0}" cache="Slicer_Subgroup" caption="Subgroup" columnCount="4" rowHeight="241300"/>
  <slicer name="Filling line" xr10:uid="{054EB95D-98BD-4A6C-826A-25F552711AE7}" cache="Slicer_Filling_line" caption="Filling line" columnCount="3" rowHeight="241300"/>
  <slicer name="PCK code" xr10:uid="{630BE2DE-7CCF-4E3F-B111-0821C70760FD}" cache="Slicer_PCK_code" caption="PCK code" columnCount="5"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8E0BAF-FD02-4AED-BAE8-E449DBA7BD96}" name="Site" displayName="Site" ref="B2:B3" totalsRowShown="0" dataDxfId="35">
  <autoFilter ref="B2:B3" xr:uid="{C38E0BAF-FD02-4AED-BAE8-E449DBA7BD96}"/>
  <tableColumns count="1">
    <tableColumn id="1" xr3:uid="{A0FC9919-6CE0-4CB4-A6D1-5BC095AA2438}" name="Site"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41196F7-FBD8-45F4-9767-F71F2060AD41}" name="Table11" displayName="Table11" ref="A23:D25" totalsRowShown="0">
  <autoFilter ref="A23:D25" xr:uid="{341196F7-FBD8-45F4-9767-F71F2060AD41}"/>
  <tableColumns count="4">
    <tableColumn id="1" xr3:uid="{3386C02E-E15D-4C51-A025-5E12C9800B27}" name="Measure"/>
    <tableColumn id="2" xr3:uid="{C1E8972B-9964-4540-965C-8786D83C6F19}" name="SEFIs" dataDxfId="31">
      <calculatedColumnFormula>B23/GETPIVOTDATA("[Measures].[Distinct Count of SEFI]",$A$5)</calculatedColumnFormula>
    </tableColumn>
    <tableColumn id="3" xr3:uid="{9B27D98E-E760-4BEE-8525-12F8E8ADBA8D}" name="FINIs" dataDxfId="30">
      <calculatedColumnFormula>C23/GETPIVOTDATA("[Measures].[Count of Material]",$A$5)</calculatedColumnFormula>
    </tableColumn>
    <tableColumn id="4" xr3:uid="{1A1BE26C-3F5A-41B4-AD0E-335D95B164FB}" name="Sales forecast" dataDxfId="29">
      <calculatedColumnFormula>D23/GETPIVOTDATA("[Measures].[Sum of Total FINI forecast (litres)]",$A$5)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6090D3-8B2E-4FAE-A090-4CEDA149D10C}" name="FINI_grouping_for_wheel" displayName="FINI_grouping_for_wheel" ref="A2:BC1023" tableType="queryTable" totalsRowShown="0">
  <autoFilter ref="A2:BC1023" xr:uid="{816090D3-8B2E-4FAE-A090-4CEDA149D10C}">
    <filterColumn colId="21">
      <filters>
        <filter val="PCK_0464"/>
      </filters>
    </filterColumn>
  </autoFilter>
  <sortState xmlns:xlrd2="http://schemas.microsoft.com/office/spreadsheetml/2017/richdata2" ref="A33:BC59">
    <sortCondition ref="V2:V1023"/>
  </sortState>
  <tableColumns count="55">
    <tableColumn id="12" xr3:uid="{986B9E40-D8B5-474C-B6F2-FEF13F1ADD2E}" uniqueName="12" name="Production Frequency" queryTableFieldId="12"/>
    <tableColumn id="14" xr3:uid="{965C5D91-2D5F-4877-A7CD-A82F9B526646}" uniqueName="14" name="SEFI" queryTableFieldId="14"/>
    <tableColumn id="16" xr3:uid="{D3FF06D7-6AA6-4EEC-90AD-13061D1FC173}" uniqueName="16" name="SEFI description" queryTableFieldId="16"/>
    <tableColumn id="17" xr3:uid="{C470F3EB-DCD5-4DB5-A577-00DE3C3557D3}" uniqueName="17" name="Lot size considered" queryTableFieldId="17"/>
    <tableColumn id="18" xr3:uid="{C0BA407B-7599-44FA-BFD0-3FB3824D9E28}" uniqueName="18" name="Number of batches" queryTableFieldId="18"/>
    <tableColumn id="13" xr3:uid="{9A21B3B6-EEA1-4EA3-90C8-23F2620FAA61}" uniqueName="13" name="Batches per week" queryTableFieldId="13"/>
    <tableColumn id="1" xr3:uid="{F2EE8A16-17CA-4266-8A6E-7EFE4C6A2CC1}" uniqueName="1" name="Material" queryTableFieldId="1" dataDxfId="68"/>
    <tableColumn id="2" xr3:uid="{B0A1816A-F7FA-44ED-9B0A-F19ACAE2FD20}" uniqueName="2" name="Material Description" queryTableFieldId="2" dataDxfId="67"/>
    <tableColumn id="28" xr3:uid="{5A2456E5-0670-4204-BE92-CED2E6A8646C}" uniqueName="28" name="Pallet in litres" queryTableFieldId="28"/>
    <tableColumn id="15" xr3:uid="{4DF5F692-5276-4739-8DE0-774D201D2BAF}" uniqueName="15" name="MRPCn" queryTableFieldId="15"/>
    <tableColumn id="19" xr3:uid="{F02434FC-779E-4036-9E70-64559ED415BF}" uniqueName="19" name="Can code" queryTableFieldId="19"/>
    <tableColumn id="20" xr3:uid="{C434751A-1841-4243-924C-B78F2A130DD4}" uniqueName="20" name="Can description" queryTableFieldId="20"/>
    <tableColumn id="7" xr3:uid="{0E130C1B-2ED0-4D32-A8EB-8CED80A28BAA}" uniqueName="7" name="Total FINI forecast (litres)" queryTableFieldId="7"/>
    <tableColumn id="23" xr3:uid="{E591CDA5-2FC0-4B7F-9D26-1454984049B0}" uniqueName="23" name="Avg daily demand" queryTableFieldId="23"/>
    <tableColumn id="11" xr3:uid="{3EB42A1D-49F4-4B44-9F50-1F3D7816C2E5}" uniqueName="11" name="SEFI-recipe forecast" queryTableFieldId="11"/>
    <tableColumn id="10" xr3:uid="{2CCD7A27-97DC-4468-8AEB-2B2EBE12FE3E}" uniqueName="10" name="SEFI Forecast (litres)" queryTableFieldId="10"/>
    <tableColumn id="25" xr3:uid="{52B676B9-5A8D-489E-893C-AF9FAC20C262}" uniqueName="25" name="% FINI - recipe" queryTableFieldId="25"/>
    <tableColumn id="26" xr3:uid="{80A96035-2BC9-4361-A8FE-986E59FC19FD}" uniqueName="26" name="SEFI qty as per % FINI-recipe" queryTableFieldId="26" dataDxfId="66"/>
    <tableColumn id="9" xr3:uid="{D305205F-0D53-44B7-8A55-4ED8677B3D75}" uniqueName="9" name="Recipe Combination" queryTableFieldId="9"/>
    <tableColumn id="41" xr3:uid="{8EE6B524-17C2-48F7-AC88-0ADE81240FA6}" uniqueName="41" name="RESET recipe combination" queryTableFieldId="106"/>
    <tableColumn id="8" xr3:uid="{E3FAD946-6E0B-49A1-8E49-1056C4EBB80C}" uniqueName="8" name="Volume" queryTableFieldId="8"/>
    <tableColumn id="27" xr3:uid="{CEC9FEE8-96E4-4B69-A29D-550D04714213}" uniqueName="27" name="PCK code" queryTableFieldId="88" dataDxfId="65"/>
    <tableColumn id="21" xr3:uid="{38F07ED3-6F25-4838-886B-AE5FAEE1C090}" uniqueName="21" name="Decoration type" queryTableFieldId="21"/>
    <tableColumn id="22" xr3:uid="{966C5AEA-C978-4737-8031-9B867B53A616}" uniqueName="22" name="Can Shape" queryTableFieldId="22"/>
    <tableColumn id="53" xr3:uid="{0BB15EE1-CF5C-43B8-ABB8-B97142A74B6F}" uniqueName="53" name="Filling line" queryTableFieldId="99" dataDxfId="64"/>
    <tableColumn id="56" xr3:uid="{AC6DA22A-842D-4E09-8BA8-C440B638FA71}" uniqueName="56" name="Already produced or future transfer in" queryTableFieldId="100"/>
    <tableColumn id="24" xr3:uid="{6362C1CF-B723-4BFB-8B34-8AB5157ED0E7}" uniqueName="24" name="RoC 1 full SEFI batch" queryTableFieldId="24"/>
    <tableColumn id="37" xr3:uid="{8CDED744-3926-4AC8-BA79-3491BFB4723F}" uniqueName="37" name="FINI/P-site" queryTableFieldId="37" dataDxfId="63"/>
    <tableColumn id="38" xr3:uid="{B44CA9A9-B262-4FD3-8CB2-E7A34E2F1319}" uniqueName="38" name="SEFI/Plant" queryTableFieldId="38" dataDxfId="62"/>
    <tableColumn id="34" xr3:uid="{1A936E08-0FEF-4DD0-A607-7321355C8022}" uniqueName="34" name="Subgroup" queryTableFieldId="34" dataDxfId="61"/>
    <tableColumn id="51" xr3:uid="{9D1E01CE-AA1A-46A4-BF0A-6BE44C503FE1}" uniqueName="51" name="Selected PV" queryTableFieldId="86" dataDxfId="60"/>
    <tableColumn id="35" xr3:uid="{3E81CEB0-087C-4E1B-93FA-E9857A82F281}" uniqueName="35" name="SEFI/Plant/Recipe/Subgroup" queryTableFieldId="35" dataDxfId="59">
      <calculatedColumnFormula>_xlfn.CONCAT(FINI_grouping_for_wheel[[#This Row],[SEFI/Plant]],"/",IF(FINI_grouping_for_wheel[[#This Row],[RESET recipe combination]]&lt;&gt;"",FINI_grouping_for_wheel[[#This Row],[RESET recipe combination]],FINI_grouping_for_wheel[[#This Row],[Recipe Combination]]),"/",FINI_grouping_for_wheel[[#This Row],[Subgroup]])</calculatedColumnFormula>
    </tableColumn>
    <tableColumn id="39" xr3:uid="{C88BD236-3713-4141-87D0-A95AD74BA96B}" uniqueName="39" name="% forecast within subgroup" queryTableFieldId="42" dataDxfId="58">
      <calculatedColumnFormula>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calculatedColumnFormula>
    </tableColumn>
    <tableColumn id="40" xr3:uid="{E4112FAE-3FBF-4373-844D-5A4FCDCF6596}" uniqueName="40" name="Sefi qty as per recipe subgroup" queryTableFieldId="43" dataDxfId="57">
      <calculatedColumnFormula>_xlfn.LET(_xlpm.pct, FINI_grouping_for_wheel[[#This Row],[% forecast within subgroup]], _xlpm.lote, FINI_grouping_for_wheel[[#This Row],[Lot size considered]], _xlpm.pct*_xlpm.lote)</calculatedColumnFormula>
    </tableColumn>
    <tableColumn id="42" xr3:uid="{BE3CB28E-EC10-4D5C-971C-33B54DBB3181}" uniqueName="42" name="RoC selected PV" queryTableFieldId="96" dataDxfId="56">
      <calculatedColumnFormula array="1">IFERROR(INDIRECT("FINI_grouping_for_wheel[@["&amp;FINI_grouping_for_wheel[[#This Row],[Selected PV]]&amp;"]]"),"")</calculatedColumnFormula>
    </tableColumn>
    <tableColumn id="52" xr3:uid="{7B3A707D-B53D-49FB-8E1B-1D30E2ACA36A}" uniqueName="52" name="SEFI litres lot size of selected PV" queryTableFieldId="87" dataDxfId="55">
      <calculatedColumnFormula>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calculatedColumnFormula>
    </tableColumn>
    <tableColumn id="54" xr3:uid="{26AFD293-7739-449F-9513-C39F53396FBE}" uniqueName="54" name="Pallets as per subgroup" queryTableFieldId="90" dataDxfId="54">
      <calculatedColumnFormula>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calculatedColumnFormula>
    </tableColumn>
    <tableColumn id="43" xr3:uid="{865B580B-33D5-4849-8344-37164B8DD4A0}" uniqueName="43" name="Column1" queryTableFieldId="97" dataDxfId="53"/>
    <tableColumn id="3" xr3:uid="{5964201B-4857-4CC1-9B49-046F627EFB14}" uniqueName="3" name="PV - 1" queryTableFieldId="70" dataDxfId="52">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calculatedColumnFormula>
    </tableColumn>
    <tableColumn id="4" xr3:uid="{1CDF3F6B-8074-474C-B995-ACD83C7955CA}" uniqueName="4" name="PV - 2" queryTableFieldId="71" dataDxfId="51">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calculatedColumnFormula>
    </tableColumn>
    <tableColumn id="5" xr3:uid="{9E4A0CC8-5ABC-49CC-A008-055D8D7F720E}" uniqueName="5" name="PV - 3" queryTableFieldId="72" dataDxfId="50">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calculatedColumnFormula>
    </tableColumn>
    <tableColumn id="29" xr3:uid="{6060F424-8736-4BF8-BEBB-46614635CAD0}" uniqueName="29" name="PV - 4" queryTableFieldId="73" dataDxfId="49">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calculatedColumnFormula>
    </tableColumn>
    <tableColumn id="30" xr3:uid="{3EB55B03-826C-47B1-ACFC-C9F610503451}" uniqueName="30" name="PV - 5" queryTableFieldId="74" dataDxfId="48">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calculatedColumnFormula>
    </tableColumn>
    <tableColumn id="31" xr3:uid="{881B803E-5609-4408-8B0E-81774783F431}" uniqueName="31" name="PV - 6" queryTableFieldId="75" dataDxfId="47">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calculatedColumnFormula>
    </tableColumn>
    <tableColumn id="32" xr3:uid="{63C46A1F-24E5-4CA5-9D48-E57216CDD254}" uniqueName="32" name="PV - 7" queryTableFieldId="76" dataDxfId="46">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calculatedColumnFormula>
    </tableColumn>
    <tableColumn id="33" xr3:uid="{DECADB66-D302-4D01-8471-531D39CF9F62}" uniqueName="33" name="PV - 8" queryTableFieldId="77" dataDxfId="45">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calculatedColumnFormula>
    </tableColumn>
    <tableColumn id="36" xr3:uid="{17DC4AB0-8785-4705-B0BE-4D891AB3BD81}" uniqueName="36" name="PV - 9" queryTableFieldId="78" dataDxfId="44">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calculatedColumnFormula>
    </tableColumn>
    <tableColumn id="44" xr3:uid="{0C2A02F9-583C-4AB2-BF84-4701ED4E09A5}" uniqueName="44" name="PV - 10" queryTableFieldId="79" dataDxfId="43">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calculatedColumnFormula>
    </tableColumn>
    <tableColumn id="45" xr3:uid="{7F85A615-CE16-4197-8BC3-21144367730E}" uniqueName="45" name="PV - 11" queryTableFieldId="80" dataDxfId="42">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calculatedColumnFormula>
    </tableColumn>
    <tableColumn id="46" xr3:uid="{1CF82808-C389-495A-8702-FA366B7E3EB4}" uniqueName="46" name="PV - 12" queryTableFieldId="81" dataDxfId="41">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calculatedColumnFormula>
    </tableColumn>
    <tableColumn id="47" xr3:uid="{EA9270AF-9536-4B1D-B3A8-1FEE460DD291}" uniqueName="47" name="PV - 13" queryTableFieldId="82" dataDxfId="40">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calculatedColumnFormula>
    </tableColumn>
    <tableColumn id="48" xr3:uid="{AAE0A7F6-FA30-40D8-82C4-57C514F7FDDA}" uniqueName="48" name="PV - 14" queryTableFieldId="83" dataDxfId="39">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calculatedColumnFormula>
    </tableColumn>
    <tableColumn id="49" xr3:uid="{F1E352F4-76BE-4DBC-8055-224424BBCA55}" uniqueName="49" name="PV - 15" queryTableFieldId="84" dataDxfId="38">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calculatedColumnFormula>
    </tableColumn>
    <tableColumn id="50" xr3:uid="{2E4EB61B-9859-46CB-B594-3E94FE4BB65C}" uniqueName="50" name="PV - 16" queryTableFieldId="85" dataDxfId="37">
      <calculatedColumnFormula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calculatedColumnFormula>
    </tableColumn>
    <tableColumn id="55" xr3:uid="{CB85C19C-F221-48AA-BD29-349EE54642AD}" uniqueName="55" name="New recipe subgroup" queryTableFieldId="91" dataDxfId="36">
      <calculatedColumnFormula>_xlfn.CONCAT(FINI_grouping_for_wheel[[#This Row],[Recipe Combination]],FINI_grouping_for_wheel[[#This Row],[Subgroup]])</calculatedColumnFormula>
    </tableColumn>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A383558-FCBA-4931-9683-8D33483EFE18}" name="Table15" displayName="Table15" ref="A1:D804" totalsRowShown="0">
  <autoFilter ref="A1:D804" xr:uid="{0A383558-FCBA-4931-9683-8D33483EFE18}"/>
  <tableColumns count="4">
    <tableColumn id="1" xr3:uid="{26274562-C89E-44E1-AE54-5EAF295EFAD0}" name="Material"/>
    <tableColumn id="2" xr3:uid="{C9111B9E-9743-48FB-ADFF-A19D0AEA2205}" name="Subgroup"/>
    <tableColumn id="3" xr3:uid="{C90F2199-ABDF-4D6E-9681-CAE989A28165}" name="RoC selected PV"/>
    <tableColumn id="4" xr3:uid="{48EA33ED-33DF-4192-9857-3AED84805859}" name="Match?" dataDxfId="28">
      <calculatedColumnFormula>EXACT(Table15[[#This Row],[RoC selected PV]],INDEX(FINI_grouping_for_wheel[RoC selected PV],MATCH(Table15[[#This Row],[Material]],FINI_grouping_for_wheel[Material],0)))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8FF630-6F16-471E-A981-076BBE9BB642}" name="PCK_per_filling_line___THDP_specific" displayName="PCK_per_filling_line___THDP_specific" ref="A1:B44" tableType="queryTable" totalsRowShown="0">
  <autoFilter ref="A1:B44" xr:uid="{6D8FF630-6F16-471E-A981-076BBE9BB642}"/>
  <tableColumns count="2">
    <tableColumn id="1" xr3:uid="{2788BF13-B298-4CA4-A864-E03104985245}" uniqueName="1" name="Name" queryTableFieldId="1"/>
    <tableColumn id="2" xr3:uid="{591F1FAB-26FF-4085-A13E-331C2C501CBC}" uniqueName="2" name="Value" queryTableFieldId="2" dataDxfId="2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EC4B1A-C33A-4FBB-BF55-82E58225576B}" name="Change_over_estimation" displayName="Change_over_estimation" ref="A1:F3" tableType="queryTable" totalsRowCount="1">
  <autoFilter ref="A1:F2" xr:uid="{7EEC4B1A-C33A-4FBB-BF55-82E58225576B}"/>
  <tableColumns count="6">
    <tableColumn id="1" xr3:uid="{4B7CA190-236D-499B-A76D-A58902A18A7E}" uniqueName="1" name="Plant" totalsRowLabel="Total" queryTableFieldId="1"/>
    <tableColumn id="3" xr3:uid="{4FD49976-7405-4B71-8AA2-1CBEFA0DC6CD}" uniqueName="3" name="Total volume per week" totalsRowFunction="sum" queryTableFieldId="3" dataDxfId="26" totalsRowDxfId="25"/>
    <tableColumn id="4" xr3:uid="{C96678A4-8270-4476-8243-7F391C9990E8}" uniqueName="4" name="Batches per week" totalsRowFunction="sum" queryTableFieldId="4"/>
    <tableColumn id="5" xr3:uid="{941C57C6-5978-4256-AFC5-9FAC41ABDC5A}" uniqueName="5" name="Weekly changes FINI-FINI" totalsRowFunction="sum" queryTableFieldId="5"/>
    <tableColumn id="2" xr3:uid="{636F991A-E429-442F-9004-3E35D4800EA2}" uniqueName="2" name="Weekly changes FINI-FINI with PCK change" queryTableFieldId="8"/>
    <tableColumn id="6" xr3:uid="{9DDF652A-34C1-471A-93BC-D601ECB295F8}" uniqueName="6" name="Weekly FINI-FINI with same PCK" queryTableFieldId="9"/>
  </tableColumns>
  <tableStyleInfo name="TableStyleMedium1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AFD488-E1EC-4060-85E4-2BFF126BE813}" name="FINI_new_recipe_combination" displayName="FINI_new_recipe_combination" ref="A1:C1022" tableType="queryTable" totalsRowShown="0">
  <autoFilter ref="A1:C1022" xr:uid="{43AFD488-E1EC-4060-85E4-2BFF126BE813}">
    <filterColumn colId="1">
      <filters>
        <filter val="5671056"/>
      </filters>
    </filterColumn>
  </autoFilter>
  <tableColumns count="3">
    <tableColumn id="1" xr3:uid="{9C47CBE4-675B-4101-AB70-EE4B37261BBD}" uniqueName="1" name="Plant" queryTableFieldId="4"/>
    <tableColumn id="2" xr3:uid="{3FB1F93F-5E57-4CA0-900D-3B85FF54DAFC}" uniqueName="2" name="Material" queryTableFieldId="2"/>
    <tableColumn id="3" xr3:uid="{4DCB9B39-397E-49B2-B2BE-20FBCDB84EEC}" uniqueName="3" name="Recipe combination" queryTableFieldId="5"/>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70011D-9EB9-4297-969D-8AB3134C3EB6}" name="FINI_Cycle_stock_at_DC" displayName="FINI_Cycle_stock_at_DC" ref="A5:F994" tableType="queryTable" totalsRowShown="0">
  <autoFilter ref="A5:F994" xr:uid="{9670011D-9EB9-4297-969D-8AB3134C3EB6}">
    <filterColumn colId="1">
      <filters>
        <filter val="5671056"/>
      </filters>
    </filterColumn>
  </autoFilter>
  <tableColumns count="6">
    <tableColumn id="5" xr3:uid="{5A471AEA-8E10-4763-842B-3B0B05A5531B}" uniqueName="5" name="Plnt" queryTableFieldId="5" dataDxfId="24"/>
    <tableColumn id="1" xr3:uid="{A13E14C6-AABB-4015-B472-B55D11C1EE90}" uniqueName="1" name="Material" queryTableFieldId="1" dataDxfId="23"/>
    <tableColumn id="2" xr3:uid="{4F0DC63B-FFD0-423F-B6CD-501386155B4B}" uniqueName="2" name="Lot size" queryTableFieldId="2"/>
    <tableColumn id="3" xr3:uid="{AF20F4FF-7575-4265-A91F-9481702E4FF4}" uniqueName="3" name="Min lot size at DC" queryTableFieldId="3"/>
    <tableColumn id="4" xr3:uid="{2418FC63-99CF-4339-9819-FC7A2AEB219F}" uniqueName="4" name="Rounding value" queryTableFieldId="4"/>
    <tableColumn id="6" xr3:uid="{45ACE27F-44CD-477A-9828-1834C12A945F}" uniqueName="6" name="Defined in wheel" queryTableFieldId="7"/>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1E03DB7-A1E3-42BB-83FA-466CCED9E282}" name="FINI_Cycle_stock_at_DC_without_pallet_conversion" displayName="FINI_Cycle_stock_at_DC_without_pallet_conversion" ref="J5:M180" tableType="queryTable" totalsRowShown="0">
  <autoFilter ref="J5:M180" xr:uid="{21E03DB7-A1E3-42BB-83FA-466CCED9E282}"/>
  <tableColumns count="4">
    <tableColumn id="1" xr3:uid="{662B6BBE-FDA9-46B5-9A48-F14AEDD10D91}" uniqueName="1" name="Plnt" queryTableFieldId="1" dataDxfId="22"/>
    <tableColumn id="2" xr3:uid="{2CCCB999-97DF-4D02-9481-E439B39E1936}" uniqueName="2" name="Material" queryTableFieldId="2" dataDxfId="21"/>
    <tableColumn id="3" xr3:uid="{B56BF53E-D054-4364-ADCB-DFB1CAABFEF0}" uniqueName="3" name="Lot size" queryTableFieldId="3"/>
    <tableColumn id="4" xr3:uid="{0AC76ECA-653B-4B55-8320-C94A782100F2}" uniqueName="4" name="Defined in wheel" queryTableFieldId="4"/>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C75C8D-D7D4-4FEF-B0D3-2230D975F248}" name="FINI_Planning_calendar_at_P_site" displayName="FINI_Planning_calendar_at_P_site" ref="A4:E181" tableType="queryTable" totalsRowShown="0">
  <autoFilter ref="A4:E181" xr:uid="{0CC75C8D-D7D4-4FEF-B0D3-2230D975F248}"/>
  <tableColumns count="5">
    <tableColumn id="1" xr3:uid="{3ADDFA3A-F3C7-4345-B110-6EC3C437DE67}" uniqueName="1" name="Material" queryTableFieldId="1"/>
    <tableColumn id="2" xr3:uid="{919B9367-6CFA-4258-AF56-7F8B198DEFBA}" uniqueName="2" name="Plant" queryTableFieldId="2" dataDxfId="20"/>
    <tableColumn id="3" xr3:uid="{9E6F1AA7-5B7D-4ABB-87DB-8C111FC70EA8}" uniqueName="3" name="Lot size" queryTableFieldId="3"/>
    <tableColumn id="4" xr3:uid="{71909FD5-484A-4FAF-BD94-64A7DF554ADB}" uniqueName="4" name="Planning calendar" queryTableFieldId="4" dataDxfId="19"/>
    <tableColumn id="5" xr3:uid="{DE0B77B5-815C-404D-B25F-FCDFCE2268C2}" uniqueName="5" name="Lot size Profile" queryTableFieldId="5" dataDxfId="18"/>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0344A3-7D44-4D71-9D35-45C4BDA47977}" name="FINI_Planning_calendar_at_P_site___no_calendar" displayName="FINI_Planning_calendar_at_P_site___no_calendar" ref="I4:M848" tableType="queryTable" totalsRowShown="0">
  <autoFilter ref="I4:M848" xr:uid="{DC0344A3-7D44-4D71-9D35-45C4BDA47977}"/>
  <tableColumns count="5">
    <tableColumn id="1" xr3:uid="{DC34A348-B5A1-47A5-AD0C-A8539107B0B6}" uniqueName="1" name="FINI" queryTableFieldId="1" dataDxfId="17"/>
    <tableColumn id="2" xr3:uid="{BBA14D1C-93C8-46F7-A642-58A0A7AAC44E}" uniqueName="2" name="P-site" queryTableFieldId="2" dataDxfId="16"/>
    <tableColumn id="3" xr3:uid="{7DA6E969-9B10-411A-992B-D057B047D540}" uniqueName="3" name="Lot size" queryTableFieldId="3"/>
    <tableColumn id="4" xr3:uid="{F40A4CEC-25F6-4E65-BB51-AFAAA8E23232}" uniqueName="4" name="Lot size Profile" queryTableFieldId="4"/>
    <tableColumn id="5" xr3:uid="{95BE6DD5-BB31-4EF5-8332-901E835D71F6}" uniqueName="5" name="Planning calendar" queryTableFieldId="5"/>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071DC19-42BB-4A23-AFE2-B03AFB31623D}" name="APO_SEFI_lot_size_per_recipe_combination" displayName="APO_SEFI_lot_size_per_recipe_combination" ref="A1:C14" tableType="queryTable" totalsRowShown="0">
  <autoFilter ref="A1:C14" xr:uid="{F071DC19-42BB-4A23-AFE2-B03AFB31623D}"/>
  <tableColumns count="3">
    <tableColumn id="1" xr3:uid="{54D9F6FC-1143-4080-BC83-A5D4C93B517E}" uniqueName="1" name="SEFI" queryTableFieldId="1" dataDxfId="15"/>
    <tableColumn id="2" xr3:uid="{1B7CD10D-1CC0-4A6B-BF5E-79A9CB84A1C9}" uniqueName="2" name="Recipe combination" queryTableFieldId="7"/>
    <tableColumn id="5" xr3:uid="{6E1ED669-CE52-4D4D-853C-B7166F7BB023}" uniqueName="5" name="Lot size KG" queryTableFieldId="6"/>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01C9102-0E9F-4875-AAAE-9CB04C5066AC}" name="Newrecipe" displayName="Newrecipe" ref="A3:C361" totalsRowShown="0" headerRowDxfId="14" dataDxfId="12" headerRowBorderDxfId="13" tableBorderDxfId="11" totalsRowBorderDxfId="10">
  <autoFilter ref="A3:C361" xr:uid="{101C9102-0E9F-4875-AAAE-9CB04C5066AC}"/>
  <tableColumns count="3">
    <tableColumn id="1" xr3:uid="{FADC171B-4627-439A-AE23-D8A4C0019874}" name="SEFI" dataDxfId="9"/>
    <tableColumn id="2" xr3:uid="{DC569BC9-7C37-4566-A305-3F05272BC48A}" name="Subgroup" dataDxfId="8"/>
    <tableColumn id="3" xr3:uid="{AAA6E476-712B-42A6-922E-5E2B1D3DB92A}" name="SAP character" dataDxfId="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AEE734-900B-4D0F-93A2-CE4CE307DF40}" name="Production_versions___List" displayName="Production_versions___List" ref="A1:E115" tableType="queryTable" totalsRowShown="0">
  <autoFilter ref="A1:E115" xr:uid="{74AEE734-900B-4D0F-93A2-CE4CE307DF40}"/>
  <tableColumns count="5">
    <tableColumn id="1" xr3:uid="{EE1A02F4-A47F-4F35-A38B-6B6981EE3913}" uniqueName="1" name="SEFI/P-site" queryTableFieldId="1" dataDxfId="6"/>
    <tableColumn id="2" xr3:uid="{E9C84565-195C-43A5-9304-8E1896C6CEE7}" uniqueName="2" name="Clasificador" queryTableFieldId="2" dataDxfId="5"/>
    <tableColumn id="3" xr3:uid="{65A482EC-69AF-4831-B1F6-79C29E82C8C5}" uniqueName="3" name="Lot size (Litres)" queryTableFieldId="3"/>
    <tableColumn id="4" xr3:uid="{E8014E28-EDD3-4147-99C7-B9066EB4C16A}" uniqueName="4" name="PV lot" queryTableFieldId="4" dataDxfId="4"/>
    <tableColumn id="5" xr3:uid="{A851D39A-8E63-4FB2-BF58-6CCC6D5638B2}" uniqueName="5" name="SEFI" queryTableFieldId="5" dataDxfId="3"/>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2.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customProperty" Target="../customProperty3.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customProperty" Target="../customProperty12.bin"/></Relationships>
</file>

<file path=xl/worksheets/_rels/sheet13.xml.rels><?xml version="1.0" encoding="UTF-8" standalone="yes"?>
<Relationships xmlns="http://schemas.openxmlformats.org/package/2006/relationships"><Relationship Id="rId1" Type="http://schemas.openxmlformats.org/officeDocument/2006/relationships/customProperty" Target="../customProperty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customProperty" Target="../customProperty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B2:B7"/>
  <sheetViews>
    <sheetView showGridLines="0" tabSelected="1" workbookViewId="0">
      <selection activeCell="B7" sqref="B7"/>
    </sheetView>
  </sheetViews>
  <sheetFormatPr baseColWidth="10" defaultColWidth="8.83203125" defaultRowHeight="15"/>
  <cols>
    <col min="2" max="2" width="19.5" customWidth="1"/>
  </cols>
  <sheetData>
    <row r="2" spans="2:2">
      <c r="B2" t="s">
        <v>0</v>
      </c>
    </row>
    <row r="3" spans="2:2" ht="47">
      <c r="B3" s="1" t="s">
        <v>1</v>
      </c>
    </row>
    <row r="6" spans="2:2">
      <c r="B6" t="s">
        <v>2</v>
      </c>
    </row>
    <row r="7" spans="2:2">
      <c r="B7">
        <v>0.9</v>
      </c>
    </row>
  </sheetData>
  <pageMargins left="0.7" right="0.7" top="0.75" bottom="0.75" header="0.3" footer="0.3"/>
  <pageSetup paperSize="9" orientation="portrait" r:id="rId1"/>
  <customProperties>
    <customPr name="_pios_id" r:id="rId2"/>
  </customProperties>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33756-C407-496F-BDB8-2147636C09AE}">
  <dimension ref="A1:E25"/>
  <sheetViews>
    <sheetView showGridLines="0" zoomScale="115" zoomScaleNormal="115" workbookViewId="0">
      <selection activeCell="E6" sqref="E6:E7"/>
    </sheetView>
  </sheetViews>
  <sheetFormatPr baseColWidth="10" defaultColWidth="8.83203125" defaultRowHeight="15"/>
  <cols>
    <col min="1" max="1" width="28.5" bestFit="1" customWidth="1"/>
    <col min="2" max="2" width="20.1640625" bestFit="1" customWidth="1"/>
    <col min="3" max="3" width="16.83203125" bestFit="1" customWidth="1"/>
    <col min="4" max="4" width="30.83203125" bestFit="1" customWidth="1"/>
    <col min="5" max="5" width="31.83203125" bestFit="1" customWidth="1"/>
    <col min="9" max="9" width="13.1640625" bestFit="1" customWidth="1"/>
    <col min="10" max="10" width="20" bestFit="1" customWidth="1"/>
    <col min="13" max="13" width="39.5" bestFit="1" customWidth="1"/>
    <col min="14" max="14" width="16.1640625" bestFit="1" customWidth="1"/>
    <col min="15" max="20" width="10.83203125" bestFit="1" customWidth="1"/>
    <col min="21" max="22" width="10.5" bestFit="1" customWidth="1"/>
    <col min="23" max="25" width="10.83203125" bestFit="1" customWidth="1"/>
    <col min="26" max="26" width="10.5" bestFit="1" customWidth="1"/>
    <col min="27" max="27" width="10.83203125" bestFit="1" customWidth="1"/>
    <col min="28" max="30" width="10.5" bestFit="1" customWidth="1"/>
    <col min="31" max="31" width="11.1640625" bestFit="1" customWidth="1"/>
  </cols>
  <sheetData>
    <row r="1" spans="1:5">
      <c r="A1" t="s">
        <v>3</v>
      </c>
      <c r="B1" s="17">
        <v>46175</v>
      </c>
    </row>
    <row r="3" spans="1:5">
      <c r="A3" s="18" t="s">
        <v>4</v>
      </c>
    </row>
    <row r="5" spans="1:5">
      <c r="A5" s="24" t="s">
        <v>5</v>
      </c>
      <c r="B5" t="s">
        <v>6</v>
      </c>
      <c r="C5" t="s">
        <v>7</v>
      </c>
      <c r="D5" t="s">
        <v>8</v>
      </c>
      <c r="E5" t="s">
        <v>9</v>
      </c>
    </row>
    <row r="6" spans="1:5">
      <c r="A6" s="19" t="s">
        <v>10</v>
      </c>
      <c r="B6" s="38">
        <v>32</v>
      </c>
      <c r="C6" s="38">
        <v>626</v>
      </c>
      <c r="D6" s="20">
        <v>31256397.8472</v>
      </c>
      <c r="E6" s="21">
        <v>0.82760443915997894</v>
      </c>
    </row>
    <row r="7" spans="1:5">
      <c r="A7" s="19" t="s">
        <v>11</v>
      </c>
      <c r="B7" s="38">
        <v>14</v>
      </c>
      <c r="C7" s="38">
        <v>177</v>
      </c>
      <c r="D7" s="20">
        <v>3876471.98055</v>
      </c>
      <c r="E7" s="21">
        <v>0.10264091963074083</v>
      </c>
    </row>
    <row r="8" spans="1:5">
      <c r="A8" s="25" t="s">
        <v>12</v>
      </c>
      <c r="B8">
        <v>10</v>
      </c>
      <c r="C8">
        <v>74</v>
      </c>
      <c r="D8" s="26">
        <v>1431389.6851</v>
      </c>
      <c r="E8" s="27">
        <v>3.7900223287126306E-2</v>
      </c>
    </row>
    <row r="9" spans="1:5">
      <c r="A9" s="25" t="s">
        <v>13</v>
      </c>
      <c r="B9">
        <v>3</v>
      </c>
      <c r="C9">
        <v>27</v>
      </c>
      <c r="D9" s="26">
        <v>259480.010565</v>
      </c>
      <c r="E9" s="27">
        <v>6.8704912724294161E-3</v>
      </c>
    </row>
    <row r="10" spans="1:5">
      <c r="A10" s="25" t="s">
        <v>14</v>
      </c>
      <c r="B10">
        <v>1</v>
      </c>
      <c r="C10">
        <v>2</v>
      </c>
      <c r="D10" s="26">
        <v>73058.77755</v>
      </c>
      <c r="E10" s="27">
        <v>1.9344445548567536E-3</v>
      </c>
    </row>
    <row r="11" spans="1:5">
      <c r="A11" s="25" t="s">
        <v>15</v>
      </c>
      <c r="B11">
        <v>3</v>
      </c>
      <c r="C11">
        <v>7</v>
      </c>
      <c r="D11" s="26">
        <v>189603.569655</v>
      </c>
      <c r="E11" s="27">
        <v>5.02030837635495E-3</v>
      </c>
    </row>
    <row r="12" spans="1:5">
      <c r="A12" s="25" t="s">
        <v>16</v>
      </c>
      <c r="B12">
        <v>5</v>
      </c>
      <c r="C12">
        <v>28</v>
      </c>
      <c r="D12" s="26">
        <v>257901.8652</v>
      </c>
      <c r="E12" s="27">
        <v>6.8287052638145388E-3</v>
      </c>
    </row>
    <row r="13" spans="1:5">
      <c r="A13" s="25" t="s">
        <v>17</v>
      </c>
      <c r="B13">
        <v>5</v>
      </c>
      <c r="C13">
        <v>8</v>
      </c>
      <c r="D13" s="26">
        <v>111178.15074</v>
      </c>
      <c r="E13" s="27">
        <v>2.9437663143329772E-3</v>
      </c>
    </row>
    <row r="14" spans="1:5">
      <c r="A14" s="25" t="s">
        <v>18</v>
      </c>
      <c r="B14">
        <v>4</v>
      </c>
      <c r="C14">
        <v>12</v>
      </c>
      <c r="D14" s="26">
        <v>90311.825115</v>
      </c>
      <c r="E14" s="27">
        <v>2.391269388723671E-3</v>
      </c>
    </row>
    <row r="15" spans="1:5">
      <c r="A15" s="25" t="s">
        <v>19</v>
      </c>
      <c r="B15">
        <v>4</v>
      </c>
      <c r="C15">
        <v>8</v>
      </c>
      <c r="D15" s="26">
        <v>44243.713755</v>
      </c>
      <c r="E15" s="27">
        <v>1.1714815663515109E-3</v>
      </c>
    </row>
    <row r="16" spans="1:5">
      <c r="A16" s="25" t="s">
        <v>20</v>
      </c>
      <c r="B16">
        <v>10</v>
      </c>
      <c r="C16">
        <v>11</v>
      </c>
      <c r="D16" s="26">
        <v>43787.91033</v>
      </c>
      <c r="E16" s="27">
        <v>1.1594128391821728E-3</v>
      </c>
    </row>
    <row r="17" spans="1:5">
      <c r="A17" s="25" t="s">
        <v>21</v>
      </c>
      <c r="B17">
        <v>1</v>
      </c>
      <c r="C17">
        <v>41</v>
      </c>
      <c r="D17" s="26">
        <v>133490.02437</v>
      </c>
      <c r="E17" s="27">
        <v>3.5345383461078982E-3</v>
      </c>
    </row>
    <row r="18" spans="1:5">
      <c r="A18" s="25" t="s">
        <v>22</v>
      </c>
      <c r="B18">
        <v>92</v>
      </c>
      <c r="C18">
        <v>1021</v>
      </c>
      <c r="D18" s="26">
        <v>37767315.3602</v>
      </c>
      <c r="E18" s="27">
        <v>1</v>
      </c>
    </row>
    <row r="21" spans="1:5">
      <c r="A21" s="22" t="s">
        <v>23</v>
      </c>
    </row>
    <row r="23" spans="1:5">
      <c r="A23" t="s">
        <v>24</v>
      </c>
      <c r="B23" s="2" t="s">
        <v>25</v>
      </c>
      <c r="C23" s="2" t="s">
        <v>26</v>
      </c>
      <c r="D23" s="2" t="s">
        <v>27</v>
      </c>
    </row>
    <row r="24" spans="1:5">
      <c r="A24" t="s">
        <v>28</v>
      </c>
      <c r="B24" s="15">
        <v>46</v>
      </c>
      <c r="C24" s="15">
        <v>803</v>
      </c>
      <c r="D24" s="15">
        <v>35132869.8278</v>
      </c>
    </row>
    <row r="25" spans="1:5">
      <c r="A25" t="s">
        <v>29</v>
      </c>
      <c r="B25" s="16">
        <v>0.5</v>
      </c>
      <c r="C25" s="16">
        <v>0.78648383937316357</v>
      </c>
      <c r="D25" s="16">
        <v>0.93024535879071979</v>
      </c>
    </row>
  </sheetData>
  <pageMargins left="0.7" right="0.7" top="0.75" bottom="0.75" header="0.3" footer="0.3"/>
  <pageSetup paperSize="9" orientation="portrait" r:id="rId2"/>
  <customProperties>
    <customPr name="_pios_id" r:id="rId3"/>
  </customProperties>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2B89-3E54-4517-85D7-5D477430974D}">
  <sheetPr>
    <tabColor theme="9"/>
    <outlinePr summaryBelow="0" summaryRight="0"/>
  </sheetPr>
  <dimension ref="A1:BC1023"/>
  <sheetViews>
    <sheetView showGridLines="0" topLeftCell="AE1" zoomScale="133" zoomScaleNormal="90" workbookViewId="0">
      <selection activeCell="AN71" sqref="AN71"/>
    </sheetView>
  </sheetViews>
  <sheetFormatPr baseColWidth="10" defaultColWidth="8.83203125" defaultRowHeight="15" outlineLevelCol="1"/>
  <cols>
    <col min="1" max="1" width="23.5" bestFit="1" customWidth="1"/>
    <col min="2" max="2" width="9.1640625" bestFit="1" customWidth="1" collapsed="1"/>
    <col min="3" max="3" width="20.5" hidden="1" customWidth="1" outlineLevel="1"/>
    <col min="4" max="4" width="23" hidden="1" customWidth="1" outlineLevel="1"/>
    <col min="5" max="5" width="20.5" hidden="1" customWidth="1" outlineLevel="1"/>
    <col min="6" max="6" width="19" hidden="1" customWidth="1" outlineLevel="1"/>
    <col min="7" max="7" width="11.1640625" bestFit="1" customWidth="1"/>
    <col min="8" max="8" width="44.83203125" bestFit="1" customWidth="1" collapsed="1"/>
    <col min="9" max="9" width="15.83203125" hidden="1" customWidth="1" outlineLevel="1"/>
    <col min="10" max="10" width="9.83203125" hidden="1" customWidth="1" outlineLevel="1"/>
    <col min="11" max="11" width="11.1640625" hidden="1" customWidth="1" outlineLevel="1"/>
    <col min="12" max="12" width="43.83203125" hidden="1" customWidth="1" outlineLevel="1"/>
    <col min="13" max="13" width="26.1640625" hidden="1" customWidth="1" outlineLevel="1"/>
    <col min="14" max="14" width="19.1640625" hidden="1" customWidth="1" outlineLevel="1"/>
    <col min="15" max="15" width="21" hidden="1" customWidth="1" outlineLevel="1"/>
    <col min="16" max="16" width="21.5" hidden="1" customWidth="1" outlineLevel="1"/>
    <col min="17" max="17" width="16.1640625" hidden="1" customWidth="1" outlineLevel="1"/>
    <col min="18" max="18" width="28.83203125" hidden="1" customWidth="1" outlineLevel="1"/>
    <col min="19" max="19" width="21.5" bestFit="1" customWidth="1"/>
    <col min="20" max="20" width="33.5" bestFit="1" customWidth="1"/>
    <col min="21" max="21" width="10.1640625" bestFit="1" customWidth="1"/>
    <col min="22" max="22" width="16" bestFit="1" customWidth="1" collapsed="1"/>
    <col min="23" max="23" width="17.83203125" hidden="1" customWidth="1" outlineLevel="1"/>
    <col min="24" max="24" width="24" hidden="1" customWidth="1" outlineLevel="1"/>
    <col min="25" max="25" width="14.83203125" style="23" bestFit="1" customWidth="1"/>
    <col min="26" max="26" width="45.5" hidden="1" customWidth="1"/>
    <col min="27" max="27" width="21.1640625" bestFit="1" customWidth="1" collapsed="1"/>
    <col min="28" max="29" width="21.5" hidden="1" customWidth="1" outlineLevel="1"/>
    <col min="30" max="30" width="16.83203125" style="2" bestFit="1" customWidth="1"/>
    <col min="31" max="31" width="16.83203125" bestFit="1" customWidth="1" collapsed="1"/>
    <col min="32" max="32" width="29" hidden="1" customWidth="1" outlineLevel="1"/>
    <col min="33" max="33" width="27.83203125" hidden="1" customWidth="1" outlineLevel="1"/>
    <col min="34" max="34" width="31" hidden="1" customWidth="1" outlineLevel="1"/>
    <col min="35" max="35" width="22.1640625" bestFit="1" customWidth="1"/>
    <col min="36" max="36" width="39.83203125" bestFit="1" customWidth="1"/>
    <col min="37" max="37" width="30" bestFit="1" customWidth="1"/>
    <col min="38" max="38" width="11.1640625" style="2" bestFit="1" customWidth="1"/>
    <col min="39" max="47" width="10.5" style="2" bestFit="1" customWidth="1"/>
    <col min="48" max="53" width="11.5" style="2" bestFit="1" customWidth="1"/>
    <col min="54" max="54" width="11.5" bestFit="1" customWidth="1"/>
    <col min="55" max="55" width="29.83203125" bestFit="1" customWidth="1"/>
  </cols>
  <sheetData>
    <row r="1" spans="1:55" ht="99" customHeight="1">
      <c r="AI1" s="12"/>
      <c r="AJ1" s="12" t="s">
        <v>30</v>
      </c>
      <c r="AL1" s="2" t="s">
        <v>31</v>
      </c>
      <c r="AM1" s="2" t="s">
        <v>31</v>
      </c>
      <c r="AN1" s="2" t="s">
        <v>31</v>
      </c>
      <c r="AO1" s="2" t="s">
        <v>31</v>
      </c>
      <c r="AP1" s="2" t="s">
        <v>31</v>
      </c>
      <c r="AQ1" s="2" t="s">
        <v>31</v>
      </c>
      <c r="AR1" s="2" t="s">
        <v>31</v>
      </c>
      <c r="AS1" s="2" t="s">
        <v>31</v>
      </c>
      <c r="AT1" s="2" t="s">
        <v>31</v>
      </c>
      <c r="AU1" s="2" t="s">
        <v>31</v>
      </c>
      <c r="AV1" s="2" t="s">
        <v>31</v>
      </c>
      <c r="AW1" s="2" t="s">
        <v>31</v>
      </c>
      <c r="AX1" s="2" t="s">
        <v>31</v>
      </c>
      <c r="AY1" s="2" t="s">
        <v>31</v>
      </c>
      <c r="AZ1" s="2" t="s">
        <v>31</v>
      </c>
      <c r="BA1" s="2" t="s">
        <v>31</v>
      </c>
    </row>
    <row r="2" spans="1:55" ht="16">
      <c r="A2" t="s">
        <v>32</v>
      </c>
      <c r="B2" t="s">
        <v>33</v>
      </c>
      <c r="C2" t="s">
        <v>34</v>
      </c>
      <c r="D2" t="s">
        <v>35</v>
      </c>
      <c r="E2" t="s">
        <v>36</v>
      </c>
      <c r="F2" t="s">
        <v>37</v>
      </c>
      <c r="G2" t="s">
        <v>38</v>
      </c>
      <c r="H2" t="s">
        <v>39</v>
      </c>
      <c r="I2" t="s">
        <v>40</v>
      </c>
      <c r="J2" t="s">
        <v>41</v>
      </c>
      <c r="K2" t="s">
        <v>42</v>
      </c>
      <c r="L2" t="s">
        <v>43</v>
      </c>
      <c r="M2" t="s">
        <v>44</v>
      </c>
      <c r="N2" t="s">
        <v>45</v>
      </c>
      <c r="O2" t="s">
        <v>46</v>
      </c>
      <c r="P2" t="s">
        <v>47</v>
      </c>
      <c r="Q2" t="s">
        <v>48</v>
      </c>
      <c r="R2" t="s">
        <v>49</v>
      </c>
      <c r="S2" t="s">
        <v>50</v>
      </c>
      <c r="T2" s="11" t="s">
        <v>51</v>
      </c>
      <c r="U2" t="s">
        <v>52</v>
      </c>
      <c r="V2" t="s">
        <v>53</v>
      </c>
      <c r="W2" t="s">
        <v>54</v>
      </c>
      <c r="X2" t="s">
        <v>55</v>
      </c>
      <c r="Y2" s="23" t="s">
        <v>56</v>
      </c>
      <c r="Z2" s="8" t="s">
        <v>57</v>
      </c>
      <c r="AA2" t="s">
        <v>58</v>
      </c>
      <c r="AB2" t="s">
        <v>59</v>
      </c>
      <c r="AC2" t="s">
        <v>60</v>
      </c>
      <c r="AD2" s="3" t="s">
        <v>61</v>
      </c>
      <c r="AE2" s="11" t="s">
        <v>62</v>
      </c>
      <c r="AF2" t="s">
        <v>63</v>
      </c>
      <c r="AG2" t="s">
        <v>64</v>
      </c>
      <c r="AH2" t="s">
        <v>65</v>
      </c>
      <c r="AI2" s="9" t="s">
        <v>66</v>
      </c>
      <c r="AJ2" s="9" t="s">
        <v>67</v>
      </c>
      <c r="AK2" s="9" t="s">
        <v>68</v>
      </c>
      <c r="AL2" t="s">
        <v>69</v>
      </c>
      <c r="AM2" s="5" t="s">
        <v>70</v>
      </c>
      <c r="AN2" s="6" t="s">
        <v>71</v>
      </c>
      <c r="AO2" s="6" t="s">
        <v>72</v>
      </c>
      <c r="AP2" s="6" t="s">
        <v>73</v>
      </c>
      <c r="AQ2" s="6" t="s">
        <v>74</v>
      </c>
      <c r="AR2" s="6" t="s">
        <v>75</v>
      </c>
      <c r="AS2" s="6" t="s">
        <v>76</v>
      </c>
      <c r="AT2" s="6" t="s">
        <v>77</v>
      </c>
      <c r="AU2" s="6" t="s">
        <v>78</v>
      </c>
      <c r="AV2" s="6" t="s">
        <v>79</v>
      </c>
      <c r="AW2" s="6" t="s">
        <v>80</v>
      </c>
      <c r="AX2" s="6" t="s">
        <v>81</v>
      </c>
      <c r="AY2" s="6" t="s">
        <v>82</v>
      </c>
      <c r="AZ2" s="6" t="s">
        <v>83</v>
      </c>
      <c r="BA2" s="6" t="s">
        <v>84</v>
      </c>
      <c r="BB2" s="7" t="s">
        <v>85</v>
      </c>
      <c r="BC2" s="10" t="s">
        <v>86</v>
      </c>
    </row>
    <row r="3" spans="1:55" hidden="1">
      <c r="A3" t="s">
        <v>10</v>
      </c>
      <c r="B3">
        <v>4997218</v>
      </c>
      <c r="C3" t="s">
        <v>87</v>
      </c>
      <c r="D3">
        <v>8403.53398913</v>
      </c>
      <c r="E3">
        <v>384</v>
      </c>
      <c r="F3">
        <v>7.68</v>
      </c>
      <c r="G3" t="s">
        <v>88</v>
      </c>
      <c r="H3" t="s">
        <v>89</v>
      </c>
      <c r="J3" t="s">
        <v>90</v>
      </c>
      <c r="K3" t="s">
        <v>91</v>
      </c>
      <c r="L3" t="s">
        <v>92</v>
      </c>
      <c r="M3">
        <v>1124.70975</v>
      </c>
      <c r="N3">
        <v>4.498839</v>
      </c>
      <c r="O3">
        <v>1124.70975</v>
      </c>
      <c r="P3">
        <v>3220544.80607</v>
      </c>
      <c r="Q3">
        <v>1</v>
      </c>
      <c r="R3">
        <v>8403.53398913</v>
      </c>
      <c r="T3" t="s">
        <v>93</v>
      </c>
      <c r="U3">
        <v>10</v>
      </c>
      <c r="V3" t="s">
        <v>94</v>
      </c>
      <c r="W3" t="s">
        <v>95</v>
      </c>
      <c r="X3" t="s">
        <v>96</v>
      </c>
      <c r="Y3" s="23" t="s">
        <v>97</v>
      </c>
      <c r="AA3">
        <v>1868</v>
      </c>
      <c r="AB3" t="s">
        <v>98</v>
      </c>
      <c r="AC3" t="s">
        <v>99</v>
      </c>
      <c r="AD3" s="2">
        <v>9</v>
      </c>
      <c r="AE3" s="2" t="s">
        <v>70</v>
      </c>
      <c r="AF3" t="str">
        <f>_xlfn.CONCAT(FINI_grouping_for_wheel[[#This Row],[SEFI/Plant]],"/",IF(FINI_grouping_for_wheel[[#This Row],[RESET recipe combination]]&lt;&gt;"",FINI_grouping_for_wheel[[#This Row],[RESET recipe combination]],FINI_grouping_for_wheel[[#This Row],[Recipe Combination]]),"/",FINI_grouping_for_wheel[[#This Row],[Subgroup]])</f>
        <v>4997218/THDP/x/9</v>
      </c>
      <c r="AG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0.02855425308085362</v>
      </c>
      <c r="AH3">
        <f>_xlfn.LET(_xlpm.pct, FINI_grouping_for_wheel[[#This Row],[% forecast within subgroup]], _xlpm.lote, FINI_grouping_for_wheel[[#This Row],[Lot size considered]], _xlpm.pct*_xlpm.lote)</f>
        <v>239.9566362991734</v>
      </c>
      <c r="AI3" cm="1">
        <f t="array" aca="1" ref="AI3" ca="1">IFERROR(INDIRECT("FINI_grouping_for_wheel[@["&amp;FINI_grouping_for_wheel[[#This Row],[Selected PV]]&amp;"]]"),"")</f>
        <v>47</v>
      </c>
      <c r="AJ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 s="4"/>
      <c r="AM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47</v>
      </c>
      <c r="AN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 s="2" t="str">
        <f>_xlfn.CONCAT(FINI_grouping_for_wheel[[#This Row],[Recipe Combination]],FINI_grouping_for_wheel[[#This Row],[Subgroup]])</f>
        <v>9</v>
      </c>
    </row>
    <row r="4" spans="1:55" hidden="1">
      <c r="A4" t="s">
        <v>10</v>
      </c>
      <c r="B4">
        <v>4997218</v>
      </c>
      <c r="C4" t="s">
        <v>87</v>
      </c>
      <c r="D4">
        <v>8403.53398913</v>
      </c>
      <c r="E4">
        <v>384</v>
      </c>
      <c r="F4">
        <v>7.68</v>
      </c>
      <c r="G4" t="s">
        <v>100</v>
      </c>
      <c r="H4" t="s">
        <v>101</v>
      </c>
      <c r="I4">
        <v>450</v>
      </c>
      <c r="J4" t="s">
        <v>90</v>
      </c>
      <c r="K4" t="s">
        <v>102</v>
      </c>
      <c r="L4" t="s">
        <v>103</v>
      </c>
      <c r="M4">
        <v>2329.92504</v>
      </c>
      <c r="N4">
        <v>9.31970016</v>
      </c>
      <c r="O4">
        <v>5192.60733</v>
      </c>
      <c r="P4">
        <v>3220544.80607</v>
      </c>
      <c r="Q4">
        <v>0.44870041039671682</v>
      </c>
      <c r="R4">
        <v>3770.66914971</v>
      </c>
      <c r="S4" t="s">
        <v>104</v>
      </c>
      <c r="T4" t="s">
        <v>93</v>
      </c>
      <c r="U4">
        <v>3</v>
      </c>
      <c r="V4" t="s">
        <v>105</v>
      </c>
      <c r="W4" t="s">
        <v>95</v>
      </c>
      <c r="X4" t="s">
        <v>106</v>
      </c>
      <c r="Y4" s="23" t="s">
        <v>107</v>
      </c>
      <c r="AA4">
        <v>902</v>
      </c>
      <c r="AB4" t="s">
        <v>108</v>
      </c>
      <c r="AC4" t="s">
        <v>99</v>
      </c>
      <c r="AD4" s="2">
        <v>8</v>
      </c>
      <c r="AE4" s="2" t="s">
        <v>70</v>
      </c>
      <c r="AF4" t="str">
        <f>_xlfn.CONCAT(FINI_grouping_for_wheel[[#This Row],[SEFI/Plant]],"/",IF(FINI_grouping_for_wheel[[#This Row],[RESET recipe combination]]&lt;&gt;"",FINI_grouping_for_wheel[[#This Row],[RESET recipe combination]],FINI_grouping_for_wheel[[#This Row],[Recipe Combination]]),"/",FINI_grouping_for_wheel[[#This Row],[Subgroup]])</f>
        <v>4997218/THDP/x/8</v>
      </c>
      <c r="AG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0.15665048157287273</v>
      </c>
      <c r="AH4">
        <f>_xlfn.LET(_xlpm.pct, FINI_grouping_for_wheel[[#This Row],[% forecast within subgroup]], _xlpm.lote, FINI_grouping_for_wheel[[#This Row],[Lot size considered]], _xlpm.pct*_xlpm.lote)</f>
        <v>1316.4176463112185</v>
      </c>
      <c r="AI4" cm="1">
        <f t="array" aca="1" ref="AI4" ca="1">IFERROR(INDIRECT("FINI_grouping_for_wheel[@["&amp;FINI_grouping_for_wheel[[#This Row],[Selected PV]]&amp;"]]"),"")</f>
        <v>124</v>
      </c>
      <c r="AJ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v>
      </c>
      <c r="AL4" s="4"/>
      <c r="AM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124</v>
      </c>
      <c r="AN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 s="2" t="str">
        <f>_xlfn.CONCAT(FINI_grouping_for_wheel[[#This Row],[Recipe Combination]],FINI_grouping_for_wheel[[#This Row],[Subgroup]])</f>
        <v>08</v>
      </c>
    </row>
    <row r="5" spans="1:55" hidden="1">
      <c r="A5" t="s">
        <v>10</v>
      </c>
      <c r="B5">
        <v>4997218</v>
      </c>
      <c r="C5" t="s">
        <v>87</v>
      </c>
      <c r="D5">
        <v>8403.53398913</v>
      </c>
      <c r="E5">
        <v>384</v>
      </c>
      <c r="F5">
        <v>7.68</v>
      </c>
      <c r="G5" t="s">
        <v>109</v>
      </c>
      <c r="H5" t="s">
        <v>110</v>
      </c>
      <c r="I5">
        <v>450</v>
      </c>
      <c r="J5" t="s">
        <v>90</v>
      </c>
      <c r="K5" t="s">
        <v>111</v>
      </c>
      <c r="L5" t="s">
        <v>112</v>
      </c>
      <c r="M5">
        <v>2862.68229</v>
      </c>
      <c r="N5">
        <v>11.45072916</v>
      </c>
      <c r="O5">
        <v>5192.60733</v>
      </c>
      <c r="P5">
        <v>3220544.80607</v>
      </c>
      <c r="Q5">
        <v>0.55129958960328318</v>
      </c>
      <c r="R5">
        <v>4632.86483943</v>
      </c>
      <c r="S5" t="s">
        <v>104</v>
      </c>
      <c r="T5" t="s">
        <v>93</v>
      </c>
      <c r="U5">
        <v>3</v>
      </c>
      <c r="V5" t="s">
        <v>105</v>
      </c>
      <c r="W5" t="s">
        <v>95</v>
      </c>
      <c r="X5" t="s">
        <v>106</v>
      </c>
      <c r="Y5" s="23" t="s">
        <v>107</v>
      </c>
      <c r="AA5">
        <v>734</v>
      </c>
      <c r="AB5" t="s">
        <v>113</v>
      </c>
      <c r="AC5" t="s">
        <v>99</v>
      </c>
      <c r="AD5" s="2">
        <v>8</v>
      </c>
      <c r="AE5" s="2" t="s">
        <v>70</v>
      </c>
      <c r="AF5" t="str">
        <f>_xlfn.CONCAT(FINI_grouping_for_wheel[[#This Row],[SEFI/Plant]],"/",IF(FINI_grouping_for_wheel[[#This Row],[RESET recipe combination]]&lt;&gt;"",FINI_grouping_for_wheel[[#This Row],[RESET recipe combination]],FINI_grouping_for_wheel[[#This Row],[Recipe Combination]]),"/",FINI_grouping_for_wheel[[#This Row],[Subgroup]])</f>
        <v>4997218/THDP/x/8</v>
      </c>
      <c r="AG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0.19246995144471862</v>
      </c>
      <c r="AH5">
        <f>_xlfn.LET(_xlpm.pct, FINI_grouping_for_wheel[[#This Row],[% forecast within subgroup]], _xlpm.lote, FINI_grouping_for_wheel[[#This Row],[Lot size considered]], _xlpm.pct*_xlpm.lote)</f>
        <v>1617.4277788518934</v>
      </c>
      <c r="AI5" cm="1">
        <f t="array" aca="1" ref="AI5" ca="1">IFERROR(INDIRECT("FINI_grouping_for_wheel[@["&amp;FINI_grouping_for_wheel[[#This Row],[Selected PV]]&amp;"]]"),"")</f>
        <v>124</v>
      </c>
      <c r="AJ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3.7</v>
      </c>
      <c r="AL5" s="4"/>
      <c r="AM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124</v>
      </c>
      <c r="AN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 t="str">
        <f>_xlfn.CONCAT(FINI_grouping_for_wheel[[#This Row],[Recipe Combination]],FINI_grouping_for_wheel[[#This Row],[Subgroup]])</f>
        <v>08</v>
      </c>
    </row>
    <row r="6" spans="1:55" hidden="1">
      <c r="A6" t="s">
        <v>10</v>
      </c>
      <c r="B6">
        <v>4997218</v>
      </c>
      <c r="C6" t="s">
        <v>87</v>
      </c>
      <c r="D6">
        <v>8403.53398913</v>
      </c>
      <c r="E6">
        <v>384</v>
      </c>
      <c r="F6">
        <v>7.68</v>
      </c>
      <c r="G6" t="s">
        <v>114</v>
      </c>
      <c r="H6" t="s">
        <v>115</v>
      </c>
      <c r="I6">
        <v>240</v>
      </c>
      <c r="J6" t="s">
        <v>90</v>
      </c>
      <c r="K6" t="s">
        <v>116</v>
      </c>
      <c r="L6" t="s">
        <v>117</v>
      </c>
      <c r="M6">
        <v>15745.9365</v>
      </c>
      <c r="N6">
        <v>62.983746</v>
      </c>
      <c r="O6">
        <v>15745.9365</v>
      </c>
      <c r="P6">
        <v>3220544.80607</v>
      </c>
      <c r="Q6">
        <v>1</v>
      </c>
      <c r="R6">
        <v>8403.53398913</v>
      </c>
      <c r="S6" t="s">
        <v>118</v>
      </c>
      <c r="T6" t="s">
        <v>93</v>
      </c>
      <c r="U6">
        <v>5</v>
      </c>
      <c r="V6" t="s">
        <v>119</v>
      </c>
      <c r="W6" t="s">
        <v>95</v>
      </c>
      <c r="X6" t="s">
        <v>96</v>
      </c>
      <c r="Y6" s="23" t="s">
        <v>120</v>
      </c>
      <c r="AA6">
        <v>133</v>
      </c>
      <c r="AB6" t="s">
        <v>121</v>
      </c>
      <c r="AC6" t="s">
        <v>99</v>
      </c>
      <c r="AD6" s="2">
        <v>11</v>
      </c>
      <c r="AE6" s="2" t="s">
        <v>70</v>
      </c>
      <c r="AF6" t="str">
        <f>_xlfn.CONCAT(FINI_grouping_for_wheel[[#This Row],[SEFI/Plant]],"/",IF(FINI_grouping_for_wheel[[#This Row],[RESET recipe combination]]&lt;&gt;"",FINI_grouping_for_wheel[[#This Row],[RESET recipe combination]],FINI_grouping_for_wheel[[#This Row],[Recipe Combination]]),"/",FINI_grouping_for_wheel[[#This Row],[Subgroup]])</f>
        <v>4997218/THDP/x/11</v>
      </c>
      <c r="AG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0.6161686356265925</v>
      </c>
      <c r="AH6">
        <f>_xlfn.LET(_xlpm.pct, FINI_grouping_for_wheel[[#This Row],[% forecast within subgroup]], _xlpm.lote, FINI_grouping_for_wheel[[#This Row],[Lot size considered]], _xlpm.pct*_xlpm.lote)</f>
        <v>5177.994072523928</v>
      </c>
      <c r="AI6" cm="1">
        <f t="array" aca="1" ref="AI6" ca="1">IFERROR(INDIRECT("FINI_grouping_for_wheel[@["&amp;FINI_grouping_for_wheel[[#This Row],[Selected PV]]&amp;"]]"),"")</f>
        <v>72</v>
      </c>
      <c r="AJ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22.3</v>
      </c>
      <c r="AL6" s="4"/>
      <c r="AM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v>
      </c>
      <c r="AN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 s="2" t="str">
        <f>_xlfn.CONCAT(FINI_grouping_for_wheel[[#This Row],[Recipe Combination]],FINI_grouping_for_wheel[[#This Row],[Subgroup]])</f>
        <v>A11</v>
      </c>
    </row>
    <row r="7" spans="1:55" hidden="1">
      <c r="A7" t="s">
        <v>10</v>
      </c>
      <c r="B7">
        <v>4997218</v>
      </c>
      <c r="C7" t="s">
        <v>87</v>
      </c>
      <c r="D7">
        <v>8403.53398913</v>
      </c>
      <c r="E7">
        <v>384</v>
      </c>
      <c r="F7">
        <v>7.68</v>
      </c>
      <c r="G7" t="s">
        <v>122</v>
      </c>
      <c r="H7" t="s">
        <v>123</v>
      </c>
      <c r="I7">
        <v>300</v>
      </c>
      <c r="J7" t="s">
        <v>90</v>
      </c>
      <c r="K7" t="s">
        <v>124</v>
      </c>
      <c r="L7" t="s">
        <v>125</v>
      </c>
      <c r="M7">
        <v>3291.2559</v>
      </c>
      <c r="N7">
        <v>13.1650236</v>
      </c>
      <c r="O7">
        <v>4984.24005</v>
      </c>
      <c r="P7">
        <v>3220544.80607</v>
      </c>
      <c r="Q7">
        <v>0.66033254156769594</v>
      </c>
      <c r="R7">
        <v>5549.12695719</v>
      </c>
      <c r="S7" t="s">
        <v>126</v>
      </c>
      <c r="T7" t="s">
        <v>93</v>
      </c>
      <c r="U7">
        <v>10</v>
      </c>
      <c r="V7" t="s">
        <v>127</v>
      </c>
      <c r="W7" t="s">
        <v>95</v>
      </c>
      <c r="X7" t="s">
        <v>128</v>
      </c>
      <c r="Y7" s="23" t="s">
        <v>129</v>
      </c>
      <c r="AA7">
        <v>638</v>
      </c>
      <c r="AB7" t="s">
        <v>130</v>
      </c>
      <c r="AC7" t="s">
        <v>99</v>
      </c>
      <c r="AD7" s="2">
        <v>7</v>
      </c>
      <c r="AE7" s="2" t="s">
        <v>70</v>
      </c>
      <c r="AF7" t="str">
        <f>_xlfn.CONCAT(FINI_grouping_for_wheel[[#This Row],[SEFI/Plant]],"/",IF(FINI_grouping_for_wheel[[#This Row],[RESET recipe combination]]&lt;&gt;"",FINI_grouping_for_wheel[[#This Row],[RESET recipe combination]],FINI_grouping_for_wheel[[#This Row],[Recipe Combination]]),"/",FINI_grouping_for_wheel[[#This Row],[Subgroup]])</f>
        <v>4997218/THDP/x/7</v>
      </c>
      <c r="AG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0.1775790482274034</v>
      </c>
      <c r="AH7">
        <f>_xlfn.LET(_xlpm.pct, FINI_grouping_for_wheel[[#This Row],[% forecast within subgroup]], _xlpm.lote, FINI_grouping_for_wheel[[#This Row],[Lot size considered]], _xlpm.pct*_xlpm.lote)</f>
        <v>1492.2915675363397</v>
      </c>
      <c r="AI7" cm="1">
        <f t="array" aca="1" ref="AI7" ca="1">IFERROR(INDIRECT("FINI_grouping_for_wheel[@["&amp;FINI_grouping_for_wheel[[#This Row],[Selected PV]]&amp;"]]"),"")</f>
        <v>100</v>
      </c>
      <c r="AJ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5.2</v>
      </c>
      <c r="AL7" s="4"/>
      <c r="AM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100</v>
      </c>
      <c r="AN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 s="2" t="str">
        <f>_xlfn.CONCAT(FINI_grouping_for_wheel[[#This Row],[Recipe Combination]],FINI_grouping_for_wheel[[#This Row],[Subgroup]])</f>
        <v>E7</v>
      </c>
    </row>
    <row r="8" spans="1:55" hidden="1">
      <c r="A8" t="s">
        <v>10</v>
      </c>
      <c r="B8">
        <v>4997218</v>
      </c>
      <c r="C8" t="s">
        <v>87</v>
      </c>
      <c r="D8">
        <v>8403.53398913</v>
      </c>
      <c r="E8">
        <v>384</v>
      </c>
      <c r="F8">
        <v>7.68</v>
      </c>
      <c r="G8" t="s">
        <v>131</v>
      </c>
      <c r="H8" t="s">
        <v>132</v>
      </c>
      <c r="I8">
        <v>280</v>
      </c>
      <c r="J8" t="s">
        <v>90</v>
      </c>
      <c r="K8" t="s">
        <v>133</v>
      </c>
      <c r="L8" t="s">
        <v>134</v>
      </c>
      <c r="M8">
        <v>100.631925</v>
      </c>
      <c r="N8">
        <v>0.4025277</v>
      </c>
      <c r="O8">
        <v>4984.24005</v>
      </c>
      <c r="P8">
        <v>3220544.80607</v>
      </c>
      <c r="Q8">
        <v>2.0190023752969122E-2</v>
      </c>
      <c r="R8">
        <v>169.667550849</v>
      </c>
      <c r="S8" t="s">
        <v>126</v>
      </c>
      <c r="T8" t="s">
        <v>93</v>
      </c>
      <c r="U8">
        <v>5</v>
      </c>
      <c r="V8" t="s">
        <v>135</v>
      </c>
      <c r="W8" t="s">
        <v>95</v>
      </c>
      <c r="X8" t="s">
        <v>128</v>
      </c>
      <c r="Y8" s="23" t="s">
        <v>136</v>
      </c>
      <c r="AA8">
        <v>20877</v>
      </c>
      <c r="AB8" t="s">
        <v>137</v>
      </c>
      <c r="AC8" t="s">
        <v>99</v>
      </c>
      <c r="AD8" s="2">
        <v>7</v>
      </c>
      <c r="AE8" s="2" t="s">
        <v>70</v>
      </c>
      <c r="AF8" t="str">
        <f>_xlfn.CONCAT(FINI_grouping_for_wheel[[#This Row],[SEFI/Plant]],"/",IF(FINI_grouping_for_wheel[[#This Row],[RESET recipe combination]]&lt;&gt;"",FINI_grouping_for_wheel[[#This Row],[RESET recipe combination]],FINI_grouping_for_wheel[[#This Row],[Recipe Combination]]),"/",FINI_grouping_for_wheel[[#This Row],[Subgroup]])</f>
        <v>4997218/THDP/x/7</v>
      </c>
      <c r="AG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0.005429575215586075</v>
      </c>
      <c r="AH8">
        <f>_xlfn.LET(_xlpm.pct, FINI_grouping_for_wheel[[#This Row],[% forecast within subgroup]], _xlpm.lote, FINI_grouping_for_wheel[[#This Row],[Lot size considered]], _xlpm.pct*_xlpm.lote)</f>
        <v>45.62761987071542</v>
      </c>
      <c r="AI8" cm="1">
        <f t="array" aca="1" ref="AI8" ca="1">IFERROR(INDIRECT("FINI_grouping_for_wheel[@["&amp;FINI_grouping_for_wheel[[#This Row],[Selected PV]]&amp;"]]"),"")</f>
        <v>100</v>
      </c>
      <c r="AJ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8" s="4"/>
      <c r="AM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100</v>
      </c>
      <c r="AN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 s="2" t="str">
        <f>_xlfn.CONCAT(FINI_grouping_for_wheel[[#This Row],[Recipe Combination]],FINI_grouping_for_wheel[[#This Row],[Subgroup]])</f>
        <v>E7</v>
      </c>
    </row>
    <row r="9" spans="1:55" hidden="1">
      <c r="A9" t="s">
        <v>10</v>
      </c>
      <c r="B9">
        <v>4997218</v>
      </c>
      <c r="C9" t="s">
        <v>87</v>
      </c>
      <c r="D9">
        <v>8403.53398913</v>
      </c>
      <c r="E9">
        <v>384</v>
      </c>
      <c r="F9">
        <v>7.68</v>
      </c>
      <c r="G9" t="s">
        <v>138</v>
      </c>
      <c r="H9" t="s">
        <v>139</v>
      </c>
      <c r="I9">
        <v>280</v>
      </c>
      <c r="J9" t="s">
        <v>90</v>
      </c>
      <c r="K9" t="s">
        <v>140</v>
      </c>
      <c r="L9" t="s">
        <v>141</v>
      </c>
      <c r="M9">
        <v>1592.352225</v>
      </c>
      <c r="N9">
        <v>6.3694089</v>
      </c>
      <c r="O9">
        <v>4984.24005</v>
      </c>
      <c r="P9">
        <v>3220544.80607</v>
      </c>
      <c r="Q9">
        <v>0.31947743467933493</v>
      </c>
      <c r="R9">
        <v>2684.73948109</v>
      </c>
      <c r="S9" t="s">
        <v>126</v>
      </c>
      <c r="T9" t="s">
        <v>93</v>
      </c>
      <c r="U9">
        <v>5</v>
      </c>
      <c r="V9" t="s">
        <v>135</v>
      </c>
      <c r="W9" t="s">
        <v>142</v>
      </c>
      <c r="X9" t="s">
        <v>128</v>
      </c>
      <c r="Y9" s="23" t="s">
        <v>136</v>
      </c>
      <c r="AA9">
        <v>1319</v>
      </c>
      <c r="AB9" t="s">
        <v>143</v>
      </c>
      <c r="AC9" t="s">
        <v>99</v>
      </c>
      <c r="AD9" s="2">
        <v>7</v>
      </c>
      <c r="AE9" s="2" t="s">
        <v>70</v>
      </c>
      <c r="AF9" t="str">
        <f>_xlfn.CONCAT(FINI_grouping_for_wheel[[#This Row],[SEFI/Plant]],"/",IF(FINI_grouping_for_wheel[[#This Row],[RESET recipe combination]]&lt;&gt;"",FINI_grouping_for_wheel[[#This Row],[RESET recipe combination]],FINI_grouping_for_wheel[[#This Row],[Recipe Combination]]),"/",FINI_grouping_for_wheel[[#This Row],[Subgroup]])</f>
        <v>4997218/THDP/x/7</v>
      </c>
      <c r="AG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0.08591504311721496</v>
      </c>
      <c r="AH9">
        <f>_xlfn.LET(_xlpm.pct, FINI_grouping_for_wheel[[#This Row],[% forecast within subgroup]], _xlpm.lote, FINI_grouping_for_wheel[[#This Row],[Lot size considered]], _xlpm.pct*_xlpm.lote)</f>
        <v>721.9899850130853</v>
      </c>
      <c r="AI9" cm="1">
        <f t="array" aca="1" ref="AI9" ca="1">IFERROR(INDIRECT("FINI_grouping_for_wheel[@["&amp;FINI_grouping_for_wheel[[#This Row],[Selected PV]]&amp;"]]"),"")</f>
        <v>100</v>
      </c>
      <c r="AJ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v>
      </c>
      <c r="AL9" s="4"/>
      <c r="AM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100</v>
      </c>
      <c r="AN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 s="2" t="str">
        <f>_xlfn.CONCAT(FINI_grouping_for_wheel[[#This Row],[Recipe Combination]],FINI_grouping_for_wheel[[#This Row],[Subgroup]])</f>
        <v>E7</v>
      </c>
    </row>
    <row r="10" spans="1:55" hidden="1">
      <c r="A10" t="s">
        <v>10</v>
      </c>
      <c r="B10">
        <v>4997218</v>
      </c>
      <c r="C10" t="s">
        <v>87</v>
      </c>
      <c r="D10">
        <v>8403.53398913</v>
      </c>
      <c r="E10">
        <v>384</v>
      </c>
      <c r="F10">
        <v>7.68</v>
      </c>
      <c r="G10" t="s">
        <v>144</v>
      </c>
      <c r="H10" t="s">
        <v>145</v>
      </c>
      <c r="I10">
        <v>360</v>
      </c>
      <c r="J10" t="s">
        <v>90</v>
      </c>
      <c r="K10" t="s">
        <v>146</v>
      </c>
      <c r="L10" t="s">
        <v>147</v>
      </c>
      <c r="M10">
        <v>14082.549975</v>
      </c>
      <c r="N10">
        <v>56.3301999</v>
      </c>
      <c r="O10">
        <v>14082.549975</v>
      </c>
      <c r="P10">
        <v>3220544.80607</v>
      </c>
      <c r="Q10">
        <v>1</v>
      </c>
      <c r="R10">
        <v>8403.53398913</v>
      </c>
      <c r="S10" t="s">
        <v>148</v>
      </c>
      <c r="T10" t="s">
        <v>93</v>
      </c>
      <c r="U10">
        <v>0.5</v>
      </c>
      <c r="V10" t="s">
        <v>149</v>
      </c>
      <c r="W10" t="s">
        <v>142</v>
      </c>
      <c r="X10" t="s">
        <v>150</v>
      </c>
      <c r="Y10" s="23" t="s">
        <v>151</v>
      </c>
      <c r="AA10">
        <v>149</v>
      </c>
      <c r="AB10" t="s">
        <v>152</v>
      </c>
      <c r="AC10" t="s">
        <v>99</v>
      </c>
      <c r="AD10" s="28">
        <v>12</v>
      </c>
      <c r="AE10" s="2" t="s">
        <v>70</v>
      </c>
      <c r="AF10" t="str">
        <f>_xlfn.CONCAT(FINI_grouping_for_wheel[[#This Row],[SEFI/Plant]],"/",IF(FINI_grouping_for_wheel[[#This Row],[RESET recipe combination]]&lt;&gt;"",FINI_grouping_for_wheel[[#This Row],[RESET recipe combination]],FINI_grouping_for_wheel[[#This Row],[Recipe Combination]]),"/",FINI_grouping_for_wheel[[#This Row],[Subgroup]])</f>
        <v>4997218/THDP/x/12</v>
      </c>
      <c r="AG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0">
        <f>_xlfn.LET(_xlpm.pct, FINI_grouping_for_wheel[[#This Row],[% forecast within subgroup]], _xlpm.lote, FINI_grouping_for_wheel[[#This Row],[Lot size considered]], _xlpm.pct*_xlpm.lote)</f>
        <v>8403.53398913</v>
      </c>
      <c r="AI10" cm="1">
        <f t="array" aca="1" ref="AI10" ca="1">IFERROR(INDIRECT("FINI_grouping_for_wheel[@["&amp;FINI_grouping_for_wheel[[#This Row],[Selected PV]]&amp;"]]"),"")</f>
        <v>131</v>
      </c>
      <c r="AJ1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24.2</v>
      </c>
      <c r="AL10" s="4"/>
      <c r="AM1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131</v>
      </c>
      <c r="AN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 s="2" t="str">
        <f>_xlfn.CONCAT(FINI_grouping_for_wheel[[#This Row],[Recipe Combination]],FINI_grouping_for_wheel[[#This Row],[Subgroup]])</f>
        <v>I12</v>
      </c>
    </row>
    <row r="11" spans="1:55" hidden="1">
      <c r="A11" t="s">
        <v>10</v>
      </c>
      <c r="B11">
        <v>4997218</v>
      </c>
      <c r="C11" t="s">
        <v>87</v>
      </c>
      <c r="D11">
        <v>8403.53398913</v>
      </c>
      <c r="E11">
        <v>384</v>
      </c>
      <c r="F11">
        <v>7.68</v>
      </c>
      <c r="G11" t="s">
        <v>153</v>
      </c>
      <c r="H11" t="s">
        <v>154</v>
      </c>
      <c r="I11">
        <v>360</v>
      </c>
      <c r="J11" t="s">
        <v>90</v>
      </c>
      <c r="K11" t="s">
        <v>155</v>
      </c>
      <c r="L11" t="s">
        <v>156</v>
      </c>
      <c r="M11">
        <v>38263.8096</v>
      </c>
      <c r="N11">
        <v>153.0552384</v>
      </c>
      <c r="O11">
        <v>38263.8096</v>
      </c>
      <c r="P11">
        <v>3220544.80607</v>
      </c>
      <c r="Q11">
        <v>1</v>
      </c>
      <c r="R11">
        <v>8403.53398913</v>
      </c>
      <c r="S11" t="s">
        <v>157</v>
      </c>
      <c r="T11" t="s">
        <v>93</v>
      </c>
      <c r="U11">
        <v>10</v>
      </c>
      <c r="V11" t="s">
        <v>158</v>
      </c>
      <c r="W11" t="s">
        <v>159</v>
      </c>
      <c r="X11" t="s">
        <v>96</v>
      </c>
      <c r="Y11" s="23" t="s">
        <v>97</v>
      </c>
      <c r="AA11">
        <v>55</v>
      </c>
      <c r="AB11" t="s">
        <v>160</v>
      </c>
      <c r="AC11" t="s">
        <v>99</v>
      </c>
      <c r="AD11" s="2">
        <v>9</v>
      </c>
      <c r="AE11" s="2" t="s">
        <v>70</v>
      </c>
      <c r="AF11" t="str">
        <f>_xlfn.CONCAT(FINI_grouping_for_wheel[[#This Row],[SEFI/Plant]],"/",IF(FINI_grouping_for_wheel[[#This Row],[RESET recipe combination]]&lt;&gt;"",FINI_grouping_for_wheel[[#This Row],[RESET recipe combination]],FINI_grouping_for_wheel[[#This Row],[Recipe Combination]]),"/",FINI_grouping_for_wheel[[#This Row],[Subgroup]])</f>
        <v>4997218/THDP/x/9</v>
      </c>
      <c r="AG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0.9714457469191463</v>
      </c>
      <c r="AH11">
        <f>_xlfn.LET(_xlpm.pct, FINI_grouping_for_wheel[[#This Row],[% forecast within subgroup]], _xlpm.lote, FINI_grouping_for_wheel[[#This Row],[Lot size considered]], _xlpm.pct*_xlpm.lote)</f>
        <v>8163.5773528308255</v>
      </c>
      <c r="AI11" cm="1">
        <f t="array" aca="1" ref="AI11" ca="1">IFERROR(INDIRECT("FINI_grouping_for_wheel[@["&amp;FINI_grouping_for_wheel[[#This Row],[Selected PV]]&amp;"]]"),"")</f>
        <v>47</v>
      </c>
      <c r="AJ1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23.5</v>
      </c>
      <c r="AL11" s="4"/>
      <c r="AM1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47</v>
      </c>
      <c r="AN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1" s="2" t="str">
        <f>_xlfn.CONCAT(FINI_grouping_for_wheel[[#This Row],[Recipe Combination]],FINI_grouping_for_wheel[[#This Row],[Subgroup]])</f>
        <v>M9</v>
      </c>
    </row>
    <row r="12" spans="1:55" hidden="1">
      <c r="A12" t="s">
        <v>10</v>
      </c>
      <c r="B12">
        <v>4997218</v>
      </c>
      <c r="C12" t="s">
        <v>87</v>
      </c>
      <c r="D12">
        <v>8403.53398913</v>
      </c>
      <c r="E12">
        <v>384</v>
      </c>
      <c r="F12">
        <v>7.68</v>
      </c>
      <c r="G12" t="s">
        <v>161</v>
      </c>
      <c r="H12" t="s">
        <v>162</v>
      </c>
      <c r="I12">
        <v>360</v>
      </c>
      <c r="J12" t="s">
        <v>90</v>
      </c>
      <c r="K12" t="s">
        <v>163</v>
      </c>
      <c r="L12" t="s">
        <v>164</v>
      </c>
      <c r="M12">
        <v>26460.27675</v>
      </c>
      <c r="N12">
        <v>105.841107</v>
      </c>
      <c r="O12">
        <v>26460.27675</v>
      </c>
      <c r="P12">
        <v>3220544.80607</v>
      </c>
      <c r="Q12">
        <v>1</v>
      </c>
      <c r="R12">
        <v>8403.53398913</v>
      </c>
      <c r="S12" t="s">
        <v>165</v>
      </c>
      <c r="T12" t="s">
        <v>93</v>
      </c>
      <c r="U12">
        <v>2.5</v>
      </c>
      <c r="V12" t="s">
        <v>166</v>
      </c>
      <c r="W12" t="s">
        <v>95</v>
      </c>
      <c r="X12" t="s">
        <v>96</v>
      </c>
      <c r="Y12" s="23" t="s">
        <v>167</v>
      </c>
      <c r="AA12">
        <v>79</v>
      </c>
      <c r="AB12" t="s">
        <v>168</v>
      </c>
      <c r="AC12" t="s">
        <v>99</v>
      </c>
      <c r="AD12" s="2">
        <v>13</v>
      </c>
      <c r="AE12" s="2" t="s">
        <v>70</v>
      </c>
      <c r="AF12" t="str">
        <f>_xlfn.CONCAT(FINI_grouping_for_wheel[[#This Row],[SEFI/Plant]],"/",IF(FINI_grouping_for_wheel[[#This Row],[RESET recipe combination]]&lt;&gt;"",FINI_grouping_for_wheel[[#This Row],[RESET recipe combination]],FINI_grouping_for_wheel[[#This Row],[Recipe Combination]]),"/",FINI_grouping_for_wheel[[#This Row],[Subgroup]])</f>
        <v>4997218/THDP/x/13</v>
      </c>
      <c r="AG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2">
        <f>_xlfn.LET(_xlpm.pct, FINI_grouping_for_wheel[[#This Row],[% forecast within subgroup]], _xlpm.lote, FINI_grouping_for_wheel[[#This Row],[Lot size considered]], _xlpm.pct*_xlpm.lote)</f>
        <v>8403.53398913</v>
      </c>
      <c r="AI12" cm="1">
        <f t="array" aca="1" ref="AI12" ca="1">IFERROR(INDIRECT("FINI_grouping_for_wheel[@["&amp;FINI_grouping_for_wheel[[#This Row],[Selected PV]]&amp;"]]"),"")</f>
        <v>70</v>
      </c>
      <c r="AJ1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24.2</v>
      </c>
      <c r="AL12" s="4"/>
      <c r="AM1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v>
      </c>
      <c r="AN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2" s="2" t="str">
        <f>_xlfn.CONCAT(FINI_grouping_for_wheel[[#This Row],[Recipe Combination]],FINI_grouping_for_wheel[[#This Row],[Subgroup]])</f>
        <v>N13</v>
      </c>
    </row>
    <row r="13" spans="1:55" hidden="1">
      <c r="A13" t="s">
        <v>10</v>
      </c>
      <c r="B13">
        <v>4997218</v>
      </c>
      <c r="C13" t="s">
        <v>87</v>
      </c>
      <c r="D13">
        <v>8403.53398913</v>
      </c>
      <c r="E13">
        <v>384</v>
      </c>
      <c r="F13">
        <v>7.68</v>
      </c>
      <c r="G13" t="s">
        <v>169</v>
      </c>
      <c r="H13" t="s">
        <v>170</v>
      </c>
      <c r="I13">
        <v>375</v>
      </c>
      <c r="J13" t="s">
        <v>90</v>
      </c>
      <c r="K13" t="s">
        <v>171</v>
      </c>
      <c r="L13" t="s">
        <v>172</v>
      </c>
      <c r="M13">
        <v>8630.66745</v>
      </c>
      <c r="N13">
        <v>34.5226698</v>
      </c>
      <c r="O13">
        <v>64889.83305</v>
      </c>
      <c r="P13">
        <v>3220544.80607</v>
      </c>
      <c r="Q13">
        <v>0.13300492610837439</v>
      </c>
      <c r="R13">
        <v>1117.71141727</v>
      </c>
      <c r="S13" t="s">
        <v>173</v>
      </c>
      <c r="T13" t="s">
        <v>93</v>
      </c>
      <c r="U13">
        <v>5</v>
      </c>
      <c r="V13" t="s">
        <v>174</v>
      </c>
      <c r="W13" t="s">
        <v>95</v>
      </c>
      <c r="X13" t="s">
        <v>96</v>
      </c>
      <c r="Y13" s="23" t="s">
        <v>167</v>
      </c>
      <c r="AA13">
        <v>243</v>
      </c>
      <c r="AB13" t="s">
        <v>175</v>
      </c>
      <c r="AC13" t="s">
        <v>99</v>
      </c>
      <c r="AD13" s="2">
        <v>10</v>
      </c>
      <c r="AE13" s="2" t="s">
        <v>70</v>
      </c>
      <c r="AF13" t="str">
        <f>_xlfn.CONCAT(FINI_grouping_for_wheel[[#This Row],[SEFI/Plant]],"/",IF(FINI_grouping_for_wheel[[#This Row],[RESET recipe combination]]&lt;&gt;"",FINI_grouping_for_wheel[[#This Row],[RESET recipe combination]],FINI_grouping_for_wheel[[#This Row],[Recipe Combination]]),"/",FINI_grouping_for_wheel[[#This Row],[Subgroup]])</f>
        <v>4997218/THDP/x/10</v>
      </c>
      <c r="AG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0.2078107183580388</v>
      </c>
      <c r="AH13">
        <f>_xlfn.LET(_xlpm.pct, FINI_grouping_for_wheel[[#This Row],[% forecast within subgroup]], _xlpm.lote, FINI_grouping_for_wheel[[#This Row],[Lot size considered]], _xlpm.pct*_xlpm.lote)</f>
        <v>1746.3444350273005</v>
      </c>
      <c r="AI13" cm="1">
        <f t="array" aca="1" ref="AI13" ca="1">IFERROR(INDIRECT("FINI_grouping_for_wheel[@["&amp;FINI_grouping_for_wheel[[#This Row],[Selected PV]]&amp;"]]"),"")</f>
        <v>45</v>
      </c>
      <c r="AJ1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4.8</v>
      </c>
      <c r="AL13" s="4"/>
      <c r="AM1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45</v>
      </c>
      <c r="AN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3" s="2" t="str">
        <f>_xlfn.CONCAT(FINI_grouping_for_wheel[[#This Row],[Recipe Combination]],FINI_grouping_for_wheel[[#This Row],[Subgroup]])</f>
        <v>P10</v>
      </c>
    </row>
    <row r="14" spans="1:55" hidden="1">
      <c r="A14" t="s">
        <v>10</v>
      </c>
      <c r="B14">
        <v>4997218</v>
      </c>
      <c r="C14" t="s">
        <v>87</v>
      </c>
      <c r="D14">
        <v>8403.53398913</v>
      </c>
      <c r="E14">
        <v>384</v>
      </c>
      <c r="F14">
        <v>7.68</v>
      </c>
      <c r="G14" t="s">
        <v>176</v>
      </c>
      <c r="H14" t="s">
        <v>177</v>
      </c>
      <c r="I14">
        <v>300</v>
      </c>
      <c r="J14" t="s">
        <v>90</v>
      </c>
      <c r="K14" t="s">
        <v>178</v>
      </c>
      <c r="L14" t="s">
        <v>179</v>
      </c>
      <c r="M14">
        <v>32900.71995</v>
      </c>
      <c r="N14">
        <v>131.6028798</v>
      </c>
      <c r="O14">
        <v>64889.83305</v>
      </c>
      <c r="P14">
        <v>3220544.80607</v>
      </c>
      <c r="Q14">
        <v>0.50702426564495529</v>
      </c>
      <c r="R14">
        <v>4260.79564966</v>
      </c>
      <c r="S14" t="s">
        <v>173</v>
      </c>
      <c r="T14" t="s">
        <v>93</v>
      </c>
      <c r="U14">
        <v>5</v>
      </c>
      <c r="V14" t="s">
        <v>174</v>
      </c>
      <c r="W14" t="s">
        <v>95</v>
      </c>
      <c r="X14" t="s">
        <v>96</v>
      </c>
      <c r="Y14" s="23" t="s">
        <v>167</v>
      </c>
      <c r="AA14">
        <v>64</v>
      </c>
      <c r="AB14" t="s">
        <v>180</v>
      </c>
      <c r="AC14" t="s">
        <v>99</v>
      </c>
      <c r="AD14" s="2">
        <v>10</v>
      </c>
      <c r="AE14" s="2" t="s">
        <v>70</v>
      </c>
      <c r="AF14" t="str">
        <f>_xlfn.CONCAT(FINI_grouping_for_wheel[[#This Row],[SEFI/Plant]],"/",IF(FINI_grouping_for_wheel[[#This Row],[RESET recipe combination]]&lt;&gt;"",FINI_grouping_for_wheel[[#This Row],[RESET recipe combination]],FINI_grouping_for_wheel[[#This Row],[Recipe Combination]]),"/",FINI_grouping_for_wheel[[#This Row],[Subgroup]])</f>
        <v>4997218/THDP/x/10</v>
      </c>
      <c r="AG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0.7921892816419612</v>
      </c>
      <c r="AH14">
        <f>_xlfn.LET(_xlpm.pct, FINI_grouping_for_wheel[[#This Row],[% forecast within subgroup]], _xlpm.lote, FINI_grouping_for_wheel[[#This Row],[Lot size considered]], _xlpm.pct*_xlpm.lote)</f>
        <v>6657.189554102699</v>
      </c>
      <c r="AI14" cm="1">
        <f t="array" aca="1" ref="AI14" ca="1">IFERROR(INDIRECT("FINI_grouping_for_wheel[@["&amp;FINI_grouping_for_wheel[[#This Row],[Selected PV]]&amp;"]]"),"")</f>
        <v>45</v>
      </c>
      <c r="AJ1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v>
      </c>
      <c r="AL14" s="4"/>
      <c r="AM1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45</v>
      </c>
      <c r="AN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4" s="2" t="str">
        <f>_xlfn.CONCAT(FINI_grouping_for_wheel[[#This Row],[Recipe Combination]],FINI_grouping_for_wheel[[#This Row],[Subgroup]])</f>
        <v>P10</v>
      </c>
    </row>
    <row r="15" spans="1:55" hidden="1">
      <c r="A15" t="s">
        <v>10</v>
      </c>
      <c r="B15">
        <v>4997218</v>
      </c>
      <c r="C15" t="s">
        <v>87</v>
      </c>
      <c r="D15">
        <v>8403.53398913</v>
      </c>
      <c r="E15">
        <v>384</v>
      </c>
      <c r="F15">
        <v>7.68</v>
      </c>
      <c r="G15" t="s">
        <v>181</v>
      </c>
      <c r="H15" t="s">
        <v>182</v>
      </c>
      <c r="I15">
        <v>300</v>
      </c>
      <c r="J15" t="s">
        <v>90</v>
      </c>
      <c r="K15" t="s">
        <v>183</v>
      </c>
      <c r="L15" t="s">
        <v>184</v>
      </c>
      <c r="M15">
        <v>9808.652925</v>
      </c>
      <c r="N15">
        <v>39.2346117</v>
      </c>
      <c r="O15">
        <v>64889.83305</v>
      </c>
      <c r="P15">
        <v>3220544.80607</v>
      </c>
      <c r="Q15">
        <v>0.15115854771027185</v>
      </c>
      <c r="R15">
        <v>1270.26599343</v>
      </c>
      <c r="S15" t="s">
        <v>173</v>
      </c>
      <c r="T15" t="s">
        <v>93</v>
      </c>
      <c r="U15">
        <v>5</v>
      </c>
      <c r="V15" t="s">
        <v>174</v>
      </c>
      <c r="W15" t="s">
        <v>95</v>
      </c>
      <c r="X15" t="s">
        <v>96</v>
      </c>
      <c r="Y15" s="23" t="s">
        <v>167</v>
      </c>
      <c r="AA15">
        <v>214</v>
      </c>
      <c r="AB15" t="s">
        <v>185</v>
      </c>
      <c r="AC15" t="s">
        <v>99</v>
      </c>
      <c r="AD15" s="2">
        <v>11</v>
      </c>
      <c r="AE15" s="2" t="s">
        <v>70</v>
      </c>
      <c r="AF15" t="str">
        <f>_xlfn.CONCAT(FINI_grouping_for_wheel[[#This Row],[SEFI/Plant]],"/",IF(FINI_grouping_for_wheel[[#This Row],[RESET recipe combination]]&lt;&gt;"",FINI_grouping_for_wheel[[#This Row],[RESET recipe combination]],FINI_grouping_for_wheel[[#This Row],[Recipe Combination]]),"/",FINI_grouping_for_wheel[[#This Row],[Subgroup]])</f>
        <v>4997218/THDP/x/11</v>
      </c>
      <c r="AG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0.3838313643734075</v>
      </c>
      <c r="AH15">
        <f>_xlfn.LET(_xlpm.pct, FINI_grouping_for_wheel[[#This Row],[% forecast within subgroup]], _xlpm.lote, FINI_grouping_for_wheel[[#This Row],[Lot size considered]], _xlpm.pct*_xlpm.lote)</f>
        <v>3225.539916606071</v>
      </c>
      <c r="AI15" cm="1">
        <f t="array" aca="1" ref="AI15" ca="1">IFERROR(INDIRECT("FINI_grouping_for_wheel[@["&amp;FINI_grouping_for_wheel[[#This Row],[Selected PV]]&amp;"]]"),"")</f>
        <v>72</v>
      </c>
      <c r="AJ1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11.1</v>
      </c>
      <c r="AL15" s="4"/>
      <c r="AM1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v>
      </c>
      <c r="AN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5" s="2" t="str">
        <f>_xlfn.CONCAT(FINI_grouping_for_wheel[[#This Row],[Recipe Combination]],FINI_grouping_for_wheel[[#This Row],[Subgroup]])</f>
        <v>P11</v>
      </c>
    </row>
    <row r="16" spans="1:55" hidden="1">
      <c r="A16" t="s">
        <v>10</v>
      </c>
      <c r="B16">
        <v>4997218</v>
      </c>
      <c r="C16" t="s">
        <v>87</v>
      </c>
      <c r="D16">
        <v>8403.53398913</v>
      </c>
      <c r="E16">
        <v>384</v>
      </c>
      <c r="F16">
        <v>7.68</v>
      </c>
      <c r="G16" t="s">
        <v>186</v>
      </c>
      <c r="H16" t="s">
        <v>187</v>
      </c>
      <c r="I16">
        <v>240</v>
      </c>
      <c r="J16" t="s">
        <v>90</v>
      </c>
      <c r="K16" t="s">
        <v>188</v>
      </c>
      <c r="L16" t="s">
        <v>189</v>
      </c>
      <c r="M16">
        <v>13549.792725</v>
      </c>
      <c r="N16">
        <v>54.1991709</v>
      </c>
      <c r="O16">
        <v>64889.83305</v>
      </c>
      <c r="P16">
        <v>3220544.80607</v>
      </c>
      <c r="Q16">
        <v>0.20881226053639848</v>
      </c>
      <c r="R16">
        <v>1754.76092877</v>
      </c>
      <c r="S16" t="s">
        <v>173</v>
      </c>
      <c r="T16" t="s">
        <v>93</v>
      </c>
      <c r="U16">
        <v>5</v>
      </c>
      <c r="V16" t="s">
        <v>119</v>
      </c>
      <c r="W16" t="s">
        <v>142</v>
      </c>
      <c r="X16" t="s">
        <v>96</v>
      </c>
      <c r="Y16" s="23" t="s">
        <v>120</v>
      </c>
      <c r="AA16">
        <v>155</v>
      </c>
      <c r="AB16" t="s">
        <v>190</v>
      </c>
      <c r="AC16" t="s">
        <v>99</v>
      </c>
      <c r="AD16" s="2">
        <v>7</v>
      </c>
      <c r="AE16" s="2" t="s">
        <v>70</v>
      </c>
      <c r="AF16" t="str">
        <f>_xlfn.CONCAT(FINI_grouping_for_wheel[[#This Row],[SEFI/Plant]],"/",IF(FINI_grouping_for_wheel[[#This Row],[RESET recipe combination]]&lt;&gt;"",FINI_grouping_for_wheel[[#This Row],[RESET recipe combination]],FINI_grouping_for_wheel[[#This Row],[Recipe Combination]]),"/",FINI_grouping_for_wheel[[#This Row],[Subgroup]])</f>
        <v>4997218/THDP/x/7</v>
      </c>
      <c r="AG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0.7310763334397956</v>
      </c>
      <c r="AH16">
        <f>_xlfn.LET(_xlpm.pct, FINI_grouping_for_wheel[[#This Row],[% forecast within subgroup]], _xlpm.lote, FINI_grouping_for_wheel[[#This Row],[Lot size considered]], _xlpm.pct*_xlpm.lote)</f>
        <v>6143.624816709859</v>
      </c>
      <c r="AI16" cm="1">
        <f t="array" aca="1" ref="AI16" ca="1">IFERROR(INDIRECT("FINI_grouping_for_wheel[@["&amp;FINI_grouping_for_wheel[[#This Row],[Selected PV]]&amp;"]]"),"")</f>
        <v>100</v>
      </c>
      <c r="AJ1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26.5</v>
      </c>
      <c r="AL16" s="4"/>
      <c r="AM1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100</v>
      </c>
      <c r="AN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6" s="2" t="str">
        <f>_xlfn.CONCAT(FINI_grouping_for_wheel[[#This Row],[Recipe Combination]],FINI_grouping_for_wheel[[#This Row],[Subgroup]])</f>
        <v>P7</v>
      </c>
    </row>
    <row r="17" spans="1:55" hidden="1">
      <c r="A17" t="s">
        <v>10</v>
      </c>
      <c r="B17">
        <v>4997218</v>
      </c>
      <c r="C17" t="s">
        <v>87</v>
      </c>
      <c r="D17">
        <v>8403.53398913</v>
      </c>
      <c r="E17">
        <v>384</v>
      </c>
      <c r="F17">
        <v>7.68</v>
      </c>
      <c r="G17" t="s">
        <v>191</v>
      </c>
      <c r="H17" t="s">
        <v>192</v>
      </c>
      <c r="I17">
        <v>288</v>
      </c>
      <c r="J17" t="s">
        <v>90</v>
      </c>
      <c r="K17" t="s">
        <v>193</v>
      </c>
      <c r="L17" t="s">
        <v>194</v>
      </c>
      <c r="M17">
        <v>2166.54615</v>
      </c>
      <c r="N17">
        <v>8.6661846</v>
      </c>
      <c r="O17">
        <v>4801.91868</v>
      </c>
      <c r="P17">
        <v>3220544.80607</v>
      </c>
      <c r="Q17">
        <v>0.45118343195266269</v>
      </c>
      <c r="R17">
        <v>3791.53530575</v>
      </c>
      <c r="S17" t="s">
        <v>195</v>
      </c>
      <c r="T17" t="s">
        <v>93</v>
      </c>
      <c r="U17">
        <v>6</v>
      </c>
      <c r="V17" t="s">
        <v>196</v>
      </c>
      <c r="W17" t="s">
        <v>95</v>
      </c>
      <c r="X17" t="s">
        <v>106</v>
      </c>
      <c r="Y17" s="23" t="s">
        <v>107</v>
      </c>
      <c r="AA17">
        <v>970</v>
      </c>
      <c r="AB17" t="s">
        <v>197</v>
      </c>
      <c r="AC17" t="s">
        <v>99</v>
      </c>
      <c r="AD17" s="2">
        <v>6</v>
      </c>
      <c r="AE17" s="2" t="s">
        <v>70</v>
      </c>
      <c r="AF17" t="str">
        <f>_xlfn.CONCAT(FINI_grouping_for_wheel[[#This Row],[SEFI/Plant]],"/",IF(FINI_grouping_for_wheel[[#This Row],[RESET recipe combination]]&lt;&gt;"",FINI_grouping_for_wheel[[#This Row],[RESET recipe combination]],FINI_grouping_for_wheel[[#This Row],[Recipe Combination]]),"/",FINI_grouping_for_wheel[[#This Row],[Subgroup]])</f>
        <v>4997218/THDP/x/6</v>
      </c>
      <c r="AG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0.10663714235767147</v>
      </c>
      <c r="AH17">
        <f>_xlfn.LET(_xlpm.pct, FINI_grouping_for_wheel[[#This Row],[% forecast within subgroup]], _xlpm.lote, FINI_grouping_for_wheel[[#This Row],[Lot size considered]], _xlpm.pct*_xlpm.lote)</f>
        <v>896.1288503063865</v>
      </c>
      <c r="AI17" cm="1">
        <f t="array" aca="1" ref="AI17" ca="1">IFERROR(INDIRECT("FINI_grouping_for_wheel[@["&amp;FINI_grouping_for_wheel[[#This Row],[Selected PV]]&amp;"]]"),"")</f>
        <v>91</v>
      </c>
      <c r="AJ1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3.2</v>
      </c>
      <c r="AL17" s="4"/>
      <c r="AM1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91</v>
      </c>
      <c r="AN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7" s="2" t="str">
        <f>_xlfn.CONCAT(FINI_grouping_for_wheel[[#This Row],[Recipe Combination]],FINI_grouping_for_wheel[[#This Row],[Subgroup]])</f>
        <v>S6</v>
      </c>
    </row>
    <row r="18" spans="1:55" hidden="1">
      <c r="A18" t="s">
        <v>10</v>
      </c>
      <c r="B18">
        <v>4997218</v>
      </c>
      <c r="C18" t="s">
        <v>87</v>
      </c>
      <c r="D18">
        <v>8403.53398913</v>
      </c>
      <c r="E18">
        <v>384</v>
      </c>
      <c r="F18">
        <v>7.68</v>
      </c>
      <c r="G18" t="s">
        <v>198</v>
      </c>
      <c r="H18" t="s">
        <v>199</v>
      </c>
      <c r="I18">
        <v>288</v>
      </c>
      <c r="J18" t="s">
        <v>90</v>
      </c>
      <c r="K18" t="s">
        <v>200</v>
      </c>
      <c r="L18" t="s">
        <v>201</v>
      </c>
      <c r="M18">
        <v>2635.37253</v>
      </c>
      <c r="N18">
        <v>10.54149012</v>
      </c>
      <c r="O18">
        <v>4801.91868</v>
      </c>
      <c r="P18">
        <v>3220544.80607</v>
      </c>
      <c r="Q18">
        <v>0.54881656804733725</v>
      </c>
      <c r="R18">
        <v>4611.99868338</v>
      </c>
      <c r="S18" t="s">
        <v>195</v>
      </c>
      <c r="T18" t="s">
        <v>93</v>
      </c>
      <c r="U18">
        <v>6</v>
      </c>
      <c r="V18" t="s">
        <v>196</v>
      </c>
      <c r="W18" t="s">
        <v>95</v>
      </c>
      <c r="X18" t="s">
        <v>106</v>
      </c>
      <c r="Y18" s="23" t="s">
        <v>107</v>
      </c>
      <c r="AA18">
        <v>797</v>
      </c>
      <c r="AB18" t="s">
        <v>202</v>
      </c>
      <c r="AC18" t="s">
        <v>99</v>
      </c>
      <c r="AD18" s="2">
        <v>6</v>
      </c>
      <c r="AE18" s="2" t="s">
        <v>70</v>
      </c>
      <c r="AF18" t="str">
        <f>_xlfn.CONCAT(FINI_grouping_for_wheel[[#This Row],[SEFI/Plant]],"/",IF(FINI_grouping_for_wheel[[#This Row],[RESET recipe combination]]&lt;&gt;"",FINI_grouping_for_wheel[[#This Row],[RESET recipe combination]],FINI_grouping_for_wheel[[#This Row],[Recipe Combination]]),"/",FINI_grouping_for_wheel[[#This Row],[Subgroup]])</f>
        <v>4997218/THDP/x/6</v>
      </c>
      <c r="AG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0.12971272070392167</v>
      </c>
      <c r="AH18">
        <f>_xlfn.LET(_xlpm.pct, FINI_grouping_for_wheel[[#This Row],[% forecast within subgroup]], _xlpm.lote, FINI_grouping_for_wheel[[#This Row],[Lot size considered]], _xlpm.pct*_xlpm.lote)</f>
        <v>1090.0452572579322</v>
      </c>
      <c r="AI18" cm="1">
        <f t="array" aca="1" ref="AI18" ca="1">IFERROR(INDIRECT("FINI_grouping_for_wheel[@["&amp;FINI_grouping_for_wheel[[#This Row],[Selected PV]]&amp;"]]"),"")</f>
        <v>91</v>
      </c>
      <c r="AJ1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3.9</v>
      </c>
      <c r="AL18" s="4"/>
      <c r="AM1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91</v>
      </c>
      <c r="AN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8" s="2" t="str">
        <f>_xlfn.CONCAT(FINI_grouping_for_wheel[[#This Row],[Recipe Combination]],FINI_grouping_for_wheel[[#This Row],[Subgroup]])</f>
        <v>S6</v>
      </c>
    </row>
    <row r="19" spans="1:55" hidden="1">
      <c r="A19" t="s">
        <v>10</v>
      </c>
      <c r="B19">
        <v>4997218</v>
      </c>
      <c r="C19" t="s">
        <v>87</v>
      </c>
      <c r="D19">
        <v>8403.53398913</v>
      </c>
      <c r="E19">
        <v>384</v>
      </c>
      <c r="F19">
        <v>7.68</v>
      </c>
      <c r="G19" t="s">
        <v>203</v>
      </c>
      <c r="H19" t="s">
        <v>204</v>
      </c>
      <c r="I19">
        <v>375</v>
      </c>
      <c r="J19" t="s">
        <v>90</v>
      </c>
      <c r="K19" t="s">
        <v>205</v>
      </c>
      <c r="L19" t="s">
        <v>206</v>
      </c>
      <c r="M19">
        <v>9680.791185</v>
      </c>
      <c r="N19">
        <v>38.72316474</v>
      </c>
      <c r="O19">
        <v>25195.86621</v>
      </c>
      <c r="P19">
        <v>3220544.80607</v>
      </c>
      <c r="Q19">
        <v>0.38422140776242836</v>
      </c>
      <c r="R19">
        <v>3228.81765948</v>
      </c>
      <c r="S19" t="s">
        <v>207</v>
      </c>
      <c r="T19" t="s">
        <v>93</v>
      </c>
      <c r="U19">
        <v>2.5</v>
      </c>
      <c r="V19" t="s">
        <v>105</v>
      </c>
      <c r="W19" t="s">
        <v>95</v>
      </c>
      <c r="X19" t="s">
        <v>106</v>
      </c>
      <c r="Y19" s="23" t="s">
        <v>107</v>
      </c>
      <c r="AA19">
        <v>217</v>
      </c>
      <c r="AB19" t="s">
        <v>208</v>
      </c>
      <c r="AC19" t="s">
        <v>99</v>
      </c>
      <c r="AD19" s="2">
        <v>8</v>
      </c>
      <c r="AE19" s="2" t="s">
        <v>70</v>
      </c>
      <c r="AF19" t="str">
        <f>_xlfn.CONCAT(FINI_grouping_for_wheel[[#This Row],[SEFI/Plant]],"/",IF(FINI_grouping_for_wheel[[#This Row],[RESET recipe combination]]&lt;&gt;"",FINI_grouping_for_wheel[[#This Row],[RESET recipe combination]],FINI_grouping_for_wheel[[#This Row],[Recipe Combination]]),"/",FINI_grouping_for_wheel[[#This Row],[Subgroup]])</f>
        <v>4997218/THDP/x/8</v>
      </c>
      <c r="AG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0.6508795669824087</v>
      </c>
      <c r="AH19">
        <f>_xlfn.LET(_xlpm.pct, FINI_grouping_for_wheel[[#This Row],[% forecast within subgroup]], _xlpm.lote, FINI_grouping_for_wheel[[#This Row],[Lot size considered]], _xlpm.pct*_xlpm.lote)</f>
        <v>5469.688563966887</v>
      </c>
      <c r="AI19" cm="1">
        <f t="array" aca="1" ref="AI19" ca="1">IFERROR(INDIRECT("FINI_grouping_for_wheel[@["&amp;FINI_grouping_for_wheel[[#This Row],[Selected PV]]&amp;"]]"),"")</f>
        <v>124</v>
      </c>
      <c r="AJ1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15.1</v>
      </c>
      <c r="AL19" s="4"/>
      <c r="AM1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124</v>
      </c>
      <c r="AN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9" s="2" t="str">
        <f>_xlfn.CONCAT(FINI_grouping_for_wheel[[#This Row],[Recipe Combination]],FINI_grouping_for_wheel[[#This Row],[Subgroup]])</f>
        <v>T8</v>
      </c>
    </row>
    <row r="20" spans="1:55" hidden="1">
      <c r="A20" t="s">
        <v>10</v>
      </c>
      <c r="B20">
        <v>4997218</v>
      </c>
      <c r="C20" t="s">
        <v>87</v>
      </c>
      <c r="D20">
        <v>8403.53398913</v>
      </c>
      <c r="E20">
        <v>384</v>
      </c>
      <c r="F20">
        <v>7.68</v>
      </c>
      <c r="G20" t="s">
        <v>209</v>
      </c>
      <c r="H20" t="s">
        <v>210</v>
      </c>
      <c r="I20">
        <v>240</v>
      </c>
      <c r="J20" t="s">
        <v>90</v>
      </c>
      <c r="K20" t="s">
        <v>211</v>
      </c>
      <c r="L20" t="s">
        <v>212</v>
      </c>
      <c r="M20">
        <v>15515.075025</v>
      </c>
      <c r="N20">
        <v>62.0603001</v>
      </c>
      <c r="O20">
        <v>25195.86621</v>
      </c>
      <c r="P20">
        <v>3220544.80607</v>
      </c>
      <c r="Q20">
        <v>0.6157785922375717</v>
      </c>
      <c r="R20">
        <v>5174.71632965</v>
      </c>
      <c r="S20" t="s">
        <v>207</v>
      </c>
      <c r="T20" t="s">
        <v>93</v>
      </c>
      <c r="U20">
        <v>5</v>
      </c>
      <c r="V20" t="s">
        <v>196</v>
      </c>
      <c r="W20" t="s">
        <v>95</v>
      </c>
      <c r="X20" t="s">
        <v>106</v>
      </c>
      <c r="Y20" s="23" t="s">
        <v>107</v>
      </c>
      <c r="AA20">
        <v>135</v>
      </c>
      <c r="AB20" t="s">
        <v>213</v>
      </c>
      <c r="AC20" t="s">
        <v>99</v>
      </c>
      <c r="AD20" s="2">
        <v>6</v>
      </c>
      <c r="AE20" s="2" t="s">
        <v>70</v>
      </c>
      <c r="AF20" t="str">
        <f>_xlfn.CONCAT(FINI_grouping_for_wheel[[#This Row],[SEFI/Plant]],"/",IF(FINI_grouping_for_wheel[[#This Row],[RESET recipe combination]]&lt;&gt;"",FINI_grouping_for_wheel[[#This Row],[RESET recipe combination]],FINI_grouping_for_wheel[[#This Row],[Recipe Combination]]),"/",FINI_grouping_for_wheel[[#This Row],[Subgroup]])</f>
        <v>4997218/THDP/x/6</v>
      </c>
      <c r="AG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0.7636501369384068</v>
      </c>
      <c r="AH20">
        <f>_xlfn.LET(_xlpm.pct, FINI_grouping_for_wheel[[#This Row],[% forecast within subgroup]], _xlpm.lote, FINI_grouping_for_wheel[[#This Row],[Lot size considered]], _xlpm.pct*_xlpm.lote)</f>
        <v>6417.35988156568</v>
      </c>
      <c r="AI20" cm="1">
        <f t="array" aca="1" ref="AI20" ca="1">IFERROR(INDIRECT("FINI_grouping_for_wheel[@["&amp;FINI_grouping_for_wheel[[#This Row],[Selected PV]]&amp;"]]"),"")</f>
        <v>91</v>
      </c>
      <c r="AJ2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27.7</v>
      </c>
      <c r="AL20" s="4"/>
      <c r="AM2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91</v>
      </c>
      <c r="AN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0" s="2" t="str">
        <f>_xlfn.CONCAT(FINI_grouping_for_wheel[[#This Row],[Recipe Combination]],FINI_grouping_for_wheel[[#This Row],[Subgroup]])</f>
        <v>T6</v>
      </c>
    </row>
    <row r="21" spans="1:55" hidden="1">
      <c r="A21" t="s">
        <v>10</v>
      </c>
      <c r="B21">
        <v>4997218</v>
      </c>
      <c r="C21" t="s">
        <v>87</v>
      </c>
      <c r="D21">
        <v>8403.53398913</v>
      </c>
      <c r="E21">
        <v>384</v>
      </c>
      <c r="F21">
        <v>7.68</v>
      </c>
      <c r="G21" t="s">
        <v>214</v>
      </c>
      <c r="H21" t="s">
        <v>215</v>
      </c>
      <c r="I21">
        <v>330</v>
      </c>
      <c r="J21" t="s">
        <v>90</v>
      </c>
      <c r="K21" t="s">
        <v>216</v>
      </c>
      <c r="L21" t="s">
        <v>217</v>
      </c>
      <c r="M21">
        <v>284539.7277</v>
      </c>
      <c r="N21">
        <v>1138.1589108</v>
      </c>
      <c r="O21">
        <v>284539.7277</v>
      </c>
      <c r="P21">
        <v>3220544.80607</v>
      </c>
      <c r="Q21">
        <v>1</v>
      </c>
      <c r="R21">
        <v>8403.53398913</v>
      </c>
      <c r="S21" t="s">
        <v>218</v>
      </c>
      <c r="T21" t="s">
        <v>93</v>
      </c>
      <c r="U21">
        <v>10</v>
      </c>
      <c r="V21" t="s">
        <v>94</v>
      </c>
      <c r="W21" t="s">
        <v>95</v>
      </c>
      <c r="X21" t="s">
        <v>96</v>
      </c>
      <c r="Y21" s="23" t="s">
        <v>97</v>
      </c>
      <c r="AA21">
        <v>7</v>
      </c>
      <c r="AB21" t="s">
        <v>219</v>
      </c>
      <c r="AC21" t="s">
        <v>99</v>
      </c>
      <c r="AD21" s="2">
        <v>2</v>
      </c>
      <c r="AE21" s="2" t="s">
        <v>70</v>
      </c>
      <c r="AF21" t="str">
        <f>_xlfn.CONCAT(FINI_grouping_for_wheel[[#This Row],[SEFI/Plant]],"/",IF(FINI_grouping_for_wheel[[#This Row],[RESET recipe combination]]&lt;&gt;"",FINI_grouping_for_wheel[[#This Row],[RESET recipe combination]],FINI_grouping_for_wheel[[#This Row],[Recipe Combination]]),"/",FINI_grouping_for_wheel[[#This Row],[Subgroup]])</f>
        <v>4997218/THDP/x/2</v>
      </c>
      <c r="AG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1">
        <f>_xlfn.LET(_xlpm.pct, FINI_grouping_for_wheel[[#This Row],[% forecast within subgroup]], _xlpm.lote, FINI_grouping_for_wheel[[#This Row],[Lot size considered]], _xlpm.pct*_xlpm.lote)</f>
        <v>8403.53398913</v>
      </c>
      <c r="AI21" cm="1">
        <f t="array" aca="1" ref="AI21" ca="1">IFERROR(INDIRECT("FINI_grouping_for_wheel[@["&amp;FINI_grouping_for_wheel[[#This Row],[Selected PV]]&amp;"]]"),"")</f>
        <v>6</v>
      </c>
      <c r="AJ2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26.4</v>
      </c>
      <c r="AL21" s="4"/>
      <c r="AM2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v>
      </c>
      <c r="AN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1" s="2" t="str">
        <f>_xlfn.CONCAT(FINI_grouping_for_wheel[[#This Row],[Recipe Combination]],FINI_grouping_for_wheel[[#This Row],[Subgroup]])</f>
        <v>U2</v>
      </c>
    </row>
    <row r="22" spans="1:55" hidden="1">
      <c r="A22" t="s">
        <v>10</v>
      </c>
      <c r="B22">
        <v>4997218</v>
      </c>
      <c r="C22" t="s">
        <v>87</v>
      </c>
      <c r="D22">
        <v>8403.53398913</v>
      </c>
      <c r="E22">
        <v>384</v>
      </c>
      <c r="F22">
        <v>7.68</v>
      </c>
      <c r="G22" t="s">
        <v>220</v>
      </c>
      <c r="H22" t="s">
        <v>221</v>
      </c>
      <c r="I22">
        <v>330</v>
      </c>
      <c r="J22" t="s">
        <v>90</v>
      </c>
      <c r="K22" t="s">
        <v>222</v>
      </c>
      <c r="L22" t="s">
        <v>223</v>
      </c>
      <c r="M22">
        <v>133153.79535</v>
      </c>
      <c r="N22">
        <v>532.6151814</v>
      </c>
      <c r="O22">
        <v>133153.79535</v>
      </c>
      <c r="P22">
        <v>3220544.80607</v>
      </c>
      <c r="Q22">
        <v>1</v>
      </c>
      <c r="R22">
        <v>8403.53398913</v>
      </c>
      <c r="S22" t="s">
        <v>224</v>
      </c>
      <c r="T22" t="s">
        <v>93</v>
      </c>
      <c r="U22">
        <v>10</v>
      </c>
      <c r="V22" t="s">
        <v>94</v>
      </c>
      <c r="W22" t="s">
        <v>95</v>
      </c>
      <c r="X22" t="s">
        <v>96</v>
      </c>
      <c r="Y22" s="23" t="s">
        <v>97</v>
      </c>
      <c r="AA22">
        <v>16</v>
      </c>
      <c r="AB22" t="s">
        <v>225</v>
      </c>
      <c r="AC22" t="s">
        <v>99</v>
      </c>
      <c r="AD22" s="2">
        <v>5</v>
      </c>
      <c r="AE22" s="2" t="s">
        <v>70</v>
      </c>
      <c r="AF22" t="str">
        <f>_xlfn.CONCAT(FINI_grouping_for_wheel[[#This Row],[SEFI/Plant]],"/",IF(FINI_grouping_for_wheel[[#This Row],[RESET recipe combination]]&lt;&gt;"",FINI_grouping_for_wheel[[#This Row],[RESET recipe combination]],FINI_grouping_for_wheel[[#This Row],[Recipe Combination]]),"/",FINI_grouping_for_wheel[[#This Row],[Subgroup]])</f>
        <v>4997218/THDP/x/5</v>
      </c>
      <c r="AG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2">
        <f>_xlfn.LET(_xlpm.pct, FINI_grouping_for_wheel[[#This Row],[% forecast within subgroup]], _xlpm.lote, FINI_grouping_for_wheel[[#This Row],[Lot size considered]], _xlpm.pct*_xlpm.lote)</f>
        <v>8403.53398913</v>
      </c>
      <c r="AI22" cm="1">
        <f t="array" aca="1" ref="AI22" ca="1">IFERROR(INDIRECT("FINI_grouping_for_wheel[@["&amp;FINI_grouping_for_wheel[[#This Row],[Selected PV]]&amp;"]]"),"")</f>
        <v>14</v>
      </c>
      <c r="AJ2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26.4</v>
      </c>
      <c r="AL22" s="4"/>
      <c r="AM2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2" s="2" t="str">
        <f>_xlfn.CONCAT(FINI_grouping_for_wheel[[#This Row],[Recipe Combination]],FINI_grouping_for_wheel[[#This Row],[Subgroup]])</f>
        <v>V5</v>
      </c>
    </row>
    <row r="23" spans="1:55" hidden="1">
      <c r="A23" t="s">
        <v>10</v>
      </c>
      <c r="B23">
        <v>4997218</v>
      </c>
      <c r="C23" t="s">
        <v>87</v>
      </c>
      <c r="D23">
        <v>8403.53398913</v>
      </c>
      <c r="E23">
        <v>384</v>
      </c>
      <c r="F23">
        <v>7.68</v>
      </c>
      <c r="G23" t="s">
        <v>226</v>
      </c>
      <c r="H23" t="s">
        <v>227</v>
      </c>
      <c r="I23">
        <v>324</v>
      </c>
      <c r="J23" t="s">
        <v>90</v>
      </c>
      <c r="K23" t="s">
        <v>228</v>
      </c>
      <c r="L23" t="s">
        <v>229</v>
      </c>
      <c r="M23">
        <v>266137.10838</v>
      </c>
      <c r="N23">
        <v>1064.54843352</v>
      </c>
      <c r="O23">
        <v>266137.10838</v>
      </c>
      <c r="P23">
        <v>3220544.80607</v>
      </c>
      <c r="Q23">
        <v>1</v>
      </c>
      <c r="R23">
        <v>8403.53398913</v>
      </c>
      <c r="S23" t="s">
        <v>230</v>
      </c>
      <c r="T23" t="s">
        <v>93</v>
      </c>
      <c r="U23">
        <v>12</v>
      </c>
      <c r="V23" t="s">
        <v>231</v>
      </c>
      <c r="W23" t="s">
        <v>159</v>
      </c>
      <c r="X23" t="s">
        <v>96</v>
      </c>
      <c r="Y23" s="23" t="s">
        <v>97</v>
      </c>
      <c r="AA23">
        <v>8</v>
      </c>
      <c r="AB23" t="s">
        <v>232</v>
      </c>
      <c r="AC23" t="s">
        <v>99</v>
      </c>
      <c r="AD23" s="2">
        <v>3</v>
      </c>
      <c r="AE23" s="2" t="s">
        <v>70</v>
      </c>
      <c r="AF23" t="str">
        <f>_xlfn.CONCAT(FINI_grouping_for_wheel[[#This Row],[SEFI/Plant]],"/",IF(FINI_grouping_for_wheel[[#This Row],[RESET recipe combination]]&lt;&gt;"",FINI_grouping_for_wheel[[#This Row],[RESET recipe combination]],FINI_grouping_for_wheel[[#This Row],[Recipe Combination]]),"/",FINI_grouping_for_wheel[[#This Row],[Subgroup]])</f>
        <v>4997218/THDP/x/3</v>
      </c>
      <c r="AG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3">
        <f>_xlfn.LET(_xlpm.pct, FINI_grouping_for_wheel[[#This Row],[% forecast within subgroup]], _xlpm.lote, FINI_grouping_for_wheel[[#This Row],[Lot size considered]], _xlpm.pct*_xlpm.lote)</f>
        <v>8403.53398913</v>
      </c>
      <c r="AI23" cm="1">
        <f t="array" aca="1" ref="AI23" ca="1">IFERROR(INDIRECT("FINI_grouping_for_wheel[@["&amp;FINI_grouping_for_wheel[[#This Row],[Selected PV]]&amp;"]]"),"")</f>
        <v>7</v>
      </c>
      <c r="AJ2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26.9</v>
      </c>
      <c r="AL23" s="4"/>
      <c r="AM2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v>
      </c>
      <c r="AN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3" s="2" t="str">
        <f>_xlfn.CONCAT(FINI_grouping_for_wheel[[#This Row],[Recipe Combination]],FINI_grouping_for_wheel[[#This Row],[Subgroup]])</f>
        <v>W3</v>
      </c>
    </row>
    <row r="24" spans="1:55" hidden="1">
      <c r="A24" t="s">
        <v>10</v>
      </c>
      <c r="B24">
        <v>4997218</v>
      </c>
      <c r="C24" t="s">
        <v>87</v>
      </c>
      <c r="D24">
        <v>8403.53398913</v>
      </c>
      <c r="E24">
        <v>384</v>
      </c>
      <c r="F24">
        <v>7.68</v>
      </c>
      <c r="G24" t="s">
        <v>233</v>
      </c>
      <c r="H24" t="s">
        <v>234</v>
      </c>
      <c r="I24">
        <v>412.5</v>
      </c>
      <c r="J24" t="s">
        <v>90</v>
      </c>
      <c r="K24" t="s">
        <v>235</v>
      </c>
      <c r="L24" t="s">
        <v>236</v>
      </c>
      <c r="M24">
        <v>178270.04709</v>
      </c>
      <c r="N24">
        <v>713.08018836</v>
      </c>
      <c r="O24">
        <v>178270.04709</v>
      </c>
      <c r="P24">
        <v>3220544.80607</v>
      </c>
      <c r="Q24">
        <v>1</v>
      </c>
      <c r="R24">
        <v>8403.53398913</v>
      </c>
      <c r="S24" t="s">
        <v>237</v>
      </c>
      <c r="T24" t="s">
        <v>93</v>
      </c>
      <c r="U24">
        <v>12.5</v>
      </c>
      <c r="V24" t="s">
        <v>238</v>
      </c>
      <c r="W24" t="s">
        <v>95</v>
      </c>
      <c r="X24" t="s">
        <v>96</v>
      </c>
      <c r="Y24" s="23" t="s">
        <v>97</v>
      </c>
      <c r="AA24">
        <v>12</v>
      </c>
      <c r="AB24" t="s">
        <v>239</v>
      </c>
      <c r="AC24" t="s">
        <v>99</v>
      </c>
      <c r="AD24" s="2">
        <v>4</v>
      </c>
      <c r="AE24" s="2" t="s">
        <v>70</v>
      </c>
      <c r="AF24" t="str">
        <f>_xlfn.CONCAT(FINI_grouping_for_wheel[[#This Row],[SEFI/Plant]],"/",IF(FINI_grouping_for_wheel[[#This Row],[RESET recipe combination]]&lt;&gt;"",FINI_grouping_for_wheel[[#This Row],[RESET recipe combination]],FINI_grouping_for_wheel[[#This Row],[Recipe Combination]]),"/",FINI_grouping_for_wheel[[#This Row],[Subgroup]])</f>
        <v>4997218/THDP/x/4</v>
      </c>
      <c r="AG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4">
        <f>_xlfn.LET(_xlpm.pct, FINI_grouping_for_wheel[[#This Row],[% forecast within subgroup]], _xlpm.lote, FINI_grouping_for_wheel[[#This Row],[Lot size considered]], _xlpm.pct*_xlpm.lote)</f>
        <v>8403.53398913</v>
      </c>
      <c r="AI24" cm="1">
        <f t="array" aca="1" ref="AI24" ca="1">IFERROR(INDIRECT("FINI_grouping_for_wheel[@["&amp;FINI_grouping_for_wheel[[#This Row],[Selected PV]]&amp;"]]"),"")</f>
        <v>10</v>
      </c>
      <c r="AJ2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21.1</v>
      </c>
      <c r="AL24" s="4"/>
      <c r="AM2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v>
      </c>
      <c r="AN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4" s="2" t="str">
        <f>_xlfn.CONCAT(FINI_grouping_for_wheel[[#This Row],[Recipe Combination]],FINI_grouping_for_wheel[[#This Row],[Subgroup]])</f>
        <v>Y4</v>
      </c>
    </row>
    <row r="25" spans="1:55" hidden="1">
      <c r="A25" t="s">
        <v>10</v>
      </c>
      <c r="B25">
        <v>4997218</v>
      </c>
      <c r="C25" t="s">
        <v>87</v>
      </c>
      <c r="D25">
        <v>8403.53398913</v>
      </c>
      <c r="E25">
        <v>384</v>
      </c>
      <c r="F25">
        <v>7.68</v>
      </c>
      <c r="G25" t="s">
        <v>240</v>
      </c>
      <c r="H25" t="s">
        <v>241</v>
      </c>
      <c r="I25">
        <v>330</v>
      </c>
      <c r="J25" t="s">
        <v>90</v>
      </c>
      <c r="K25" t="s">
        <v>242</v>
      </c>
      <c r="L25" t="s">
        <v>243</v>
      </c>
      <c r="M25">
        <v>2157702.37965</v>
      </c>
      <c r="N25">
        <v>8630.8095186</v>
      </c>
      <c r="O25">
        <v>2157702.37965</v>
      </c>
      <c r="P25">
        <v>3220544.80607</v>
      </c>
      <c r="Q25">
        <v>1</v>
      </c>
      <c r="R25">
        <v>8403.53398913</v>
      </c>
      <c r="S25" t="s">
        <v>244</v>
      </c>
      <c r="T25" t="s">
        <v>93</v>
      </c>
      <c r="U25">
        <v>10</v>
      </c>
      <c r="V25" t="s">
        <v>94</v>
      </c>
      <c r="W25" t="s">
        <v>95</v>
      </c>
      <c r="X25" t="s">
        <v>96</v>
      </c>
      <c r="Y25" s="23" t="s">
        <v>97</v>
      </c>
      <c r="AA25">
        <v>1</v>
      </c>
      <c r="AB25" t="s">
        <v>245</v>
      </c>
      <c r="AC25" t="s">
        <v>99</v>
      </c>
      <c r="AD25" s="2">
        <v>1</v>
      </c>
      <c r="AE25" s="2" t="s">
        <v>70</v>
      </c>
      <c r="AF25" t="str">
        <f>_xlfn.CONCAT(FINI_grouping_for_wheel[[#This Row],[SEFI/Plant]],"/",IF(FINI_grouping_for_wheel[[#This Row],[RESET recipe combination]]&lt;&gt;"",FINI_grouping_for_wheel[[#This Row],[RESET recipe combination]],FINI_grouping_for_wheel[[#This Row],[Recipe Combination]]),"/",FINI_grouping_for_wheel[[#This Row],[Subgroup]])</f>
        <v>4997218/THDP/x/1</v>
      </c>
      <c r="AG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5">
        <f>_xlfn.LET(_xlpm.pct, FINI_grouping_for_wheel[[#This Row],[% forecast within subgroup]], _xlpm.lote, FINI_grouping_for_wheel[[#This Row],[Lot size considered]], _xlpm.pct*_xlpm.lote)</f>
        <v>8403.53398913</v>
      </c>
      <c r="AI25" cm="1">
        <f t="array" aca="1" ref="AI25" ca="1">IFERROR(INDIRECT("FINI_grouping_for_wheel[@["&amp;FINI_grouping_for_wheel[[#This Row],[Selected PV]]&amp;"]]"),"")</f>
        <v>1</v>
      </c>
      <c r="AJ2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8700.517845</v>
      </c>
      <c r="AK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26.4</v>
      </c>
      <c r="AL25" s="4"/>
      <c r="AM2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v>
      </c>
      <c r="AN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5" s="2" t="str">
        <f>_xlfn.CONCAT(FINI_grouping_for_wheel[[#This Row],[Recipe Combination]],FINI_grouping_for_wheel[[#This Row],[Subgroup]])</f>
        <v>Z1</v>
      </c>
    </row>
    <row r="26" spans="1:55" hidden="1">
      <c r="A26" t="s">
        <v>10</v>
      </c>
      <c r="B26">
        <v>4035382</v>
      </c>
      <c r="C26" t="s">
        <v>246</v>
      </c>
      <c r="D26">
        <v>9003.14090592</v>
      </c>
      <c r="E26">
        <v>341</v>
      </c>
      <c r="F26">
        <v>6.82</v>
      </c>
      <c r="G26" t="s">
        <v>247</v>
      </c>
      <c r="H26" t="s">
        <v>248</v>
      </c>
      <c r="I26">
        <v>300</v>
      </c>
      <c r="J26" t="s">
        <v>90</v>
      </c>
      <c r="K26" t="s">
        <v>188</v>
      </c>
      <c r="L26" t="s">
        <v>189</v>
      </c>
      <c r="M26">
        <v>2456.602875</v>
      </c>
      <c r="N26">
        <v>9.8264115</v>
      </c>
      <c r="O26">
        <v>19463.3982</v>
      </c>
      <c r="P26">
        <v>3067714.50961</v>
      </c>
      <c r="Q26">
        <v>0.12621654501216545</v>
      </c>
      <c r="R26">
        <v>1136.3453394</v>
      </c>
      <c r="S26" t="s">
        <v>249</v>
      </c>
      <c r="T26" t="s">
        <v>93</v>
      </c>
      <c r="U26">
        <v>5</v>
      </c>
      <c r="V26" t="s">
        <v>119</v>
      </c>
      <c r="W26" t="s">
        <v>142</v>
      </c>
      <c r="X26" t="s">
        <v>96</v>
      </c>
      <c r="Y26" s="23" t="s">
        <v>120</v>
      </c>
      <c r="AA26">
        <v>916</v>
      </c>
      <c r="AB26" t="s">
        <v>250</v>
      </c>
      <c r="AC26" t="s">
        <v>251</v>
      </c>
      <c r="AD26" s="2">
        <v>15</v>
      </c>
      <c r="AE26" s="2" t="s">
        <v>70</v>
      </c>
      <c r="AF26" t="str">
        <f>_xlfn.CONCAT(FINI_grouping_for_wheel[[#This Row],[SEFI/Plant]],"/",IF(FINI_grouping_for_wheel[[#This Row],[RESET recipe combination]]&lt;&gt;"",FINI_grouping_for_wheel[[#This Row],[RESET recipe combination]],FINI_grouping_for_wheel[[#This Row],[Recipe Combination]]),"/",FINI_grouping_for_wheel[[#This Row],[Subgroup]])</f>
        <v>4035382/THDP/x/15</v>
      </c>
      <c r="AG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0.06864042342044327</v>
      </c>
      <c r="AH26">
        <f>_xlfn.LET(_xlpm.pct, FINI_grouping_for_wheel[[#This Row],[% forecast within subgroup]], _xlpm.lote, FINI_grouping_for_wheel[[#This Row],[Lot size considered]], _xlpm.pct*_xlpm.lote)</f>
        <v>617.9794038962619</v>
      </c>
      <c r="AI26" cm="1">
        <f t="array" aca="1" ref="AI26" ca="1">IFERROR(INDIRECT("FINI_grouping_for_wheel[@["&amp;FINI_grouping_for_wheel[[#This Row],[Selected PV]]&amp;"]]"),"")</f>
        <v>53</v>
      </c>
      <c r="AJ2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v>
      </c>
      <c r="AL26" s="4"/>
      <c r="AM2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53</v>
      </c>
      <c r="AN2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63</v>
      </c>
      <c r="AO2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74</v>
      </c>
      <c r="AP2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91</v>
      </c>
      <c r="AQ2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93</v>
      </c>
      <c r="AR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6" s="2" t="str">
        <f>_xlfn.CONCAT(FINI_grouping_for_wheel[[#This Row],[Recipe Combination]],FINI_grouping_for_wheel[[#This Row],[Subgroup]])</f>
        <v>%15</v>
      </c>
    </row>
    <row r="27" spans="1:55" hidden="1">
      <c r="A27" t="s">
        <v>10</v>
      </c>
      <c r="B27">
        <v>4035382</v>
      </c>
      <c r="C27" t="s">
        <v>246</v>
      </c>
      <c r="D27">
        <v>9003.14090592</v>
      </c>
      <c r="E27">
        <v>341</v>
      </c>
      <c r="F27">
        <v>6.82</v>
      </c>
      <c r="G27" t="s">
        <v>252</v>
      </c>
      <c r="H27" t="s">
        <v>253</v>
      </c>
      <c r="I27">
        <v>300</v>
      </c>
      <c r="J27" t="s">
        <v>90</v>
      </c>
      <c r="K27" t="s">
        <v>254</v>
      </c>
      <c r="L27" t="s">
        <v>255</v>
      </c>
      <c r="M27">
        <v>17006.795325</v>
      </c>
      <c r="N27">
        <v>68.0271813</v>
      </c>
      <c r="O27">
        <v>19463.3982</v>
      </c>
      <c r="P27">
        <v>3067714.50961</v>
      </c>
      <c r="Q27">
        <v>0.8737834549878345</v>
      </c>
      <c r="R27">
        <v>7866.79556652</v>
      </c>
      <c r="S27" t="s">
        <v>249</v>
      </c>
      <c r="T27" t="s">
        <v>93</v>
      </c>
      <c r="U27">
        <v>5</v>
      </c>
      <c r="V27" t="s">
        <v>119</v>
      </c>
      <c r="W27" t="s">
        <v>95</v>
      </c>
      <c r="X27" t="s">
        <v>96</v>
      </c>
      <c r="Y27" s="23" t="s">
        <v>120</v>
      </c>
      <c r="AA27">
        <v>132</v>
      </c>
      <c r="AB27" t="s">
        <v>256</v>
      </c>
      <c r="AC27" t="s">
        <v>251</v>
      </c>
      <c r="AD27" s="2">
        <v>14</v>
      </c>
      <c r="AE27" s="2" t="s">
        <v>70</v>
      </c>
      <c r="AF27" t="str">
        <f>_xlfn.CONCAT(FINI_grouping_for_wheel[[#This Row],[SEFI/Plant]],"/",IF(FINI_grouping_for_wheel[[#This Row],[RESET recipe combination]]&lt;&gt;"",FINI_grouping_for_wheel[[#This Row],[RESET recipe combination]],FINI_grouping_for_wheel[[#This Row],[Recipe Combination]]),"/",FINI_grouping_for_wheel[[#This Row],[Subgroup]])</f>
        <v>4035382/THDP/x/14</v>
      </c>
      <c r="AG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0.9699527346387575</v>
      </c>
      <c r="AH27">
        <f>_xlfn.LET(_xlpm.pct, FINI_grouping_for_wheel[[#This Row],[% forecast within subgroup]], _xlpm.lote, FINI_grouping_for_wheel[[#This Row],[Lot size considered]], _xlpm.pct*_xlpm.lote)</f>
        <v>8732.621142035165</v>
      </c>
      <c r="AI27" cm="1">
        <f t="array" aca="1" ref="AI27" ca="1">IFERROR(INDIRECT("FINI_grouping_for_wheel[@["&amp;FINI_grouping_for_wheel[[#This Row],[Selected PV]]&amp;"]]"),"")</f>
        <v>108</v>
      </c>
      <c r="AJ2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28.8</v>
      </c>
      <c r="AL27" s="4"/>
      <c r="AM2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108</v>
      </c>
      <c r="AN2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129</v>
      </c>
      <c r="AO2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150</v>
      </c>
      <c r="AP2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186</v>
      </c>
      <c r="AQ2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190</v>
      </c>
      <c r="AR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7" s="2" t="str">
        <f>_xlfn.CONCAT(FINI_grouping_for_wheel[[#This Row],[Recipe Combination]],FINI_grouping_for_wheel[[#This Row],[Subgroup]])</f>
        <v>%14</v>
      </c>
    </row>
    <row r="28" spans="1:55" hidden="1">
      <c r="A28" t="s">
        <v>10</v>
      </c>
      <c r="B28">
        <v>4035382</v>
      </c>
      <c r="C28" t="s">
        <v>246</v>
      </c>
      <c r="D28">
        <v>9003.14090592</v>
      </c>
      <c r="E28">
        <v>341</v>
      </c>
      <c r="F28">
        <v>6.82</v>
      </c>
      <c r="G28" t="s">
        <v>257</v>
      </c>
      <c r="H28" t="s">
        <v>258</v>
      </c>
      <c r="I28">
        <v>375</v>
      </c>
      <c r="J28" t="s">
        <v>90</v>
      </c>
      <c r="K28" t="s">
        <v>259</v>
      </c>
      <c r="L28" t="s">
        <v>260</v>
      </c>
      <c r="M28">
        <v>3049.73928</v>
      </c>
      <c r="N28">
        <v>12.19895712</v>
      </c>
      <c r="O28">
        <v>3049.73928</v>
      </c>
      <c r="P28">
        <v>3067714.50961</v>
      </c>
      <c r="Q28">
        <v>1</v>
      </c>
      <c r="R28">
        <v>9003.14090592</v>
      </c>
      <c r="S28" t="s">
        <v>104</v>
      </c>
      <c r="T28" t="s">
        <v>93</v>
      </c>
      <c r="U28">
        <v>2.5</v>
      </c>
      <c r="V28" t="s">
        <v>105</v>
      </c>
      <c r="W28" t="s">
        <v>95</v>
      </c>
      <c r="X28" t="s">
        <v>106</v>
      </c>
      <c r="Y28" s="23" t="s">
        <v>107</v>
      </c>
      <c r="AA28">
        <v>738</v>
      </c>
      <c r="AB28" t="s">
        <v>261</v>
      </c>
      <c r="AC28" t="s">
        <v>251</v>
      </c>
      <c r="AD28" s="2">
        <v>7</v>
      </c>
      <c r="AE28" s="2" t="s">
        <v>70</v>
      </c>
      <c r="AF28" t="str">
        <f>_xlfn.CONCAT(FINI_grouping_for_wheel[[#This Row],[SEFI/Plant]],"/",IF(FINI_grouping_for_wheel[[#This Row],[RESET recipe combination]]&lt;&gt;"",FINI_grouping_for_wheel[[#This Row],[RESET recipe combination]],FINI_grouping_for_wheel[[#This Row],[Recipe Combination]]),"/",FINI_grouping_for_wheel[[#This Row],[Subgroup]])</f>
        <v>4035382/THDP/x/7</v>
      </c>
      <c r="AG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0.06305225798555868</v>
      </c>
      <c r="AH28">
        <f>_xlfn.LET(_xlpm.pct, FINI_grouping_for_wheel[[#This Row],[% forecast within subgroup]], _xlpm.lote, FINI_grouping_for_wheel[[#This Row],[Lot size considered]], _xlpm.pct*_xlpm.lote)</f>
        <v>567.6683630804042</v>
      </c>
      <c r="AI28" cm="1">
        <f t="array" aca="1" ref="AI28" ca="1">IFERROR(INDIRECT("FINI_grouping_for_wheel[@["&amp;FINI_grouping_for_wheel[[#This Row],[Selected PV]]&amp;"]]"),"")</f>
        <v>39</v>
      </c>
      <c r="AJ2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28" s="4"/>
      <c r="AM2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2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47</v>
      </c>
      <c r="AO2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54</v>
      </c>
      <c r="AP2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67</v>
      </c>
      <c r="AQ2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69</v>
      </c>
      <c r="AR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8" s="2" t="str">
        <f>_xlfn.CONCAT(FINI_grouping_for_wheel[[#This Row],[Recipe Combination]],FINI_grouping_for_wheel[[#This Row],[Subgroup]])</f>
        <v>07</v>
      </c>
    </row>
    <row r="29" spans="1:55" hidden="1">
      <c r="A29" t="s">
        <v>10</v>
      </c>
      <c r="B29">
        <v>4035382</v>
      </c>
      <c r="C29" t="s">
        <v>246</v>
      </c>
      <c r="D29">
        <v>9003.14090592</v>
      </c>
      <c r="E29">
        <v>341</v>
      </c>
      <c r="F29">
        <v>6.82</v>
      </c>
      <c r="G29" t="s">
        <v>262</v>
      </c>
      <c r="H29" t="s">
        <v>263</v>
      </c>
      <c r="I29">
        <v>300</v>
      </c>
      <c r="J29" t="s">
        <v>90</v>
      </c>
      <c r="K29" t="s">
        <v>264</v>
      </c>
      <c r="L29" t="s">
        <v>265</v>
      </c>
      <c r="M29">
        <v>518.55039</v>
      </c>
      <c r="N29">
        <v>2.07420156</v>
      </c>
      <c r="O29">
        <v>518.55039</v>
      </c>
      <c r="P29">
        <v>3067714.50961</v>
      </c>
      <c r="Q29">
        <v>1</v>
      </c>
      <c r="R29">
        <v>9003.14090592</v>
      </c>
      <c r="S29" t="s">
        <v>266</v>
      </c>
      <c r="T29" t="s">
        <v>93</v>
      </c>
      <c r="U29">
        <v>2.5</v>
      </c>
      <c r="V29" t="s">
        <v>267</v>
      </c>
      <c r="W29" t="s">
        <v>142</v>
      </c>
      <c r="X29" t="s">
        <v>150</v>
      </c>
      <c r="Y29" s="23" t="s">
        <v>151</v>
      </c>
      <c r="AA29">
        <v>4341</v>
      </c>
      <c r="AB29" t="s">
        <v>268</v>
      </c>
      <c r="AC29" t="s">
        <v>251</v>
      </c>
      <c r="AD29" s="2">
        <v>5</v>
      </c>
      <c r="AE29" s="2" t="s">
        <v>70</v>
      </c>
      <c r="AF29" t="str">
        <f>_xlfn.CONCAT(FINI_grouping_for_wheel[[#This Row],[SEFI/Plant]],"/",IF(FINI_grouping_for_wheel[[#This Row],[RESET recipe combination]]&lt;&gt;"",FINI_grouping_for_wheel[[#This Row],[RESET recipe combination]],FINI_grouping_for_wheel[[#This Row],[Recipe Combination]]),"/",FINI_grouping_for_wheel[[#This Row],[Subgroup]])</f>
        <v>4035382/THDP/x/5</v>
      </c>
      <c r="AG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0.05231724796942188</v>
      </c>
      <c r="AH29">
        <f>_xlfn.LET(_xlpm.pct, FINI_grouping_for_wheel[[#This Row],[% forecast within subgroup]], _xlpm.lote, FINI_grouping_for_wheel[[#This Row],[Lot size considered]], _xlpm.pct*_xlpm.lote)</f>
        <v>471.01955527866215</v>
      </c>
      <c r="AI29" cm="1">
        <f t="array" aca="1" ref="AI29" ca="1">IFERROR(INDIRECT("FINI_grouping_for_wheel[@["&amp;FINI_grouping_for_wheel[[#This Row],[Selected PV]]&amp;"]]"),"")</f>
        <v>191</v>
      </c>
      <c r="AJ2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v>
      </c>
      <c r="AL29" s="4"/>
      <c r="AM2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191</v>
      </c>
      <c r="AN2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229</v>
      </c>
      <c r="AO2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266</v>
      </c>
      <c r="AP2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328</v>
      </c>
      <c r="AQ2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336</v>
      </c>
      <c r="AR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9" s="2" t="str">
        <f>_xlfn.CONCAT(FINI_grouping_for_wheel[[#This Row],[Recipe Combination]],FINI_grouping_for_wheel[[#This Row],[Subgroup]])</f>
        <v>15</v>
      </c>
    </row>
    <row r="30" spans="1:55" hidden="1">
      <c r="A30" t="s">
        <v>10</v>
      </c>
      <c r="B30">
        <v>4035382</v>
      </c>
      <c r="C30" t="s">
        <v>246</v>
      </c>
      <c r="D30">
        <v>9003.14090592</v>
      </c>
      <c r="E30">
        <v>341</v>
      </c>
      <c r="F30">
        <v>6.82</v>
      </c>
      <c r="G30" t="s">
        <v>269</v>
      </c>
      <c r="H30" t="s">
        <v>270</v>
      </c>
      <c r="I30">
        <v>240</v>
      </c>
      <c r="J30" t="s">
        <v>90</v>
      </c>
      <c r="K30" t="s">
        <v>271</v>
      </c>
      <c r="L30" t="s">
        <v>272</v>
      </c>
      <c r="M30">
        <v>2835.452475</v>
      </c>
      <c r="N30">
        <v>11.3418099</v>
      </c>
      <c r="O30">
        <v>76977.5031</v>
      </c>
      <c r="P30">
        <v>3067714.50961</v>
      </c>
      <c r="Q30">
        <v>3.6834820055367576E-2</v>
      </c>
      <c r="R30">
        <v>331.629075203</v>
      </c>
      <c r="S30" t="s">
        <v>273</v>
      </c>
      <c r="T30" t="s">
        <v>93</v>
      </c>
      <c r="U30">
        <v>5</v>
      </c>
      <c r="V30" t="s">
        <v>196</v>
      </c>
      <c r="W30" t="s">
        <v>95</v>
      </c>
      <c r="X30" t="s">
        <v>106</v>
      </c>
      <c r="Y30" s="23" t="s">
        <v>107</v>
      </c>
      <c r="AA30">
        <v>794</v>
      </c>
      <c r="AB30" t="s">
        <v>274</v>
      </c>
      <c r="AC30" t="s">
        <v>251</v>
      </c>
      <c r="AD30" s="2">
        <v>6</v>
      </c>
      <c r="AE30" s="2" t="s">
        <v>70</v>
      </c>
      <c r="AF30" t="str">
        <f>_xlfn.CONCAT(FINI_grouping_for_wheel[[#This Row],[SEFI/Plant]],"/",IF(FINI_grouping_for_wheel[[#This Row],[RESET recipe combination]]&lt;&gt;"",FINI_grouping_for_wheel[[#This Row],[RESET recipe combination]],FINI_grouping_for_wheel[[#This Row],[Recipe Combination]]),"/",FINI_grouping_for_wheel[[#This Row],[Subgroup]])</f>
        <v>4035382/THDP/x/6</v>
      </c>
      <c r="AG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0.0582654178323805</v>
      </c>
      <c r="AH30">
        <f>_xlfn.LET(_xlpm.pct, FINI_grouping_for_wheel[[#This Row],[% forecast within subgroup]], _xlpm.lote, FINI_grouping_for_wheel[[#This Row],[Lot size considered]], _xlpm.pct*_xlpm.lote)</f>
        <v>524.5717666872255</v>
      </c>
      <c r="AI30" cm="1">
        <f t="array" aca="1" ref="AI30" ca="1">IFERROR(INDIRECT("FINI_grouping_for_wheel[@["&amp;FINI_grouping_for_wheel[[#This Row],[Selected PV]]&amp;"]]"),"")</f>
        <v>39</v>
      </c>
      <c r="AJ3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v>
      </c>
      <c r="AL30" s="4"/>
      <c r="AM3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3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47</v>
      </c>
      <c r="AO3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54</v>
      </c>
      <c r="AP3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67</v>
      </c>
      <c r="AQ3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68</v>
      </c>
      <c r="AR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0" s="2" t="str">
        <f>_xlfn.CONCAT(FINI_grouping_for_wheel[[#This Row],[Recipe Combination]],FINI_grouping_for_wheel[[#This Row],[Subgroup]])</f>
        <v>?6</v>
      </c>
    </row>
    <row r="31" spans="1:55" hidden="1">
      <c r="A31" t="s">
        <v>10</v>
      </c>
      <c r="B31">
        <v>4035382</v>
      </c>
      <c r="C31" t="s">
        <v>246</v>
      </c>
      <c r="D31">
        <v>9003.14090592</v>
      </c>
      <c r="E31">
        <v>341</v>
      </c>
      <c r="F31">
        <v>6.82</v>
      </c>
      <c r="G31" t="s">
        <v>275</v>
      </c>
      <c r="H31" t="s">
        <v>276</v>
      </c>
      <c r="I31">
        <v>240</v>
      </c>
      <c r="J31" t="s">
        <v>90</v>
      </c>
      <c r="K31" t="s">
        <v>277</v>
      </c>
      <c r="L31" t="s">
        <v>278</v>
      </c>
      <c r="M31">
        <v>45828.96255</v>
      </c>
      <c r="N31">
        <v>183.3158502</v>
      </c>
      <c r="O31">
        <v>76977.5031</v>
      </c>
      <c r="P31">
        <v>3067714.50961</v>
      </c>
      <c r="Q31">
        <v>0.59535527529990773</v>
      </c>
      <c r="R31">
        <v>5360.06743261</v>
      </c>
      <c r="S31" t="s">
        <v>273</v>
      </c>
      <c r="T31" t="s">
        <v>93</v>
      </c>
      <c r="U31">
        <v>5</v>
      </c>
      <c r="V31" t="s">
        <v>196</v>
      </c>
      <c r="W31" t="s">
        <v>95</v>
      </c>
      <c r="X31" t="s">
        <v>106</v>
      </c>
      <c r="Y31" s="23" t="s">
        <v>107</v>
      </c>
      <c r="AA31">
        <v>49</v>
      </c>
      <c r="AB31" t="s">
        <v>279</v>
      </c>
      <c r="AC31" t="s">
        <v>251</v>
      </c>
      <c r="AD31" s="2">
        <v>6</v>
      </c>
      <c r="AE31" s="2" t="s">
        <v>70</v>
      </c>
      <c r="AF31" t="str">
        <f>_xlfn.CONCAT(FINI_grouping_for_wheel[[#This Row],[SEFI/Plant]],"/",IF(FINI_grouping_for_wheel[[#This Row],[RESET recipe combination]]&lt;&gt;"",FINI_grouping_for_wheel[[#This Row],[RESET recipe combination]],FINI_grouping_for_wheel[[#This Row],[Recipe Combination]]),"/",FINI_grouping_for_wheel[[#This Row],[Subgroup]])</f>
        <v>4035382/THDP/x/6</v>
      </c>
      <c r="AG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0.9417345821676195</v>
      </c>
      <c r="AH31">
        <f>_xlfn.LET(_xlpm.pct, FINI_grouping_for_wheel[[#This Row],[% forecast within subgroup]], _xlpm.lote, FINI_grouping_for_wheel[[#This Row],[Lot size considered]], _xlpm.pct*_xlpm.lote)</f>
        <v>8478.569139232774</v>
      </c>
      <c r="AI31" cm="1">
        <f t="array" aca="1" ref="AI31" ca="1">IFERROR(INDIRECT("FINI_grouping_for_wheel[@["&amp;FINI_grouping_for_wheel[[#This Row],[Selected PV]]&amp;"]]"),"")</f>
        <v>39</v>
      </c>
      <c r="AJ3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34.9</v>
      </c>
      <c r="AL31" s="4"/>
      <c r="AM3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3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47</v>
      </c>
      <c r="AO3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54</v>
      </c>
      <c r="AP3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67</v>
      </c>
      <c r="AQ3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68</v>
      </c>
      <c r="AR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1" s="2" t="str">
        <f>_xlfn.CONCAT(FINI_grouping_for_wheel[[#This Row],[Recipe Combination]],FINI_grouping_for_wheel[[#This Row],[Subgroup]])</f>
        <v>?6</v>
      </c>
    </row>
    <row r="32" spans="1:55" hidden="1">
      <c r="A32" t="s">
        <v>10</v>
      </c>
      <c r="B32">
        <v>4035382</v>
      </c>
      <c r="C32" t="s">
        <v>246</v>
      </c>
      <c r="D32">
        <v>9003.14090592</v>
      </c>
      <c r="E32">
        <v>341</v>
      </c>
      <c r="F32">
        <v>6.82</v>
      </c>
      <c r="G32" t="s">
        <v>280</v>
      </c>
      <c r="H32" t="s">
        <v>281</v>
      </c>
      <c r="I32">
        <v>240</v>
      </c>
      <c r="J32" t="s">
        <v>90</v>
      </c>
      <c r="K32" t="s">
        <v>282</v>
      </c>
      <c r="L32" t="s">
        <v>283</v>
      </c>
      <c r="M32">
        <v>28313.088075</v>
      </c>
      <c r="N32">
        <v>113.2523523</v>
      </c>
      <c r="O32">
        <v>76977.5031</v>
      </c>
      <c r="P32">
        <v>3067714.50961</v>
      </c>
      <c r="Q32">
        <v>0.36780990464472468</v>
      </c>
      <c r="R32">
        <v>3311.44439811</v>
      </c>
      <c r="S32" t="s">
        <v>273</v>
      </c>
      <c r="T32" t="s">
        <v>93</v>
      </c>
      <c r="U32">
        <v>5</v>
      </c>
      <c r="V32" t="s">
        <v>196</v>
      </c>
      <c r="W32" t="s">
        <v>95</v>
      </c>
      <c r="X32" t="s">
        <v>106</v>
      </c>
      <c r="Y32" s="23" t="s">
        <v>107</v>
      </c>
      <c r="AA32">
        <v>79</v>
      </c>
      <c r="AB32" t="s">
        <v>284</v>
      </c>
      <c r="AC32" t="s">
        <v>251</v>
      </c>
      <c r="AD32" s="2">
        <v>9</v>
      </c>
      <c r="AE32" s="2" t="s">
        <v>70</v>
      </c>
      <c r="AF32" t="str">
        <f>_xlfn.CONCAT(FINI_grouping_for_wheel[[#This Row],[SEFI/Plant]],"/",IF(FINI_grouping_for_wheel[[#This Row],[RESET recipe combination]]&lt;&gt;"",FINI_grouping_for_wheel[[#This Row],[RESET recipe combination]],FINI_grouping_for_wheel[[#This Row],[Recipe Combination]]),"/",FINI_grouping_for_wheel[[#This Row],[Subgroup]])</f>
        <v>4035382/THDP/x/9</v>
      </c>
      <c r="AG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0.5788454556456493</v>
      </c>
      <c r="AH32">
        <f>_xlfn.LET(_xlpm.pct, FINI_grouping_for_wheel[[#This Row],[% forecast within subgroup]], _xlpm.lote, FINI_grouping_for_wheel[[#This Row],[Lot size considered]], _xlpm.pct*_xlpm.lote)</f>
        <v>5211.427199929246</v>
      </c>
      <c r="AI32" cm="1">
        <f t="array" aca="1" ref="AI32" ca="1">IFERROR(INDIRECT("FINI_grouping_for_wheel[@["&amp;FINI_grouping_for_wheel[[#This Row],[Selected PV]]&amp;"]]"),"")</f>
        <v>39</v>
      </c>
      <c r="AJ3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21.4</v>
      </c>
      <c r="AL32" s="4"/>
      <c r="AM3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3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46</v>
      </c>
      <c r="AO3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54</v>
      </c>
      <c r="AP3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67</v>
      </c>
      <c r="AQ3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68</v>
      </c>
      <c r="AR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2" s="2" t="str">
        <f>_xlfn.CONCAT(FINI_grouping_for_wheel[[#This Row],[Recipe Combination]],FINI_grouping_for_wheel[[#This Row],[Subgroup]])</f>
        <v>?9</v>
      </c>
    </row>
    <row r="33" spans="1:55" hidden="1">
      <c r="A33" t="s">
        <v>10</v>
      </c>
      <c r="B33">
        <v>4035382</v>
      </c>
      <c r="C33" t="s">
        <v>246</v>
      </c>
      <c r="D33">
        <v>9003.14090592</v>
      </c>
      <c r="E33">
        <v>341</v>
      </c>
      <c r="F33">
        <v>6.82</v>
      </c>
      <c r="G33" t="s">
        <v>285</v>
      </c>
      <c r="H33" t="s">
        <v>286</v>
      </c>
      <c r="I33">
        <v>440</v>
      </c>
      <c r="J33" t="s">
        <v>90</v>
      </c>
      <c r="K33" t="s">
        <v>287</v>
      </c>
      <c r="L33" t="s">
        <v>288</v>
      </c>
      <c r="M33">
        <v>15828.80985</v>
      </c>
      <c r="N33">
        <v>63.3152394</v>
      </c>
      <c r="O33">
        <v>15828.80985</v>
      </c>
      <c r="P33">
        <v>3067714.50961</v>
      </c>
      <c r="Q33">
        <v>1</v>
      </c>
      <c r="R33">
        <v>9003.14090592</v>
      </c>
      <c r="S33" t="s">
        <v>118</v>
      </c>
      <c r="T33" t="s">
        <v>93</v>
      </c>
      <c r="U33">
        <v>10</v>
      </c>
      <c r="V33" t="s">
        <v>94</v>
      </c>
      <c r="W33" t="s">
        <v>95</v>
      </c>
      <c r="X33" t="s">
        <v>96</v>
      </c>
      <c r="Y33" s="23" t="s">
        <v>97</v>
      </c>
      <c r="AA33">
        <v>142</v>
      </c>
      <c r="AB33" t="s">
        <v>289</v>
      </c>
      <c r="AC33" t="s">
        <v>251</v>
      </c>
      <c r="AD33" s="2">
        <v>16</v>
      </c>
      <c r="AE33" s="2" t="s">
        <v>70</v>
      </c>
      <c r="AF33" t="str">
        <f>_xlfn.CONCAT(FINI_grouping_for_wheel[[#This Row],[SEFI/Plant]],"/",IF(FINI_grouping_for_wheel[[#This Row],[RESET recipe combination]]&lt;&gt;"",FINI_grouping_for_wheel[[#This Row],[RESET recipe combination]],FINI_grouping_for_wheel[[#This Row],[Recipe Combination]]),"/",FINI_grouping_for_wheel[[#This Row],[Subgroup]])</f>
        <v>4035382/THDP/x/16</v>
      </c>
      <c r="AG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0.8078549848942598</v>
      </c>
      <c r="AH33">
        <f>_xlfn.LET(_xlpm.pct, FINI_grouping_for_wheel[[#This Row],[% forecast within subgroup]], _xlpm.lote, FINI_grouping_for_wheel[[#This Row],[Lot size considered]], _xlpm.pct*_xlpm.lote)</f>
        <v>7273.232260552893</v>
      </c>
      <c r="AI33" cm="1">
        <f t="array" aca="1" ref="AI33" ca="1">IFERROR(INDIRECT("FINI_grouping_for_wheel[@["&amp;FINI_grouping_for_wheel[[#This Row],[Selected PV]]&amp;"]]"),"")</f>
        <v>96</v>
      </c>
      <c r="AJ3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16.3</v>
      </c>
      <c r="AL33" s="4"/>
      <c r="AM3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3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116</v>
      </c>
      <c r="AO3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135</v>
      </c>
      <c r="AP3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166</v>
      </c>
      <c r="AQ3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170</v>
      </c>
      <c r="AR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3" s="2" t="str">
        <f>_xlfn.CONCAT(FINI_grouping_for_wheel[[#This Row],[Recipe Combination]],FINI_grouping_for_wheel[[#This Row],[Subgroup]])</f>
        <v>A16</v>
      </c>
    </row>
    <row r="34" spans="1:55" hidden="1">
      <c r="A34" t="s">
        <v>10</v>
      </c>
      <c r="B34">
        <v>4035382</v>
      </c>
      <c r="C34" t="s">
        <v>246</v>
      </c>
      <c r="D34">
        <v>9003.14090592</v>
      </c>
      <c r="E34">
        <v>341</v>
      </c>
      <c r="F34">
        <v>6.82</v>
      </c>
      <c r="G34" t="s">
        <v>290</v>
      </c>
      <c r="H34" t="s">
        <v>291</v>
      </c>
      <c r="I34">
        <v>300</v>
      </c>
      <c r="J34" t="s">
        <v>90</v>
      </c>
      <c r="K34" t="s">
        <v>292</v>
      </c>
      <c r="L34" t="s">
        <v>293</v>
      </c>
      <c r="M34">
        <v>34958.34684</v>
      </c>
      <c r="N34">
        <v>139.83338736</v>
      </c>
      <c r="O34">
        <v>34958.34684</v>
      </c>
      <c r="P34">
        <v>3067714.50961</v>
      </c>
      <c r="Q34">
        <v>1</v>
      </c>
      <c r="R34">
        <v>9003.14090592</v>
      </c>
      <c r="S34" t="s">
        <v>294</v>
      </c>
      <c r="T34" t="s">
        <v>93</v>
      </c>
      <c r="U34">
        <v>12.5</v>
      </c>
      <c r="V34" t="s">
        <v>295</v>
      </c>
      <c r="W34" t="s">
        <v>142</v>
      </c>
      <c r="X34" t="s">
        <v>128</v>
      </c>
      <c r="Y34" s="23" t="s">
        <v>120</v>
      </c>
      <c r="AA34">
        <v>64</v>
      </c>
      <c r="AB34" t="s">
        <v>296</v>
      </c>
      <c r="AC34" t="s">
        <v>251</v>
      </c>
      <c r="AD34" s="2">
        <v>13</v>
      </c>
      <c r="AE34" s="2" t="s">
        <v>70</v>
      </c>
      <c r="AF34" t="str">
        <f>_xlfn.CONCAT(FINI_grouping_for_wheel[[#This Row],[SEFI/Plant]],"/",IF(FINI_grouping_for_wheel[[#This Row],[RESET recipe combination]]&lt;&gt;"",FINI_grouping_for_wheel[[#This Row],[RESET recipe combination]],FINI_grouping_for_wheel[[#This Row],[Recipe Combination]]),"/",FINI_grouping_for_wheel[[#This Row],[Subgroup]])</f>
        <v>4035382/THDP/x/13</v>
      </c>
      <c r="AG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4">
        <f>_xlfn.LET(_xlpm.pct, FINI_grouping_for_wheel[[#This Row],[% forecast within subgroup]], _xlpm.lote, FINI_grouping_for_wheel[[#This Row],[Lot size considered]], _xlpm.pct*_xlpm.lote)</f>
        <v>9003.14090592</v>
      </c>
      <c r="AI34" cm="1">
        <f t="array" aca="1" ref="AI34" ca="1">IFERROR(INDIRECT("FINI_grouping_for_wheel[@["&amp;FINI_grouping_for_wheel[[#This Row],[Selected PV]]&amp;"]]"),"")</f>
        <v>54</v>
      </c>
      <c r="AJ3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29.6</v>
      </c>
      <c r="AL34" s="4"/>
      <c r="AM3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54</v>
      </c>
      <c r="AN3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65</v>
      </c>
      <c r="AO3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75</v>
      </c>
      <c r="AP3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93</v>
      </c>
      <c r="AQ3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95</v>
      </c>
      <c r="AR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4" s="2" t="str">
        <f>_xlfn.CONCAT(FINI_grouping_for_wheel[[#This Row],[Recipe Combination]],FINI_grouping_for_wheel[[#This Row],[Subgroup]])</f>
        <v>C13</v>
      </c>
    </row>
    <row r="35" spans="1:55" hidden="1">
      <c r="A35" t="s">
        <v>10</v>
      </c>
      <c r="B35">
        <v>4035382</v>
      </c>
      <c r="C35" t="s">
        <v>246</v>
      </c>
      <c r="D35">
        <v>9003.14090592</v>
      </c>
      <c r="E35">
        <v>341</v>
      </c>
      <c r="F35">
        <v>6.82</v>
      </c>
      <c r="G35" t="s">
        <v>297</v>
      </c>
      <c r="H35" t="s">
        <v>298</v>
      </c>
      <c r="I35">
        <v>360</v>
      </c>
      <c r="J35" t="s">
        <v>90</v>
      </c>
      <c r="K35" t="s">
        <v>299</v>
      </c>
      <c r="L35" t="s">
        <v>300</v>
      </c>
      <c r="M35">
        <v>550.515825</v>
      </c>
      <c r="N35">
        <v>2.2020633</v>
      </c>
      <c r="O35">
        <v>550.515825</v>
      </c>
      <c r="P35">
        <v>3067714.50961</v>
      </c>
      <c r="Q35">
        <v>1</v>
      </c>
      <c r="R35">
        <v>9003.14090592</v>
      </c>
      <c r="S35" t="s">
        <v>126</v>
      </c>
      <c r="T35" t="s">
        <v>93</v>
      </c>
      <c r="U35">
        <v>15</v>
      </c>
      <c r="V35" t="s">
        <v>301</v>
      </c>
      <c r="W35" t="s">
        <v>142</v>
      </c>
      <c r="X35" t="s">
        <v>128</v>
      </c>
      <c r="Y35" s="23" t="s">
        <v>129</v>
      </c>
      <c r="AA35">
        <v>4089</v>
      </c>
      <c r="AB35" t="s">
        <v>302</v>
      </c>
      <c r="AC35" t="s">
        <v>251</v>
      </c>
      <c r="AD35" s="2">
        <v>15</v>
      </c>
      <c r="AE35" s="2" t="s">
        <v>70</v>
      </c>
      <c r="AF35" t="str">
        <f>_xlfn.CONCAT(FINI_grouping_for_wheel[[#This Row],[SEFI/Plant]],"/",IF(FINI_grouping_for_wheel[[#This Row],[RESET recipe combination]]&lt;&gt;"",FINI_grouping_for_wheel[[#This Row],[RESET recipe combination]],FINI_grouping_for_wheel[[#This Row],[Recipe Combination]]),"/",FINI_grouping_for_wheel[[#This Row],[Subgroup]])</f>
        <v>4035382/THDP/x/15</v>
      </c>
      <c r="AG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0.015382070790605358</v>
      </c>
      <c r="AH35">
        <f>_xlfn.LET(_xlpm.pct, FINI_grouping_for_wheel[[#This Row],[% forecast within subgroup]], _xlpm.lote, FINI_grouping_for_wheel[[#This Row],[Lot size considered]], _xlpm.pct*_xlpm.lote)</f>
        <v>138.4869507526563</v>
      </c>
      <c r="AI35" cm="1">
        <f t="array" aca="1" ref="AI35" ca="1">IFERROR(INDIRECT("FINI_grouping_for_wheel[@["&amp;FINI_grouping_for_wheel[[#This Row],[Selected PV]]&amp;"]]"),"")</f>
        <v>53</v>
      </c>
      <c r="AJ3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0.4</v>
      </c>
      <c r="AL35" s="4"/>
      <c r="AM3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53</v>
      </c>
      <c r="AN3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63</v>
      </c>
      <c r="AO3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74</v>
      </c>
      <c r="AP3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91</v>
      </c>
      <c r="AQ3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93</v>
      </c>
      <c r="AR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5" s="2" t="str">
        <f>_xlfn.CONCAT(FINI_grouping_for_wheel[[#This Row],[Recipe Combination]],FINI_grouping_for_wheel[[#This Row],[Subgroup]])</f>
        <v>E15</v>
      </c>
    </row>
    <row r="36" spans="1:55" hidden="1">
      <c r="A36" t="s">
        <v>10</v>
      </c>
      <c r="B36">
        <v>4035382</v>
      </c>
      <c r="C36" t="s">
        <v>246</v>
      </c>
      <c r="D36">
        <v>9003.14090592</v>
      </c>
      <c r="E36">
        <v>341</v>
      </c>
      <c r="F36">
        <v>6.82</v>
      </c>
      <c r="G36" t="s">
        <v>303</v>
      </c>
      <c r="H36" t="s">
        <v>304</v>
      </c>
      <c r="I36">
        <v>420</v>
      </c>
      <c r="J36" t="s">
        <v>90</v>
      </c>
      <c r="K36" t="s">
        <v>305</v>
      </c>
      <c r="L36" t="s">
        <v>306</v>
      </c>
      <c r="M36">
        <v>230.861475</v>
      </c>
      <c r="N36">
        <v>0.9234459</v>
      </c>
      <c r="O36">
        <v>230.861475</v>
      </c>
      <c r="P36">
        <v>3067714.50961</v>
      </c>
      <c r="Q36">
        <v>1</v>
      </c>
      <c r="R36">
        <v>9003.14090592</v>
      </c>
      <c r="S36" t="s">
        <v>307</v>
      </c>
      <c r="T36" t="s">
        <v>93</v>
      </c>
      <c r="U36">
        <v>1</v>
      </c>
      <c r="V36" t="s">
        <v>308</v>
      </c>
      <c r="W36" t="s">
        <v>142</v>
      </c>
      <c r="X36" t="s">
        <v>150</v>
      </c>
      <c r="Y36" s="23" t="s">
        <v>151</v>
      </c>
      <c r="AA36">
        <v>9750</v>
      </c>
      <c r="AB36" t="s">
        <v>309</v>
      </c>
      <c r="AC36" t="s">
        <v>251</v>
      </c>
      <c r="AD36" s="2">
        <v>5</v>
      </c>
      <c r="AE36" s="2" t="s">
        <v>70</v>
      </c>
      <c r="AF36" t="str">
        <f>_xlfn.CONCAT(FINI_grouping_for_wheel[[#This Row],[SEFI/Plant]],"/",IF(FINI_grouping_for_wheel[[#This Row],[RESET recipe combination]]&lt;&gt;"",FINI_grouping_for_wheel[[#This Row],[RESET recipe combination]],FINI_grouping_for_wheel[[#This Row],[Recipe Combination]]),"/",FINI_grouping_for_wheel[[#This Row],[Subgroup]])</f>
        <v>4035382/THDP/x/5</v>
      </c>
      <c r="AG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0.02329192546583851</v>
      </c>
      <c r="AH36">
        <f>_xlfn.LET(_xlpm.pct, FINI_grouping_for_wheel[[#This Row],[% forecast within subgroup]], _xlpm.lote, FINI_grouping_for_wheel[[#This Row],[Lot size considered]], _xlpm.pct*_xlpm.lote)</f>
        <v>209.70048693913046</v>
      </c>
      <c r="AI36" cm="1">
        <f t="array" aca="1" ref="AI36" ca="1">IFERROR(INDIRECT("FINI_grouping_for_wheel[@["&amp;FINI_grouping_for_wheel[[#This Row],[Selected PV]]&amp;"]]"),"")</f>
        <v>191</v>
      </c>
      <c r="AJ3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0.5</v>
      </c>
      <c r="AL36" s="4"/>
      <c r="AM3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191</v>
      </c>
      <c r="AN3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229</v>
      </c>
      <c r="AO3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266</v>
      </c>
      <c r="AP3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328</v>
      </c>
      <c r="AQ3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336</v>
      </c>
      <c r="AR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6" s="2" t="str">
        <f>_xlfn.CONCAT(FINI_grouping_for_wheel[[#This Row],[Recipe Combination]],FINI_grouping_for_wheel[[#This Row],[Subgroup]])</f>
        <v>H5</v>
      </c>
    </row>
    <row r="37" spans="1:55" hidden="1">
      <c r="A37" t="s">
        <v>10</v>
      </c>
      <c r="B37">
        <v>4035382</v>
      </c>
      <c r="C37" t="s">
        <v>246</v>
      </c>
      <c r="D37">
        <v>9003.14090592</v>
      </c>
      <c r="E37">
        <v>341</v>
      </c>
      <c r="F37">
        <v>6.82</v>
      </c>
      <c r="G37" t="s">
        <v>310</v>
      </c>
      <c r="H37" t="s">
        <v>311</v>
      </c>
      <c r="I37">
        <v>462</v>
      </c>
      <c r="J37" t="s">
        <v>90</v>
      </c>
      <c r="K37" t="s">
        <v>312</v>
      </c>
      <c r="L37" t="s">
        <v>313</v>
      </c>
      <c r="M37">
        <v>4713.125805</v>
      </c>
      <c r="N37">
        <v>18.85250322</v>
      </c>
      <c r="O37">
        <v>4741.539525</v>
      </c>
      <c r="P37">
        <v>3067714.50961</v>
      </c>
      <c r="Q37">
        <v>0.99400749063670413</v>
      </c>
      <c r="R37">
        <v>8949.18949975</v>
      </c>
      <c r="S37" t="s">
        <v>314</v>
      </c>
      <c r="T37" t="s">
        <v>93</v>
      </c>
      <c r="U37">
        <v>1</v>
      </c>
      <c r="V37" t="s">
        <v>315</v>
      </c>
      <c r="W37" t="s">
        <v>142</v>
      </c>
      <c r="X37" t="s">
        <v>150</v>
      </c>
      <c r="Y37" s="23" t="s">
        <v>151</v>
      </c>
      <c r="AA37">
        <v>478</v>
      </c>
      <c r="AB37" t="s">
        <v>316</v>
      </c>
      <c r="AC37" t="s">
        <v>251</v>
      </c>
      <c r="AD37" s="2">
        <v>5</v>
      </c>
      <c r="AE37" s="2" t="s">
        <v>70</v>
      </c>
      <c r="AF37" t="str">
        <f>_xlfn.CONCAT(FINI_grouping_for_wheel[[#This Row],[SEFI/Plant]],"/",IF(FINI_grouping_for_wheel[[#This Row],[RESET recipe combination]]&lt;&gt;"",FINI_grouping_for_wheel[[#This Row],[RESET recipe combination]],FINI_grouping_for_wheel[[#This Row],[Recipe Combination]]),"/",FINI_grouping_for_wheel[[#This Row],[Subgroup]])</f>
        <v>4035382/THDP/x/5</v>
      </c>
      <c r="AG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0.4755136168179646</v>
      </c>
      <c r="AH37">
        <f>_xlfn.LET(_xlpm.pct, FINI_grouping_for_wheel[[#This Row],[% forecast within subgroup]], _xlpm.lote, FINI_grouping_for_wheel[[#This Row],[Lot size considered]], _xlpm.pct*_xlpm.lote)</f>
        <v>4281.116094895786</v>
      </c>
      <c r="AI37" cm="1">
        <f t="array" aca="1" ref="AI37" ca="1">IFERROR(INDIRECT("FINI_grouping_for_wheel[@["&amp;FINI_grouping_for_wheel[[#This Row],[Selected PV]]&amp;"]]"),"")</f>
        <v>191</v>
      </c>
      <c r="AJ3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9.2</v>
      </c>
      <c r="AL37" s="4"/>
      <c r="AM3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191</v>
      </c>
      <c r="AN3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229</v>
      </c>
      <c r="AO3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266</v>
      </c>
      <c r="AP3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328</v>
      </c>
      <c r="AQ3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336</v>
      </c>
      <c r="AR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7" s="2" t="str">
        <f>_xlfn.CONCAT(FINI_grouping_for_wheel[[#This Row],[Recipe Combination]],FINI_grouping_for_wheel[[#This Row],[Subgroup]])</f>
        <v>K5</v>
      </c>
    </row>
    <row r="38" spans="1:55" hidden="1">
      <c r="A38" t="s">
        <v>10</v>
      </c>
      <c r="B38">
        <v>4035382</v>
      </c>
      <c r="C38" t="s">
        <v>246</v>
      </c>
      <c r="D38">
        <v>9003.14090592</v>
      </c>
      <c r="E38">
        <v>341</v>
      </c>
      <c r="F38">
        <v>6.82</v>
      </c>
      <c r="G38" t="s">
        <v>317</v>
      </c>
      <c r="H38" t="s">
        <v>318</v>
      </c>
      <c r="I38">
        <v>483</v>
      </c>
      <c r="J38" t="s">
        <v>90</v>
      </c>
      <c r="K38" t="s">
        <v>312</v>
      </c>
      <c r="L38" t="s">
        <v>313</v>
      </c>
      <c r="M38">
        <v>28.41372</v>
      </c>
      <c r="N38">
        <v>0.11365488</v>
      </c>
      <c r="O38">
        <v>4741.539525</v>
      </c>
      <c r="P38">
        <v>3067714.50961</v>
      </c>
      <c r="Q38">
        <v>5.9925093632958804E-3</v>
      </c>
      <c r="R38">
        <v>53.9514061778</v>
      </c>
      <c r="S38" t="s">
        <v>314</v>
      </c>
      <c r="T38" t="s">
        <v>93</v>
      </c>
      <c r="U38">
        <v>1</v>
      </c>
      <c r="V38" t="s">
        <v>315</v>
      </c>
      <c r="W38" t="s">
        <v>142</v>
      </c>
      <c r="X38" t="s">
        <v>150</v>
      </c>
      <c r="Y38" s="23" t="s">
        <v>151</v>
      </c>
      <c r="AA38">
        <v>79215</v>
      </c>
      <c r="AB38" t="s">
        <v>319</v>
      </c>
      <c r="AC38" t="s">
        <v>251</v>
      </c>
      <c r="AD38" s="2">
        <v>5</v>
      </c>
      <c r="AE38" s="2" t="s">
        <v>70</v>
      </c>
      <c r="AF38" t="str">
        <f>_xlfn.CONCAT(FINI_grouping_for_wheel[[#This Row],[SEFI/Plant]],"/",IF(FINI_grouping_for_wheel[[#This Row],[RESET recipe combination]]&lt;&gt;"",FINI_grouping_for_wheel[[#This Row],[RESET recipe combination]],FINI_grouping_for_wheel[[#This Row],[Recipe Combination]]),"/",FINI_grouping_for_wheel[[#This Row],[Subgroup]])</f>
        <v>4035382/THDP/x/5</v>
      </c>
      <c r="AG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0.002866698518872432</v>
      </c>
      <c r="AH38">
        <f>_xlfn.LET(_xlpm.pct, FINI_grouping_for_wheel[[#This Row],[% forecast within subgroup]], _xlpm.lote, FINI_grouping_for_wheel[[#This Row],[Lot size considered]], _xlpm.pct*_xlpm.lote)</f>
        <v>25.80929070020067</v>
      </c>
      <c r="AI38" cm="1">
        <f t="array" aca="1" ref="AI38" ca="1">IFERROR(INDIRECT("FINI_grouping_for_wheel[@["&amp;FINI_grouping_for_wheel[[#This Row],[Selected PV]]&amp;"]]"),"")</f>
        <v>191</v>
      </c>
      <c r="AJ3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38" s="4"/>
      <c r="AM3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191</v>
      </c>
      <c r="AN3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229</v>
      </c>
      <c r="AO3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266</v>
      </c>
      <c r="AP3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328</v>
      </c>
      <c r="AQ3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336</v>
      </c>
      <c r="AR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8" s="2" t="str">
        <f>_xlfn.CONCAT(FINI_grouping_for_wheel[[#This Row],[Recipe Combination]],FINI_grouping_for_wheel[[#This Row],[Subgroup]])</f>
        <v>K5</v>
      </c>
    </row>
    <row r="39" spans="1:55" hidden="1">
      <c r="A39" t="s">
        <v>10</v>
      </c>
      <c r="B39" s="40">
        <v>4035382</v>
      </c>
      <c r="C39" t="s">
        <v>246</v>
      </c>
      <c r="D39">
        <v>9003.14090592</v>
      </c>
      <c r="E39">
        <v>341</v>
      </c>
      <c r="F39">
        <v>6.82</v>
      </c>
      <c r="G39" t="s">
        <v>320</v>
      </c>
      <c r="H39" t="s">
        <v>321</v>
      </c>
      <c r="I39">
        <v>384</v>
      </c>
      <c r="J39" t="s">
        <v>90</v>
      </c>
      <c r="K39" t="s">
        <v>322</v>
      </c>
      <c r="L39" t="s">
        <v>323</v>
      </c>
      <c r="M39">
        <v>1622470.7682</v>
      </c>
      <c r="N39">
        <v>6489.8830728</v>
      </c>
      <c r="O39">
        <v>1622470.7682</v>
      </c>
      <c r="P39">
        <v>3067714.50961</v>
      </c>
      <c r="Q39">
        <v>1</v>
      </c>
      <c r="R39">
        <v>9003.14090592</v>
      </c>
      <c r="S39" t="s">
        <v>324</v>
      </c>
      <c r="T39" t="s">
        <v>93</v>
      </c>
      <c r="U39">
        <v>8</v>
      </c>
      <c r="V39" t="s">
        <v>119</v>
      </c>
      <c r="W39" t="s">
        <v>95</v>
      </c>
      <c r="X39" t="s">
        <v>96</v>
      </c>
      <c r="Y39" s="23" t="s">
        <v>120</v>
      </c>
      <c r="AA39">
        <v>1</v>
      </c>
      <c r="AB39" t="s">
        <v>325</v>
      </c>
      <c r="AC39" t="s">
        <v>251</v>
      </c>
      <c r="AD39" s="2">
        <v>1</v>
      </c>
      <c r="AE39" s="2" t="s">
        <v>73</v>
      </c>
      <c r="AF39" t="str">
        <f>_xlfn.CONCAT(FINI_grouping_for_wheel[[#This Row],[SEFI/Plant]],"/",IF(FINI_grouping_for_wheel[[#This Row],[RESET recipe combination]]&lt;&gt;"",FINI_grouping_for_wheel[[#This Row],[RESET recipe combination]],FINI_grouping_for_wheel[[#This Row],[Recipe Combination]]),"/",FINI_grouping_for_wheel[[#This Row],[Subgroup]])</f>
        <v>4035382/THDP/x/1</v>
      </c>
      <c r="AG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9">
        <f>_xlfn.LET(_xlpm.pct, FINI_grouping_for_wheel[[#This Row],[% forecast within subgroup]], _xlpm.lote, FINI_grouping_for_wheel[[#This Row],[Lot size considered]], _xlpm.pct*_xlpm.lote)</f>
        <v>9003.14090592</v>
      </c>
      <c r="AI39" cm="1">
        <f t="array" aca="1" ref="AI39" ca="1">IFERROR(INDIRECT("FINI_grouping_for_wheel[@["&amp;FINI_grouping_for_wheel[[#This Row],[Selected PV]]&amp;"]]"),"")</f>
        <v>2</v>
      </c>
      <c r="AJ3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14467.3191</v>
      </c>
      <c r="AK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37.7</v>
      </c>
      <c r="AL39" s="4"/>
      <c r="AM3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v>
      </c>
      <c r="AN3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v>
      </c>
      <c r="AO3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v>
      </c>
      <c r="AP3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2</v>
      </c>
      <c r="AQ3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2</v>
      </c>
      <c r="AR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9" s="2" t="str">
        <f>_xlfn.CONCAT(FINI_grouping_for_wheel[[#This Row],[Recipe Combination]],FINI_grouping_for_wheel[[#This Row],[Subgroup]])</f>
        <v>L1</v>
      </c>
    </row>
    <row r="40" spans="1:55" hidden="1">
      <c r="A40" t="s">
        <v>10</v>
      </c>
      <c r="B40">
        <v>4035382</v>
      </c>
      <c r="C40" t="s">
        <v>246</v>
      </c>
      <c r="D40">
        <v>9003.14090592</v>
      </c>
      <c r="E40">
        <v>341</v>
      </c>
      <c r="F40">
        <v>6.82</v>
      </c>
      <c r="G40" t="s">
        <v>326</v>
      </c>
      <c r="H40" t="s">
        <v>327</v>
      </c>
      <c r="I40">
        <v>330</v>
      </c>
      <c r="J40" t="s">
        <v>90</v>
      </c>
      <c r="K40" t="s">
        <v>328</v>
      </c>
      <c r="L40" t="s">
        <v>329</v>
      </c>
      <c r="M40">
        <v>18480.75705</v>
      </c>
      <c r="N40">
        <v>73.9230282</v>
      </c>
      <c r="O40">
        <v>44017.5879</v>
      </c>
      <c r="P40">
        <v>3067714.50961</v>
      </c>
      <c r="Q40">
        <v>0.41984938138784295</v>
      </c>
      <c r="R40">
        <v>3779.9631399</v>
      </c>
      <c r="S40" t="s">
        <v>157</v>
      </c>
      <c r="T40" t="s">
        <v>93</v>
      </c>
      <c r="U40">
        <v>10</v>
      </c>
      <c r="V40" t="s">
        <v>94</v>
      </c>
      <c r="W40" t="s">
        <v>95</v>
      </c>
      <c r="X40" t="s">
        <v>96</v>
      </c>
      <c r="Y40" s="23" t="s">
        <v>97</v>
      </c>
      <c r="AA40">
        <v>122</v>
      </c>
      <c r="AB40" t="s">
        <v>330</v>
      </c>
      <c r="AC40" t="s">
        <v>251</v>
      </c>
      <c r="AD40" s="2">
        <v>15</v>
      </c>
      <c r="AE40" s="2" t="s">
        <v>70</v>
      </c>
      <c r="AF40" t="str">
        <f>_xlfn.CONCAT(FINI_grouping_for_wheel[[#This Row],[SEFI/Plant]],"/",IF(FINI_grouping_for_wheel[[#This Row],[RESET recipe combination]]&lt;&gt;"",FINI_grouping_for_wheel[[#This Row],[RESET recipe combination]],FINI_grouping_for_wheel[[#This Row],[Recipe Combination]]),"/",FINI_grouping_for_wheel[[#This Row],[Subgroup]])</f>
        <v>4035382/THDP/x/15</v>
      </c>
      <c r="AG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0.5163744624545155</v>
      </c>
      <c r="AH40">
        <f>_xlfn.LET(_xlpm.pct, FINI_grouping_for_wheel[[#This Row],[% forecast within subgroup]], _xlpm.lote, FINI_grouping_for_wheel[[#This Row],[Lot size considered]], _xlpm.pct*_xlpm.lote)</f>
        <v>4648.992045696699</v>
      </c>
      <c r="AI40" cm="1">
        <f t="array" aca="1" ref="AI40" ca="1">IFERROR(INDIRECT("FINI_grouping_for_wheel[@["&amp;FINI_grouping_for_wheel[[#This Row],[Selected PV]]&amp;"]]"),"")</f>
        <v>53</v>
      </c>
      <c r="AJ4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13.9</v>
      </c>
      <c r="AL40" s="4"/>
      <c r="AM4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53</v>
      </c>
      <c r="AN4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63</v>
      </c>
      <c r="AO4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74</v>
      </c>
      <c r="AP4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91</v>
      </c>
      <c r="AQ4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93</v>
      </c>
      <c r="AR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0" s="2" t="str">
        <f>_xlfn.CONCAT(FINI_grouping_for_wheel[[#This Row],[Recipe Combination]],FINI_grouping_for_wheel[[#This Row],[Subgroup]])</f>
        <v>M15</v>
      </c>
    </row>
    <row r="41" spans="1:55" hidden="1">
      <c r="A41" t="s">
        <v>10</v>
      </c>
      <c r="B41" s="40">
        <v>4035382</v>
      </c>
      <c r="C41" t="s">
        <v>246</v>
      </c>
      <c r="D41">
        <v>9003.14090592</v>
      </c>
      <c r="E41">
        <v>341</v>
      </c>
      <c r="F41">
        <v>6.82</v>
      </c>
      <c r="G41" t="s">
        <v>331</v>
      </c>
      <c r="H41" t="s">
        <v>332</v>
      </c>
      <c r="I41">
        <v>440</v>
      </c>
      <c r="J41" t="s">
        <v>90</v>
      </c>
      <c r="K41" t="s">
        <v>333</v>
      </c>
      <c r="L41" t="s">
        <v>334</v>
      </c>
      <c r="M41">
        <v>58106.0574</v>
      </c>
      <c r="N41">
        <v>232.4242296</v>
      </c>
      <c r="O41">
        <v>58106.0574</v>
      </c>
      <c r="P41">
        <v>3067714.50961</v>
      </c>
      <c r="Q41">
        <v>1</v>
      </c>
      <c r="R41">
        <v>9003.14090592</v>
      </c>
      <c r="S41" t="s">
        <v>230</v>
      </c>
      <c r="T41" t="s">
        <v>93</v>
      </c>
      <c r="U41">
        <v>10</v>
      </c>
      <c r="V41" t="s">
        <v>94</v>
      </c>
      <c r="W41" t="s">
        <v>95</v>
      </c>
      <c r="X41" t="s">
        <v>96</v>
      </c>
      <c r="Y41" s="23" t="s">
        <v>97</v>
      </c>
      <c r="AA41">
        <v>39</v>
      </c>
      <c r="AB41" t="s">
        <v>335</v>
      </c>
      <c r="AC41" t="s">
        <v>251</v>
      </c>
      <c r="AD41" s="2">
        <v>10</v>
      </c>
      <c r="AE41" s="2" t="s">
        <v>73</v>
      </c>
      <c r="AF41" t="str">
        <f>_xlfn.CONCAT(FINI_grouping_for_wheel[[#This Row],[SEFI/Plant]],"/",IF(FINI_grouping_for_wheel[[#This Row],[RESET recipe combination]]&lt;&gt;"",FINI_grouping_for_wheel[[#This Row],[RESET recipe combination]],FINI_grouping_for_wheel[[#This Row],[Recipe Combination]]),"/",FINI_grouping_for_wheel[[#This Row],[Subgroup]])</f>
        <v>4035382/THDP/x/10</v>
      </c>
      <c r="AG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0.3636633076467101</v>
      </c>
      <c r="AH41">
        <f>_xlfn.LET(_xlpm.pct, FINI_grouping_for_wheel[[#This Row],[% forecast within subgroup]], _xlpm.lote, FINI_grouping_for_wheel[[#This Row],[Lot size considered]], _xlpm.pct*_xlpm.lote)</f>
        <v>3274.1120010562654</v>
      </c>
      <c r="AI41" cm="1">
        <f t="array" aca="1" ref="AI41" ca="1">IFERROR(INDIRECT("FINI_grouping_for_wheel[@["&amp;FINI_grouping_for_wheel[[#This Row],[Selected PV]]&amp;"]]"),"")</f>
        <v>20</v>
      </c>
      <c r="AJ4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14467.3191</v>
      </c>
      <c r="AK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v>
      </c>
      <c r="AL41" s="4"/>
      <c r="AM4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4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14</v>
      </c>
      <c r="AO4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16</v>
      </c>
      <c r="AP4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20</v>
      </c>
      <c r="AQ4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21</v>
      </c>
      <c r="AR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1" s="2" t="str">
        <f>_xlfn.CONCAT(FINI_grouping_for_wheel[[#This Row],[Recipe Combination]],FINI_grouping_for_wheel[[#This Row],[Subgroup]])</f>
        <v>W10</v>
      </c>
    </row>
    <row r="42" spans="1:55" hidden="1">
      <c r="A42" t="s">
        <v>10</v>
      </c>
      <c r="B42">
        <v>4035382</v>
      </c>
      <c r="C42" t="s">
        <v>246</v>
      </c>
      <c r="D42">
        <v>9003.14090592</v>
      </c>
      <c r="E42">
        <v>341</v>
      </c>
      <c r="F42">
        <v>6.82</v>
      </c>
      <c r="G42" t="s">
        <v>336</v>
      </c>
      <c r="H42" t="s">
        <v>337</v>
      </c>
      <c r="I42">
        <v>300</v>
      </c>
      <c r="J42" t="s">
        <v>90</v>
      </c>
      <c r="K42" t="s">
        <v>254</v>
      </c>
      <c r="L42" t="s">
        <v>255</v>
      </c>
      <c r="M42">
        <v>14301.5724</v>
      </c>
      <c r="N42">
        <v>57.2062896</v>
      </c>
      <c r="O42">
        <v>14828.410125</v>
      </c>
      <c r="P42">
        <v>3067714.50961</v>
      </c>
      <c r="Q42">
        <v>0.96447105788423149</v>
      </c>
      <c r="R42">
        <v>8683.26883382</v>
      </c>
      <c r="S42" t="s">
        <v>173</v>
      </c>
      <c r="T42" t="s">
        <v>93</v>
      </c>
      <c r="U42">
        <v>5</v>
      </c>
      <c r="V42" t="s">
        <v>119</v>
      </c>
      <c r="W42" t="s">
        <v>95</v>
      </c>
      <c r="X42" t="s">
        <v>96</v>
      </c>
      <c r="Y42" s="23" t="s">
        <v>120</v>
      </c>
      <c r="AA42">
        <v>157</v>
      </c>
      <c r="AB42" t="s">
        <v>338</v>
      </c>
      <c r="AC42" t="s">
        <v>251</v>
      </c>
      <c r="AD42" s="2">
        <v>15</v>
      </c>
      <c r="AE42" s="2" t="s">
        <v>70</v>
      </c>
      <c r="AF42" t="str">
        <f>_xlfn.CONCAT(FINI_grouping_for_wheel[[#This Row],[SEFI/Plant]],"/",IF(FINI_grouping_for_wheel[[#This Row],[RESET recipe combination]]&lt;&gt;"",FINI_grouping_for_wheel[[#This Row],[RESET recipe combination]],FINI_grouping_for_wheel[[#This Row],[Recipe Combination]]),"/",FINI_grouping_for_wheel[[#This Row],[Subgroup]])</f>
        <v>4035382/THDP/x/15</v>
      </c>
      <c r="AG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0.399603043334436</v>
      </c>
      <c r="AH42">
        <f>_xlfn.LET(_xlpm.pct, FINI_grouping_for_wheel[[#This Row],[% forecast within subgroup]], _xlpm.lote, FINI_grouping_for_wheel[[#This Row],[Lot size considered]], _xlpm.pct*_xlpm.lote)</f>
        <v>3597.6825055743834</v>
      </c>
      <c r="AI42" cm="1">
        <f t="array" aca="1" ref="AI42" ca="1">IFERROR(INDIRECT("FINI_grouping_for_wheel[@["&amp;FINI_grouping_for_wheel[[#This Row],[Selected PV]]&amp;"]]"),"")</f>
        <v>53</v>
      </c>
      <c r="AJ4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11.8</v>
      </c>
      <c r="AL42" s="4"/>
      <c r="AM4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53</v>
      </c>
      <c r="AN4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63</v>
      </c>
      <c r="AO4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74</v>
      </c>
      <c r="AP4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91</v>
      </c>
      <c r="AQ4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93</v>
      </c>
      <c r="AR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2" s="2" t="str">
        <f>_xlfn.CONCAT(FINI_grouping_for_wheel[[#This Row],[Recipe Combination]],FINI_grouping_for_wheel[[#This Row],[Subgroup]])</f>
        <v>P15</v>
      </c>
    </row>
    <row r="43" spans="1:55" hidden="1">
      <c r="A43" t="s">
        <v>10</v>
      </c>
      <c r="B43">
        <v>4035382</v>
      </c>
      <c r="C43" t="s">
        <v>246</v>
      </c>
      <c r="D43">
        <v>9003.14090592</v>
      </c>
      <c r="E43">
        <v>341</v>
      </c>
      <c r="F43">
        <v>6.82</v>
      </c>
      <c r="G43" t="s">
        <v>339</v>
      </c>
      <c r="H43" t="s">
        <v>340</v>
      </c>
      <c r="I43">
        <v>300</v>
      </c>
      <c r="J43" t="s">
        <v>90</v>
      </c>
      <c r="K43" t="s">
        <v>188</v>
      </c>
      <c r="L43" t="s">
        <v>189</v>
      </c>
      <c r="M43">
        <v>526.837725</v>
      </c>
      <c r="N43">
        <v>2.1073509</v>
      </c>
      <c r="O43">
        <v>14828.410125</v>
      </c>
      <c r="P43">
        <v>3067714.50961</v>
      </c>
      <c r="Q43">
        <v>3.5528942115768465E-2</v>
      </c>
      <c r="R43">
        <v>319.872072107</v>
      </c>
      <c r="S43" t="s">
        <v>173</v>
      </c>
      <c r="T43" t="s">
        <v>93</v>
      </c>
      <c r="U43">
        <v>5</v>
      </c>
      <c r="V43" t="s">
        <v>119</v>
      </c>
      <c r="W43" t="s">
        <v>142</v>
      </c>
      <c r="X43" t="s">
        <v>96</v>
      </c>
      <c r="Y43" s="23" t="s">
        <v>120</v>
      </c>
      <c r="AA43">
        <v>4272</v>
      </c>
      <c r="AB43" t="s">
        <v>341</v>
      </c>
      <c r="AC43" t="s">
        <v>251</v>
      </c>
      <c r="AD43" s="2">
        <v>14</v>
      </c>
      <c r="AE43" s="2" t="s">
        <v>70</v>
      </c>
      <c r="AF43" t="str">
        <f>_xlfn.CONCAT(FINI_grouping_for_wheel[[#This Row],[SEFI/Plant]],"/",IF(FINI_grouping_for_wheel[[#This Row],[RESET recipe combination]]&lt;&gt;"",FINI_grouping_for_wheel[[#This Row],[RESET recipe combination]],FINI_grouping_for_wheel[[#This Row],[Recipe Combination]]),"/",FINI_grouping_for_wheel[[#This Row],[Subgroup]])</f>
        <v>4035382/THDP/x/14</v>
      </c>
      <c r="AG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0.0300472653612424</v>
      </c>
      <c r="AH43">
        <f>_xlfn.LET(_xlpm.pct, FINI_grouping_for_wheel[[#This Row],[% forecast within subgroup]], _xlpm.lote, FINI_grouping_for_wheel[[#This Row],[Lot size considered]], _xlpm.pct*_xlpm.lote)</f>
        <v>270.5197638848345</v>
      </c>
      <c r="AI43" cm="1">
        <f t="array" aca="1" ref="AI43" ca="1">IFERROR(INDIRECT("FINI_grouping_for_wheel[@["&amp;FINI_grouping_for_wheel[[#This Row],[Selected PV]]&amp;"]]"),"")</f>
        <v>108</v>
      </c>
      <c r="AJ4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0.9</v>
      </c>
      <c r="AL43" s="4"/>
      <c r="AM4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108</v>
      </c>
      <c r="AN4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129</v>
      </c>
      <c r="AO4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150</v>
      </c>
      <c r="AP4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186</v>
      </c>
      <c r="AQ4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190</v>
      </c>
      <c r="AR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3" s="2" t="str">
        <f>_xlfn.CONCAT(FINI_grouping_for_wheel[[#This Row],[Recipe Combination]],FINI_grouping_for_wheel[[#This Row],[Subgroup]])</f>
        <v>P14</v>
      </c>
    </row>
    <row r="44" spans="1:55" hidden="1">
      <c r="A44" t="s">
        <v>10</v>
      </c>
      <c r="B44">
        <v>4035382</v>
      </c>
      <c r="C44" t="s">
        <v>246</v>
      </c>
      <c r="D44">
        <v>9003.14090592</v>
      </c>
      <c r="E44">
        <v>341</v>
      </c>
      <c r="F44">
        <v>6.82</v>
      </c>
      <c r="G44" t="s">
        <v>342</v>
      </c>
      <c r="H44" t="s">
        <v>343</v>
      </c>
      <c r="I44">
        <v>288</v>
      </c>
      <c r="J44" t="s">
        <v>90</v>
      </c>
      <c r="K44" t="s">
        <v>344</v>
      </c>
      <c r="L44" t="s">
        <v>345</v>
      </c>
      <c r="M44">
        <v>13127.13864</v>
      </c>
      <c r="N44">
        <v>52.50855456</v>
      </c>
      <c r="O44">
        <v>21864.35754</v>
      </c>
      <c r="P44">
        <v>3067714.50961</v>
      </c>
      <c r="Q44">
        <v>0.60038986354775825</v>
      </c>
      <c r="R44">
        <v>5405.39454001</v>
      </c>
      <c r="S44" t="s">
        <v>346</v>
      </c>
      <c r="T44" t="s">
        <v>93</v>
      </c>
      <c r="U44">
        <v>3</v>
      </c>
      <c r="V44" t="s">
        <v>347</v>
      </c>
      <c r="W44" t="s">
        <v>142</v>
      </c>
      <c r="X44" t="s">
        <v>96</v>
      </c>
      <c r="Y44" s="23" t="s">
        <v>107</v>
      </c>
      <c r="AA44">
        <v>171</v>
      </c>
      <c r="AB44" t="s">
        <v>348</v>
      </c>
      <c r="AC44" t="s">
        <v>251</v>
      </c>
      <c r="AD44" s="2">
        <v>8</v>
      </c>
      <c r="AE44" s="2" t="s">
        <v>70</v>
      </c>
      <c r="AF44" t="str">
        <f>_xlfn.CONCAT(FINI_grouping_for_wheel[[#This Row],[SEFI/Plant]],"/",IF(FINI_grouping_for_wheel[[#This Row],[RESET recipe combination]]&lt;&gt;"",FINI_grouping_for_wheel[[#This Row],[RESET recipe combination]],FINI_grouping_for_wheel[[#This Row],[Recipe Combination]]),"/",FINI_grouping_for_wheel[[#This Row],[Subgroup]])</f>
        <v>4035382/THDP/x/8</v>
      </c>
      <c r="AG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0.5800376647834274</v>
      </c>
      <c r="AH44">
        <f>_xlfn.LET(_xlpm.pct, FINI_grouping_for_wheel[[#This Row],[% forecast within subgroup]], _xlpm.lote, FINI_grouping_for_wheel[[#This Row],[Lot size considered]], _xlpm.pct*_xlpm.lote)</f>
        <v>5222.160826785988</v>
      </c>
      <c r="AI44" cm="1">
        <f t="array" aca="1" ref="AI44" ca="1">IFERROR(INDIRECT("FINI_grouping_for_wheel[@["&amp;FINI_grouping_for_wheel[[#This Row],[Selected PV]]&amp;"]]"),"")</f>
        <v>84</v>
      </c>
      <c r="AJ4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17.9</v>
      </c>
      <c r="AL44" s="4"/>
      <c r="AM4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84</v>
      </c>
      <c r="AN4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100</v>
      </c>
      <c r="AO4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116</v>
      </c>
      <c r="AP4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144</v>
      </c>
      <c r="AQ4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147</v>
      </c>
      <c r="AR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4" s="2" t="str">
        <f>_xlfn.CONCAT(FINI_grouping_for_wheel[[#This Row],[Recipe Combination]],FINI_grouping_for_wheel[[#This Row],[Subgroup]])</f>
        <v>Q8</v>
      </c>
    </row>
    <row r="45" spans="1:55" hidden="1">
      <c r="A45" t="s">
        <v>10</v>
      </c>
      <c r="B45">
        <v>4035382</v>
      </c>
      <c r="C45" t="s">
        <v>246</v>
      </c>
      <c r="D45">
        <v>9003.14090592</v>
      </c>
      <c r="E45">
        <v>341</v>
      </c>
      <c r="F45">
        <v>6.82</v>
      </c>
      <c r="G45" t="s">
        <v>349</v>
      </c>
      <c r="H45" t="s">
        <v>350</v>
      </c>
      <c r="I45">
        <v>384</v>
      </c>
      <c r="J45" t="s">
        <v>90</v>
      </c>
      <c r="K45" t="s">
        <v>351</v>
      </c>
      <c r="L45" t="s">
        <v>352</v>
      </c>
      <c r="M45">
        <v>8737.2189</v>
      </c>
      <c r="N45">
        <v>34.9488756</v>
      </c>
      <c r="O45">
        <v>21864.35754</v>
      </c>
      <c r="P45">
        <v>3067714.50961</v>
      </c>
      <c r="Q45">
        <v>0.39961013645224169</v>
      </c>
      <c r="R45">
        <v>3597.74636591</v>
      </c>
      <c r="S45" t="s">
        <v>346</v>
      </c>
      <c r="T45" t="s">
        <v>93</v>
      </c>
      <c r="U45">
        <v>4</v>
      </c>
      <c r="V45" t="s">
        <v>347</v>
      </c>
      <c r="W45" t="s">
        <v>95</v>
      </c>
      <c r="X45" t="s">
        <v>96</v>
      </c>
      <c r="Y45" s="23" t="s">
        <v>107</v>
      </c>
      <c r="AA45">
        <v>258</v>
      </c>
      <c r="AB45" t="s">
        <v>353</v>
      </c>
      <c r="AC45" t="s">
        <v>251</v>
      </c>
      <c r="AD45" s="2">
        <v>9</v>
      </c>
      <c r="AE45" s="2" t="s">
        <v>70</v>
      </c>
      <c r="AF45" t="str">
        <f>_xlfn.CONCAT(FINI_grouping_for_wheel[[#This Row],[SEFI/Plant]],"/",IF(FINI_grouping_for_wheel[[#This Row],[RESET recipe combination]]&lt;&gt;"",FINI_grouping_for_wheel[[#This Row],[RESET recipe combination]],FINI_grouping_for_wheel[[#This Row],[Recipe Combination]]),"/",FINI_grouping_for_wheel[[#This Row],[Subgroup]])</f>
        <v>4035382/THDP/x/9</v>
      </c>
      <c r="AG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0.1786276170882246</v>
      </c>
      <c r="AH45">
        <f>_xlfn.LET(_xlpm.pct, FINI_grouping_for_wheel[[#This Row],[% forecast within subgroup]], _xlpm.lote, FINI_grouping_for_wheel[[#This Row],[Lot size considered]], _xlpm.pct*_xlpm.lote)</f>
        <v>1608.2096063340093</v>
      </c>
      <c r="AI45" cm="1">
        <f t="array" aca="1" ref="AI45" ca="1">IFERROR(INDIRECT("FINI_grouping_for_wheel[@["&amp;FINI_grouping_for_wheel[[#This Row],[Selected PV]]&amp;"]]"),"")</f>
        <v>39</v>
      </c>
      <c r="AJ4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4.1</v>
      </c>
      <c r="AL45" s="4"/>
      <c r="AM4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4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46</v>
      </c>
      <c r="AO4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54</v>
      </c>
      <c r="AP4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67</v>
      </c>
      <c r="AQ4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68</v>
      </c>
      <c r="AR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5" s="2" t="str">
        <f>_xlfn.CONCAT(FINI_grouping_for_wheel[[#This Row],[Recipe Combination]],FINI_grouping_for_wheel[[#This Row],[Subgroup]])</f>
        <v>Q9</v>
      </c>
    </row>
    <row r="46" spans="1:55" hidden="1">
      <c r="A46" t="s">
        <v>10</v>
      </c>
      <c r="B46">
        <v>4035382</v>
      </c>
      <c r="C46" t="s">
        <v>246</v>
      </c>
      <c r="D46">
        <v>9003.14090592</v>
      </c>
      <c r="E46">
        <v>341</v>
      </c>
      <c r="F46">
        <v>6.82</v>
      </c>
      <c r="G46" t="s">
        <v>354</v>
      </c>
      <c r="H46" t="s">
        <v>355</v>
      </c>
      <c r="I46">
        <v>462</v>
      </c>
      <c r="J46" t="s">
        <v>90</v>
      </c>
      <c r="K46" t="s">
        <v>312</v>
      </c>
      <c r="L46" t="s">
        <v>313</v>
      </c>
      <c r="M46">
        <v>3391.887825</v>
      </c>
      <c r="N46">
        <v>13.5675513</v>
      </c>
      <c r="O46">
        <v>4420.70127</v>
      </c>
      <c r="P46">
        <v>3067714.50961</v>
      </c>
      <c r="Q46">
        <v>0.76727370112479909</v>
      </c>
      <c r="R46">
        <v>6907.87324464</v>
      </c>
      <c r="S46" t="s">
        <v>356</v>
      </c>
      <c r="T46" t="s">
        <v>93</v>
      </c>
      <c r="U46">
        <v>1</v>
      </c>
      <c r="V46" t="s">
        <v>315</v>
      </c>
      <c r="W46" t="s">
        <v>142</v>
      </c>
      <c r="X46" t="s">
        <v>150</v>
      </c>
      <c r="Y46" s="23" t="s">
        <v>151</v>
      </c>
      <c r="AA46">
        <v>664</v>
      </c>
      <c r="AB46" t="s">
        <v>357</v>
      </c>
      <c r="AC46" t="s">
        <v>251</v>
      </c>
      <c r="AD46" s="2">
        <v>5</v>
      </c>
      <c r="AE46" s="2" t="s">
        <v>70</v>
      </c>
      <c r="AF46" t="str">
        <f>_xlfn.CONCAT(FINI_grouping_for_wheel[[#This Row],[SEFI/Plant]],"/",IF(FINI_grouping_for_wheel[[#This Row],[RESET recipe combination]]&lt;&gt;"",FINI_grouping_for_wheel[[#This Row],[RESET recipe combination]],FINI_grouping_for_wheel[[#This Row],[Recipe Combination]]),"/",FINI_grouping_for_wheel[[#This Row],[Subgroup]])</f>
        <v>4035382/THDP/x/5</v>
      </c>
      <c r="AG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0.34221213569039655</v>
      </c>
      <c r="AH46">
        <f>_xlfn.LET(_xlpm.pct, FINI_grouping_for_wheel[[#This Row],[% forecast within subgroup]], _xlpm.lote, FINI_grouping_for_wheel[[#This Row],[Lot size considered]], _xlpm.pct*_xlpm.lote)</f>
        <v>3080.9840773364544</v>
      </c>
      <c r="AI46" cm="1">
        <f t="array" aca="1" ref="AI46" ca="1">IFERROR(INDIRECT("FINI_grouping_for_wheel[@["&amp;FINI_grouping_for_wheel[[#This Row],[Selected PV]]&amp;"]]"),"")</f>
        <v>191</v>
      </c>
      <c r="AJ4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6.6</v>
      </c>
      <c r="AL46" s="4"/>
      <c r="AM4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191</v>
      </c>
      <c r="AN4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229</v>
      </c>
      <c r="AO4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266</v>
      </c>
      <c r="AP4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328</v>
      </c>
      <c r="AQ4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336</v>
      </c>
      <c r="AR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6" s="2" t="str">
        <f>_xlfn.CONCAT(FINI_grouping_for_wheel[[#This Row],[Recipe Combination]],FINI_grouping_for_wheel[[#This Row],[Subgroup]])</f>
        <v>R5</v>
      </c>
    </row>
    <row r="47" spans="1:55" hidden="1">
      <c r="A47" t="s">
        <v>10</v>
      </c>
      <c r="B47">
        <v>4035382</v>
      </c>
      <c r="C47" t="s">
        <v>246</v>
      </c>
      <c r="D47">
        <v>9003.14090592</v>
      </c>
      <c r="E47">
        <v>341</v>
      </c>
      <c r="F47">
        <v>6.82</v>
      </c>
      <c r="G47" t="s">
        <v>358</v>
      </c>
      <c r="H47" t="s">
        <v>359</v>
      </c>
      <c r="I47">
        <v>264</v>
      </c>
      <c r="J47" t="s">
        <v>90</v>
      </c>
      <c r="K47" t="s">
        <v>360</v>
      </c>
      <c r="L47" t="s">
        <v>361</v>
      </c>
      <c r="M47">
        <v>1028.813445</v>
      </c>
      <c r="N47">
        <v>4.11525378</v>
      </c>
      <c r="O47">
        <v>4420.70127</v>
      </c>
      <c r="P47">
        <v>3067714.50961</v>
      </c>
      <c r="Q47">
        <v>0.23272629887520085</v>
      </c>
      <c r="R47">
        <v>2095.26766129</v>
      </c>
      <c r="S47" t="s">
        <v>356</v>
      </c>
      <c r="T47" t="s">
        <v>93</v>
      </c>
      <c r="U47">
        <v>0.5</v>
      </c>
      <c r="V47" t="s">
        <v>149</v>
      </c>
      <c r="W47" t="s">
        <v>142</v>
      </c>
      <c r="X47" t="s">
        <v>150</v>
      </c>
      <c r="Y47" s="23" t="s">
        <v>151</v>
      </c>
      <c r="AA47">
        <v>2188</v>
      </c>
      <c r="AB47" t="s">
        <v>362</v>
      </c>
      <c r="AC47" t="s">
        <v>251</v>
      </c>
      <c r="AD47" s="2">
        <v>5</v>
      </c>
      <c r="AE47" s="2" t="s">
        <v>70</v>
      </c>
      <c r="AF47" t="str">
        <f>_xlfn.CONCAT(FINI_grouping_for_wheel[[#This Row],[SEFI/Plant]],"/",IF(FINI_grouping_for_wheel[[#This Row],[RESET recipe combination]]&lt;&gt;"",FINI_grouping_for_wheel[[#This Row],[RESET recipe combination]],FINI_grouping_for_wheel[[#This Row],[Recipe Combination]]),"/",FINI_grouping_for_wheel[[#This Row],[Subgroup]])</f>
        <v>4035382/THDP/x/5</v>
      </c>
      <c r="AG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0.10379837553750597</v>
      </c>
      <c r="AH47">
        <f>_xlfn.LET(_xlpm.pct, FINI_grouping_for_wheel[[#This Row],[% forecast within subgroup]], _xlpm.lote, FINI_grouping_for_wheel[[#This Row],[Lot size considered]], _xlpm.pct*_xlpm.lote)</f>
        <v>934.5114007697658</v>
      </c>
      <c r="AI47" cm="1">
        <f t="array" aca="1" ref="AI47" ca="1">IFERROR(INDIRECT("FINI_grouping_for_wheel[@["&amp;FINI_grouping_for_wheel[[#This Row],[Selected PV]]&amp;"]]"),"")</f>
        <v>191</v>
      </c>
      <c r="AJ4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3.5</v>
      </c>
      <c r="AL47" s="4"/>
      <c r="AM4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191</v>
      </c>
      <c r="AN4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229</v>
      </c>
      <c r="AO4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266</v>
      </c>
      <c r="AP4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328</v>
      </c>
      <c r="AQ4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336</v>
      </c>
      <c r="AR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7" s="2" t="str">
        <f>_xlfn.CONCAT(FINI_grouping_for_wheel[[#This Row],[Recipe Combination]],FINI_grouping_for_wheel[[#This Row],[Subgroup]])</f>
        <v>R5</v>
      </c>
    </row>
    <row r="48" spans="1:55" hidden="1">
      <c r="A48" t="s">
        <v>10</v>
      </c>
      <c r="B48">
        <v>4035382</v>
      </c>
      <c r="C48" t="s">
        <v>246</v>
      </c>
      <c r="D48">
        <v>9003.14090592</v>
      </c>
      <c r="E48">
        <v>341</v>
      </c>
      <c r="F48">
        <v>6.82</v>
      </c>
      <c r="G48" t="s">
        <v>363</v>
      </c>
      <c r="H48" t="s">
        <v>364</v>
      </c>
      <c r="I48">
        <v>375</v>
      </c>
      <c r="J48" t="s">
        <v>90</v>
      </c>
      <c r="K48" t="s">
        <v>365</v>
      </c>
      <c r="L48" t="s">
        <v>366</v>
      </c>
      <c r="M48">
        <v>29868.739245</v>
      </c>
      <c r="N48">
        <v>119.47495698</v>
      </c>
      <c r="O48">
        <v>66685.816935</v>
      </c>
      <c r="P48">
        <v>3067714.50961</v>
      </c>
      <c r="Q48">
        <v>0.44790242690006571</v>
      </c>
      <c r="R48">
        <v>4032.52866149</v>
      </c>
      <c r="S48" t="s">
        <v>195</v>
      </c>
      <c r="T48" t="s">
        <v>93</v>
      </c>
      <c r="U48">
        <v>2.5</v>
      </c>
      <c r="V48" t="s">
        <v>105</v>
      </c>
      <c r="W48" t="s">
        <v>95</v>
      </c>
      <c r="X48" t="s">
        <v>106</v>
      </c>
      <c r="Y48" s="23" t="s">
        <v>107</v>
      </c>
      <c r="AA48">
        <v>75</v>
      </c>
      <c r="AB48" t="s">
        <v>367</v>
      </c>
      <c r="AC48" t="s">
        <v>251</v>
      </c>
      <c r="AD48" s="2">
        <v>7</v>
      </c>
      <c r="AE48" s="2" t="s">
        <v>70</v>
      </c>
      <c r="AF48" t="str">
        <f>_xlfn.CONCAT(FINI_grouping_for_wheel[[#This Row],[SEFI/Plant]],"/",IF(FINI_grouping_for_wheel[[#This Row],[RESET recipe combination]]&lt;&gt;"",FINI_grouping_for_wheel[[#This Row],[RESET recipe combination]],FINI_grouping_for_wheel[[#This Row],[Recipe Combination]]),"/",FINI_grouping_for_wheel[[#This Row],[Subgroup]])</f>
        <v>4035382/THDP/x/7</v>
      </c>
      <c r="AG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0.6175253946885326</v>
      </c>
      <c r="AH48">
        <f>_xlfn.LET(_xlpm.pct, FINI_grouping_for_wheel[[#This Row],[% forecast within subgroup]], _xlpm.lote, FINI_grouping_for_wheel[[#This Row],[Lot size considered]], _xlpm.pct*_xlpm.lote)</f>
        <v>5559.668141364721</v>
      </c>
      <c r="AI48" cm="1">
        <f t="array" aca="1" ref="AI48" ca="1">IFERROR(INDIRECT("FINI_grouping_for_wheel[@["&amp;FINI_grouping_for_wheel[[#This Row],[Selected PV]]&amp;"]]"),"")</f>
        <v>39</v>
      </c>
      <c r="AJ4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14.6</v>
      </c>
      <c r="AL48" s="4"/>
      <c r="AM4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4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47</v>
      </c>
      <c r="AO4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54</v>
      </c>
      <c r="AP4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67</v>
      </c>
      <c r="AQ4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69</v>
      </c>
      <c r="AR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8" s="2" t="str">
        <f>_xlfn.CONCAT(FINI_grouping_for_wheel[[#This Row],[Recipe Combination]],FINI_grouping_for_wheel[[#This Row],[Subgroup]])</f>
        <v>S7</v>
      </c>
    </row>
    <row r="49" spans="1:55" hidden="1">
      <c r="A49" t="s">
        <v>10</v>
      </c>
      <c r="B49">
        <v>4035382</v>
      </c>
      <c r="C49" t="s">
        <v>246</v>
      </c>
      <c r="D49">
        <v>9003.14090592</v>
      </c>
      <c r="E49">
        <v>341</v>
      </c>
      <c r="F49">
        <v>6.82</v>
      </c>
      <c r="G49" t="s">
        <v>368</v>
      </c>
      <c r="H49" t="s">
        <v>369</v>
      </c>
      <c r="I49">
        <v>375</v>
      </c>
      <c r="J49" t="s">
        <v>90</v>
      </c>
      <c r="K49" t="s">
        <v>370</v>
      </c>
      <c r="L49" t="s">
        <v>371</v>
      </c>
      <c r="M49">
        <v>15449.96025</v>
      </c>
      <c r="N49">
        <v>61.799841</v>
      </c>
      <c r="O49">
        <v>66685.816935</v>
      </c>
      <c r="P49">
        <v>3067714.50961</v>
      </c>
      <c r="Q49">
        <v>0.23168285191826299</v>
      </c>
      <c r="R49">
        <v>2085.87336131</v>
      </c>
      <c r="S49" t="s">
        <v>195</v>
      </c>
      <c r="T49" t="s">
        <v>93</v>
      </c>
      <c r="U49">
        <v>2.5</v>
      </c>
      <c r="V49" t="s">
        <v>105</v>
      </c>
      <c r="W49" t="s">
        <v>95</v>
      </c>
      <c r="X49" t="s">
        <v>106</v>
      </c>
      <c r="Y49" s="23" t="s">
        <v>107</v>
      </c>
      <c r="AA49">
        <v>146</v>
      </c>
      <c r="AB49" t="s">
        <v>372</v>
      </c>
      <c r="AC49" t="s">
        <v>251</v>
      </c>
      <c r="AD49" s="2">
        <v>7</v>
      </c>
      <c r="AE49" s="2" t="s">
        <v>70</v>
      </c>
      <c r="AF49" t="str">
        <f>_xlfn.CONCAT(FINI_grouping_for_wheel[[#This Row],[SEFI/Plant]],"/",IF(FINI_grouping_for_wheel[[#This Row],[RESET recipe combination]]&lt;&gt;"",FINI_grouping_for_wheel[[#This Row],[RESET recipe combination]],FINI_grouping_for_wheel[[#This Row],[Recipe Combination]]),"/",FINI_grouping_for_wheel[[#This Row],[Subgroup]])</f>
        <v>4035382/THDP/x/7</v>
      </c>
      <c r="AG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0.3194223473259087</v>
      </c>
      <c r="AH49">
        <f>_xlfn.LET(_xlpm.pct, FINI_grouping_for_wheel[[#This Row],[% forecast within subgroup]], _xlpm.lote, FINI_grouping_for_wheel[[#This Row],[Lot size considered]], _xlpm.pct*_xlpm.lote)</f>
        <v>2875.8044014748743</v>
      </c>
      <c r="AI49" cm="1">
        <f t="array" aca="1" ref="AI49" ca="1">IFERROR(INDIRECT("FINI_grouping_for_wheel[@["&amp;FINI_grouping_for_wheel[[#This Row],[Selected PV]]&amp;"]]"),"")</f>
        <v>39</v>
      </c>
      <c r="AJ4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7.6</v>
      </c>
      <c r="AL49" s="4"/>
      <c r="AM4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4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47</v>
      </c>
      <c r="AO4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54</v>
      </c>
      <c r="AP4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67</v>
      </c>
      <c r="AQ4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69</v>
      </c>
      <c r="AR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9" s="2" t="str">
        <f>_xlfn.CONCAT(FINI_grouping_for_wheel[[#This Row],[Recipe Combination]],FINI_grouping_for_wheel[[#This Row],[Subgroup]])</f>
        <v>S7</v>
      </c>
    </row>
    <row r="50" spans="1:55" hidden="1">
      <c r="A50" t="s">
        <v>10</v>
      </c>
      <c r="B50">
        <v>4035382</v>
      </c>
      <c r="C50" t="s">
        <v>246</v>
      </c>
      <c r="D50">
        <v>9003.14090592</v>
      </c>
      <c r="E50">
        <v>341</v>
      </c>
      <c r="F50">
        <v>6.82</v>
      </c>
      <c r="G50" t="s">
        <v>373</v>
      </c>
      <c r="H50" t="s">
        <v>374</v>
      </c>
      <c r="I50">
        <v>450</v>
      </c>
      <c r="J50" t="s">
        <v>90</v>
      </c>
      <c r="K50" t="s">
        <v>375</v>
      </c>
      <c r="L50" t="s">
        <v>376</v>
      </c>
      <c r="M50">
        <v>9504.38934</v>
      </c>
      <c r="N50">
        <v>38.01755736</v>
      </c>
      <c r="O50">
        <v>66685.816935</v>
      </c>
      <c r="P50">
        <v>3067714.50961</v>
      </c>
      <c r="Q50">
        <v>0.142524899249028</v>
      </c>
      <c r="R50">
        <v>1283.17175054</v>
      </c>
      <c r="S50" t="s">
        <v>195</v>
      </c>
      <c r="T50" t="s">
        <v>93</v>
      </c>
      <c r="U50">
        <v>3</v>
      </c>
      <c r="V50" t="s">
        <v>105</v>
      </c>
      <c r="W50" t="s">
        <v>95</v>
      </c>
      <c r="X50" t="s">
        <v>106</v>
      </c>
      <c r="Y50" s="23" t="s">
        <v>107</v>
      </c>
      <c r="AA50">
        <v>237</v>
      </c>
      <c r="AB50" t="s">
        <v>377</v>
      </c>
      <c r="AC50" t="s">
        <v>251</v>
      </c>
      <c r="AD50" s="2">
        <v>8</v>
      </c>
      <c r="AE50" s="2" t="s">
        <v>70</v>
      </c>
      <c r="AF50" t="str">
        <f>_xlfn.CONCAT(FINI_grouping_for_wheel[[#This Row],[SEFI/Plant]],"/",IF(FINI_grouping_for_wheel[[#This Row],[RESET recipe combination]]&lt;&gt;"",FINI_grouping_for_wheel[[#This Row],[RESET recipe combination]],FINI_grouping_for_wheel[[#This Row],[Recipe Combination]]),"/",FINI_grouping_for_wheel[[#This Row],[Subgroup]])</f>
        <v>4035382/THDP/x/8</v>
      </c>
      <c r="AG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0.4199623352165725</v>
      </c>
      <c r="AH50">
        <f>_xlfn.LET(_xlpm.pct, FINI_grouping_for_wheel[[#This Row],[% forecast within subgroup]], _xlpm.lote, FINI_grouping_for_wheel[[#This Row],[Lot size considered]], _xlpm.pct*_xlpm.lote)</f>
        <v>3780.9800791340112</v>
      </c>
      <c r="AI50" cm="1">
        <f t="array" aca="1" ref="AI50" ca="1">IFERROR(INDIRECT("FINI_grouping_for_wheel[@["&amp;FINI_grouping_for_wheel[[#This Row],[Selected PV]]&amp;"]]"),"")</f>
        <v>84</v>
      </c>
      <c r="AJ5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8.3</v>
      </c>
      <c r="AL50" s="4"/>
      <c r="AM5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84</v>
      </c>
      <c r="AN5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100</v>
      </c>
      <c r="AO5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116</v>
      </c>
      <c r="AP5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144</v>
      </c>
      <c r="AQ5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147</v>
      </c>
      <c r="AR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0" s="2" t="str">
        <f>_xlfn.CONCAT(FINI_grouping_for_wheel[[#This Row],[Recipe Combination]],FINI_grouping_for_wheel[[#This Row],[Subgroup]])</f>
        <v>S8</v>
      </c>
    </row>
    <row r="51" spans="1:55" hidden="1">
      <c r="A51" t="s">
        <v>10</v>
      </c>
      <c r="B51">
        <v>4035382</v>
      </c>
      <c r="C51" t="s">
        <v>246</v>
      </c>
      <c r="D51">
        <v>9003.14090592</v>
      </c>
      <c r="E51">
        <v>341</v>
      </c>
      <c r="F51">
        <v>6.82</v>
      </c>
      <c r="G51" t="s">
        <v>378</v>
      </c>
      <c r="H51" t="s">
        <v>379</v>
      </c>
      <c r="I51">
        <v>288</v>
      </c>
      <c r="J51" t="s">
        <v>90</v>
      </c>
      <c r="K51" t="s">
        <v>380</v>
      </c>
      <c r="L51" t="s">
        <v>381</v>
      </c>
      <c r="M51">
        <v>11862.7281</v>
      </c>
      <c r="N51">
        <v>47.4509124</v>
      </c>
      <c r="O51">
        <v>66685.816935</v>
      </c>
      <c r="P51">
        <v>3067714.50961</v>
      </c>
      <c r="Q51">
        <v>0.17788982193264333</v>
      </c>
      <c r="R51">
        <v>1601.56713259</v>
      </c>
      <c r="S51" t="s">
        <v>195</v>
      </c>
      <c r="T51" t="s">
        <v>93</v>
      </c>
      <c r="U51">
        <v>6</v>
      </c>
      <c r="V51" t="s">
        <v>196</v>
      </c>
      <c r="W51" t="s">
        <v>95</v>
      </c>
      <c r="X51" t="s">
        <v>106</v>
      </c>
      <c r="Y51" s="23" t="s">
        <v>107</v>
      </c>
      <c r="AA51">
        <v>190</v>
      </c>
      <c r="AB51" t="s">
        <v>382</v>
      </c>
      <c r="AC51" t="s">
        <v>251</v>
      </c>
      <c r="AD51" s="2">
        <v>9</v>
      </c>
      <c r="AE51" s="2" t="s">
        <v>70</v>
      </c>
      <c r="AF51" t="str">
        <f>_xlfn.CONCAT(FINI_grouping_for_wheel[[#This Row],[SEFI/Plant]],"/",IF(FINI_grouping_for_wheel[[#This Row],[RESET recipe combination]]&lt;&gt;"",FINI_grouping_for_wheel[[#This Row],[RESET recipe combination]],FINI_grouping_for_wheel[[#This Row],[Recipe Combination]]),"/",FINI_grouping_for_wheel[[#This Row],[Subgroup]])</f>
        <v>4035382/THDP/x/9</v>
      </c>
      <c r="AG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0.24252692726612612</v>
      </c>
      <c r="AH51">
        <f>_xlfn.LET(_xlpm.pct, FINI_grouping_for_wheel[[#This Row],[% forecast within subgroup]], _xlpm.lote, FINI_grouping_for_wheel[[#This Row],[Lot size considered]], _xlpm.pct*_xlpm.lote)</f>
        <v>2183.5040996567445</v>
      </c>
      <c r="AI51" cm="1">
        <f t="array" aca="1" ref="AI51" ca="1">IFERROR(INDIRECT("FINI_grouping_for_wheel[@["&amp;FINI_grouping_for_wheel[[#This Row],[Selected PV]]&amp;"]]"),"")</f>
        <v>39</v>
      </c>
      <c r="AJ5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7.5</v>
      </c>
      <c r="AL51" s="4"/>
      <c r="AM5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5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46</v>
      </c>
      <c r="AO5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54</v>
      </c>
      <c r="AP5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67</v>
      </c>
      <c r="AQ5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68</v>
      </c>
      <c r="AR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1" s="2" t="str">
        <f>_xlfn.CONCAT(FINI_grouping_for_wheel[[#This Row],[Recipe Combination]],FINI_grouping_for_wheel[[#This Row],[Subgroup]])</f>
        <v>S9</v>
      </c>
    </row>
    <row r="52" spans="1:55" hidden="1">
      <c r="A52" t="s">
        <v>10</v>
      </c>
      <c r="B52" s="40">
        <v>4035382</v>
      </c>
      <c r="C52" t="s">
        <v>246</v>
      </c>
      <c r="D52">
        <v>9003.14090592</v>
      </c>
      <c r="E52">
        <v>341</v>
      </c>
      <c r="F52">
        <v>6.82</v>
      </c>
      <c r="G52" t="s">
        <v>383</v>
      </c>
      <c r="H52" t="s">
        <v>384</v>
      </c>
      <c r="I52">
        <v>440</v>
      </c>
      <c r="J52" t="s">
        <v>90</v>
      </c>
      <c r="K52" t="s">
        <v>385</v>
      </c>
      <c r="L52" t="s">
        <v>386</v>
      </c>
      <c r="M52">
        <v>101673.7614</v>
      </c>
      <c r="N52">
        <v>406.6950456</v>
      </c>
      <c r="O52">
        <v>873321.73011</v>
      </c>
      <c r="P52">
        <v>3067714.50961</v>
      </c>
      <c r="Q52">
        <v>0.11642188427762308</v>
      </c>
      <c r="R52">
        <v>1048.16262868</v>
      </c>
      <c r="S52" t="s">
        <v>387</v>
      </c>
      <c r="T52" t="s">
        <v>93</v>
      </c>
      <c r="U52">
        <v>10</v>
      </c>
      <c r="V52" t="s">
        <v>94</v>
      </c>
      <c r="W52" t="s">
        <v>95</v>
      </c>
      <c r="X52" t="s">
        <v>96</v>
      </c>
      <c r="Y52" s="23" t="s">
        <v>97</v>
      </c>
      <c r="AA52">
        <v>22</v>
      </c>
      <c r="AB52" t="s">
        <v>388</v>
      </c>
      <c r="AC52" t="s">
        <v>251</v>
      </c>
      <c r="AD52" s="2">
        <v>10</v>
      </c>
      <c r="AE52" s="2" t="s">
        <v>73</v>
      </c>
      <c r="AF52" t="str">
        <f>_xlfn.CONCAT(FINI_grouping_for_wheel[[#This Row],[SEFI/Plant]],"/",IF(FINI_grouping_for_wheel[[#This Row],[RESET recipe combination]]&lt;&gt;"",FINI_grouping_for_wheel[[#This Row],[RESET recipe combination]],FINI_grouping_for_wheel[[#This Row],[Recipe Combination]]),"/",FINI_grouping_for_wheel[[#This Row],[Subgroup]])</f>
        <v>4035382/THDP/x/10</v>
      </c>
      <c r="AG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0.6363366923532898</v>
      </c>
      <c r="AH52">
        <f>_xlfn.LET(_xlpm.pct, FINI_grouping_for_wheel[[#This Row],[% forecast within subgroup]], _xlpm.lote, FINI_grouping_for_wheel[[#This Row],[Lot size considered]], _xlpm.pct*_xlpm.lote)</f>
        <v>5729.028904863734</v>
      </c>
      <c r="AI52" cm="1">
        <f t="array" aca="1" ref="AI52" ca="1">IFERROR(INDIRECT("FINI_grouping_for_wheel[@["&amp;FINI_grouping_for_wheel[[#This Row],[Selected PV]]&amp;"]]"),"")</f>
        <v>20</v>
      </c>
      <c r="AJ5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14467.3191</v>
      </c>
      <c r="AK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20.9</v>
      </c>
      <c r="AL52" s="4"/>
      <c r="AM5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5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14</v>
      </c>
      <c r="AO5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16</v>
      </c>
      <c r="AP5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20</v>
      </c>
      <c r="AQ5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21</v>
      </c>
      <c r="AR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2" s="2" t="str">
        <f>_xlfn.CONCAT(FINI_grouping_for_wheel[[#This Row],[Recipe Combination]],FINI_grouping_for_wheel[[#This Row],[Subgroup]])</f>
        <v>X10</v>
      </c>
    </row>
    <row r="53" spans="1:55" hidden="1">
      <c r="A53" t="s">
        <v>10</v>
      </c>
      <c r="B53">
        <v>4035382</v>
      </c>
      <c r="C53" t="s">
        <v>246</v>
      </c>
      <c r="D53">
        <v>9003.14090592</v>
      </c>
      <c r="E53">
        <v>341</v>
      </c>
      <c r="F53">
        <v>6.82</v>
      </c>
      <c r="G53" t="s">
        <v>389</v>
      </c>
      <c r="H53" t="s">
        <v>390</v>
      </c>
      <c r="I53">
        <v>330</v>
      </c>
      <c r="J53" t="s">
        <v>90</v>
      </c>
      <c r="K53" t="s">
        <v>391</v>
      </c>
      <c r="L53" t="s">
        <v>392</v>
      </c>
      <c r="M53">
        <v>3764.8179</v>
      </c>
      <c r="N53">
        <v>15.0592716</v>
      </c>
      <c r="O53">
        <v>873321.73011</v>
      </c>
      <c r="P53">
        <v>3067714.50961</v>
      </c>
      <c r="Q53">
        <v>4.310917466265037E-3</v>
      </c>
      <c r="R53">
        <v>38.8117973826</v>
      </c>
      <c r="S53" t="s">
        <v>387</v>
      </c>
      <c r="T53" t="s">
        <v>93</v>
      </c>
      <c r="U53">
        <v>10</v>
      </c>
      <c r="V53" t="s">
        <v>94</v>
      </c>
      <c r="W53" t="s">
        <v>95</v>
      </c>
      <c r="X53" t="s">
        <v>96</v>
      </c>
      <c r="Y53" s="23" t="s">
        <v>97</v>
      </c>
      <c r="AA53">
        <v>598</v>
      </c>
      <c r="AB53" t="s">
        <v>393</v>
      </c>
      <c r="AC53" t="s">
        <v>251</v>
      </c>
      <c r="AD53" s="2">
        <v>16</v>
      </c>
      <c r="AE53" s="2" t="s">
        <v>70</v>
      </c>
      <c r="AF53" t="str">
        <f>_xlfn.CONCAT(FINI_grouping_for_wheel[[#This Row],[SEFI/Plant]],"/",IF(FINI_grouping_for_wheel[[#This Row],[RESET recipe combination]]&lt;&gt;"",FINI_grouping_for_wheel[[#This Row],[RESET recipe combination]],FINI_grouping_for_wheel[[#This Row],[Recipe Combination]]),"/",FINI_grouping_for_wheel[[#This Row],[Subgroup]])</f>
        <v>4035382/THDP/x/16</v>
      </c>
      <c r="AG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0.1921450151057402</v>
      </c>
      <c r="AH53">
        <f>_xlfn.LET(_xlpm.pct, FINI_grouping_for_wheel[[#This Row],[% forecast within subgroup]], _xlpm.lote, FINI_grouping_for_wheel[[#This Row],[Lot size considered]], _xlpm.pct*_xlpm.lote)</f>
        <v>1729.9086453671057</v>
      </c>
      <c r="AI53" cm="1">
        <f t="array" aca="1" ref="AI53" ca="1">IFERROR(INDIRECT("FINI_grouping_for_wheel[@["&amp;FINI_grouping_for_wheel[[#This Row],[Selected PV]]&amp;"]]"),"")</f>
        <v>96</v>
      </c>
      <c r="AJ5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5.2</v>
      </c>
      <c r="AL53" s="4"/>
      <c r="AM5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5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116</v>
      </c>
      <c r="AO5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135</v>
      </c>
      <c r="AP5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166</v>
      </c>
      <c r="AQ5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170</v>
      </c>
      <c r="AR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3" s="2" t="str">
        <f>_xlfn.CONCAT(FINI_grouping_for_wheel[[#This Row],[Recipe Combination]],FINI_grouping_for_wheel[[#This Row],[Subgroup]])</f>
        <v>X16</v>
      </c>
    </row>
    <row r="54" spans="1:55" hidden="1">
      <c r="A54" t="s">
        <v>10</v>
      </c>
      <c r="B54" s="40">
        <v>4035382</v>
      </c>
      <c r="C54" t="s">
        <v>246</v>
      </c>
      <c r="D54">
        <v>9003.14090592</v>
      </c>
      <c r="E54">
        <v>341</v>
      </c>
      <c r="F54">
        <v>6.82</v>
      </c>
      <c r="G54" t="s">
        <v>394</v>
      </c>
      <c r="H54" t="s">
        <v>395</v>
      </c>
      <c r="I54">
        <v>240</v>
      </c>
      <c r="J54" t="s">
        <v>90</v>
      </c>
      <c r="K54" t="s">
        <v>396</v>
      </c>
      <c r="L54" t="s">
        <v>397</v>
      </c>
      <c r="M54">
        <v>276098.48505</v>
      </c>
      <c r="N54">
        <v>1104.3939402</v>
      </c>
      <c r="O54">
        <v>873321.73011</v>
      </c>
      <c r="P54">
        <v>3067714.50961</v>
      </c>
      <c r="Q54">
        <v>0.3161475038703363</v>
      </c>
      <c r="R54">
        <v>2846.3205244</v>
      </c>
      <c r="S54" t="s">
        <v>387</v>
      </c>
      <c r="T54" t="s">
        <v>93</v>
      </c>
      <c r="U54">
        <v>10</v>
      </c>
      <c r="V54" t="s">
        <v>238</v>
      </c>
      <c r="W54" t="s">
        <v>142</v>
      </c>
      <c r="X54" t="s">
        <v>96</v>
      </c>
      <c r="Y54" s="23" t="s">
        <v>97</v>
      </c>
      <c r="AA54">
        <v>8</v>
      </c>
      <c r="AB54" t="s">
        <v>398</v>
      </c>
      <c r="AC54" t="s">
        <v>251</v>
      </c>
      <c r="AD54" s="2">
        <v>3</v>
      </c>
      <c r="AE54" s="2" t="s">
        <v>73</v>
      </c>
      <c r="AF54" t="str">
        <f>_xlfn.CONCAT(FINI_grouping_for_wheel[[#This Row],[SEFI/Plant]],"/",IF(FINI_grouping_for_wheel[[#This Row],[RESET recipe combination]]&lt;&gt;"",FINI_grouping_for_wheel[[#This Row],[RESET recipe combination]],FINI_grouping_for_wheel[[#This Row],[Recipe Combination]]),"/",FINI_grouping_for_wheel[[#This Row],[Subgroup]])</f>
        <v>4035382/THDP/x/3</v>
      </c>
      <c r="AG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4">
        <f>_xlfn.LET(_xlpm.pct, FINI_grouping_for_wheel[[#This Row],[% forecast within subgroup]], _xlpm.lote, FINI_grouping_for_wheel[[#This Row],[Lot size considered]], _xlpm.pct*_xlpm.lote)</f>
        <v>9003.14090592</v>
      </c>
      <c r="AI54" cm="1">
        <f t="array" aca="1" ref="AI54" ca="1">IFERROR(INDIRECT("FINI_grouping_for_wheel[@["&amp;FINI_grouping_for_wheel[[#This Row],[Selected PV]]&amp;"]]"),"")</f>
        <v>12</v>
      </c>
      <c r="AJ5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14467.3191</v>
      </c>
      <c r="AK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60.3</v>
      </c>
      <c r="AL54" s="4"/>
      <c r="AM5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v>
      </c>
      <c r="AN5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8</v>
      </c>
      <c r="AO5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10</v>
      </c>
      <c r="AP5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12</v>
      </c>
      <c r="AQ5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12</v>
      </c>
      <c r="AR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4" s="2" t="str">
        <f>_xlfn.CONCAT(FINI_grouping_for_wheel[[#This Row],[Recipe Combination]],FINI_grouping_for_wheel[[#This Row],[Subgroup]])</f>
        <v>X3</v>
      </c>
    </row>
    <row r="55" spans="1:55" hidden="1">
      <c r="A55" t="s">
        <v>10</v>
      </c>
      <c r="B55" s="40">
        <v>4035382</v>
      </c>
      <c r="C55" t="s">
        <v>246</v>
      </c>
      <c r="D55">
        <v>9003.14090592</v>
      </c>
      <c r="E55">
        <v>341</v>
      </c>
      <c r="F55">
        <v>6.82</v>
      </c>
      <c r="G55" t="s">
        <v>399</v>
      </c>
      <c r="H55" t="s">
        <v>400</v>
      </c>
      <c r="I55">
        <v>396</v>
      </c>
      <c r="J55" t="s">
        <v>90</v>
      </c>
      <c r="K55" t="s">
        <v>401</v>
      </c>
      <c r="L55" t="s">
        <v>402</v>
      </c>
      <c r="M55">
        <v>376709.09976</v>
      </c>
      <c r="N55">
        <v>1506.83639904</v>
      </c>
      <c r="O55">
        <v>873321.73011</v>
      </c>
      <c r="P55">
        <v>3067714.50961</v>
      </c>
      <c r="Q55">
        <v>0.43135202843578768</v>
      </c>
      <c r="R55">
        <v>3883.52309206</v>
      </c>
      <c r="S55" t="s">
        <v>387</v>
      </c>
      <c r="T55" t="s">
        <v>93</v>
      </c>
      <c r="U55">
        <v>12</v>
      </c>
      <c r="V55" t="s">
        <v>238</v>
      </c>
      <c r="W55" t="s">
        <v>142</v>
      </c>
      <c r="X55" t="s">
        <v>96</v>
      </c>
      <c r="Y55" s="23" t="s">
        <v>97</v>
      </c>
      <c r="AA55">
        <v>6</v>
      </c>
      <c r="AB55" t="s">
        <v>403</v>
      </c>
      <c r="AC55" t="s">
        <v>251</v>
      </c>
      <c r="AD55" s="2">
        <v>2</v>
      </c>
      <c r="AE55" s="2" t="s">
        <v>73</v>
      </c>
      <c r="AF55" t="str">
        <f>_xlfn.CONCAT(FINI_grouping_for_wheel[[#This Row],[SEFI/Plant]],"/",IF(FINI_grouping_for_wheel[[#This Row],[RESET recipe combination]]&lt;&gt;"",FINI_grouping_for_wheel[[#This Row],[RESET recipe combination]],FINI_grouping_for_wheel[[#This Row],[Recipe Combination]]),"/",FINI_grouping_for_wheel[[#This Row],[Subgroup]])</f>
        <v>4035382/THDP/x/2</v>
      </c>
      <c r="AG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5">
        <f>_xlfn.LET(_xlpm.pct, FINI_grouping_for_wheel[[#This Row],[% forecast within subgroup]], _xlpm.lote, FINI_grouping_for_wheel[[#This Row],[Lot size considered]], _xlpm.pct*_xlpm.lote)</f>
        <v>9003.14090592</v>
      </c>
      <c r="AI55" cm="1">
        <f t="array" aca="1" ref="AI55" ca="1">IFERROR(INDIRECT("FINI_grouping_for_wheel[@["&amp;FINI_grouping_for_wheel[[#This Row],[Selected PV]]&amp;"]]"),"")</f>
        <v>9</v>
      </c>
      <c r="AJ5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14467.3191</v>
      </c>
      <c r="AK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36.5</v>
      </c>
      <c r="AL55" s="4"/>
      <c r="AM5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v>
      </c>
      <c r="AN5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6</v>
      </c>
      <c r="AO5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7</v>
      </c>
      <c r="AP5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9</v>
      </c>
      <c r="AQ5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9</v>
      </c>
      <c r="AR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5" s="2" t="str">
        <f>_xlfn.CONCAT(FINI_grouping_for_wheel[[#This Row],[Recipe Combination]],FINI_grouping_for_wheel[[#This Row],[Subgroup]])</f>
        <v>X2</v>
      </c>
    </row>
    <row r="56" spans="1:55" hidden="1">
      <c r="A56" t="s">
        <v>10</v>
      </c>
      <c r="B56" s="40">
        <v>4035382</v>
      </c>
      <c r="C56" t="s">
        <v>246</v>
      </c>
      <c r="D56">
        <v>9003.14090592</v>
      </c>
      <c r="E56">
        <v>341</v>
      </c>
      <c r="F56">
        <v>6.82</v>
      </c>
      <c r="G56" t="s">
        <v>404</v>
      </c>
      <c r="H56" t="s">
        <v>405</v>
      </c>
      <c r="I56">
        <v>405</v>
      </c>
      <c r="J56" t="s">
        <v>90</v>
      </c>
      <c r="K56" t="s">
        <v>406</v>
      </c>
      <c r="L56" t="s">
        <v>407</v>
      </c>
      <c r="M56">
        <v>25536.83085</v>
      </c>
      <c r="N56">
        <v>102.1473234</v>
      </c>
      <c r="O56">
        <v>44017.5879</v>
      </c>
      <c r="P56">
        <v>3067714.50961</v>
      </c>
      <c r="Q56">
        <v>0.58015061861215711</v>
      </c>
      <c r="R56">
        <v>5223.17776602</v>
      </c>
      <c r="S56" t="s">
        <v>157</v>
      </c>
      <c r="T56" t="s">
        <v>93</v>
      </c>
      <c r="U56">
        <v>15</v>
      </c>
      <c r="V56" t="s">
        <v>408</v>
      </c>
      <c r="W56" t="s">
        <v>142</v>
      </c>
      <c r="X56" t="s">
        <v>96</v>
      </c>
      <c r="Y56" s="23" t="s">
        <v>97</v>
      </c>
      <c r="AA56">
        <v>88</v>
      </c>
      <c r="AB56" t="s">
        <v>409</v>
      </c>
      <c r="AC56" t="s">
        <v>251</v>
      </c>
      <c r="AD56" s="2">
        <v>12</v>
      </c>
      <c r="AE56" s="2" t="s">
        <v>73</v>
      </c>
      <c r="AF56" t="str">
        <f>_xlfn.CONCAT(FINI_grouping_for_wheel[[#This Row],[SEFI/Plant]],"/",IF(FINI_grouping_for_wheel[[#This Row],[RESET recipe combination]]&lt;&gt;"",FINI_grouping_for_wheel[[#This Row],[RESET recipe combination]],FINI_grouping_for_wheel[[#This Row],[Recipe Combination]]),"/",FINI_grouping_for_wheel[[#This Row],[Subgroup]])</f>
        <v>4035382/THDP/x/12</v>
      </c>
      <c r="AG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0.4318318318318318</v>
      </c>
      <c r="AH56">
        <f>_xlfn.LET(_xlpm.pct, FINI_grouping_for_wheel[[#This Row],[% forecast within subgroup]], _xlpm.lote, FINI_grouping_for_wheel[[#This Row],[Lot size considered]], _xlpm.pct*_xlpm.lote)</f>
        <v>3887.8428296435313</v>
      </c>
      <c r="AI56" cm="1">
        <f t="array" aca="1" ref="AI56" ca="1">IFERROR(INDIRECT("FINI_grouping_for_wheel[@["&amp;FINI_grouping_for_wheel[[#This Row],[Selected PV]]&amp;"]]"),"")</f>
        <v>55</v>
      </c>
      <c r="AJ5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14467.3191</v>
      </c>
      <c r="AK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15.4</v>
      </c>
      <c r="AL56" s="4"/>
      <c r="AM5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32</v>
      </c>
      <c r="AN5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38</v>
      </c>
      <c r="AO5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45</v>
      </c>
      <c r="AP5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55</v>
      </c>
      <c r="AQ5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56</v>
      </c>
      <c r="AR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6" s="2" t="str">
        <f>_xlfn.CONCAT(FINI_grouping_for_wheel[[#This Row],[Recipe Combination]],FINI_grouping_for_wheel[[#This Row],[Subgroup]])</f>
        <v>M12</v>
      </c>
    </row>
    <row r="57" spans="1:55" hidden="1">
      <c r="A57" t="s">
        <v>10</v>
      </c>
      <c r="B57" s="40">
        <v>4035382</v>
      </c>
      <c r="C57" t="s">
        <v>246</v>
      </c>
      <c r="D57">
        <v>9003.14090592</v>
      </c>
      <c r="E57">
        <v>341</v>
      </c>
      <c r="F57">
        <v>6.82</v>
      </c>
      <c r="G57" t="s">
        <v>410</v>
      </c>
      <c r="H57" t="s">
        <v>411</v>
      </c>
      <c r="I57">
        <v>495</v>
      </c>
      <c r="J57" t="s">
        <v>90</v>
      </c>
      <c r="K57" t="s">
        <v>412</v>
      </c>
      <c r="L57" t="s">
        <v>413</v>
      </c>
      <c r="M57">
        <v>205679.81565</v>
      </c>
      <c r="N57">
        <v>822.7192626</v>
      </c>
      <c r="O57">
        <v>205679.81565</v>
      </c>
      <c r="P57">
        <v>3067714.50961</v>
      </c>
      <c r="Q57">
        <v>1</v>
      </c>
      <c r="R57">
        <v>9003.14090592</v>
      </c>
      <c r="S57" t="s">
        <v>224</v>
      </c>
      <c r="T57" t="s">
        <v>93</v>
      </c>
      <c r="U57">
        <v>15</v>
      </c>
      <c r="V57" t="s">
        <v>408</v>
      </c>
      <c r="W57" t="s">
        <v>95</v>
      </c>
      <c r="X57" t="s">
        <v>96</v>
      </c>
      <c r="Y57" s="23" t="s">
        <v>97</v>
      </c>
      <c r="AA57">
        <v>11</v>
      </c>
      <c r="AB57" t="s">
        <v>414</v>
      </c>
      <c r="AC57" t="s">
        <v>251</v>
      </c>
      <c r="AD57" s="2">
        <v>4</v>
      </c>
      <c r="AE57" s="2" t="s">
        <v>73</v>
      </c>
      <c r="AF57" t="str">
        <f>_xlfn.CONCAT(FINI_grouping_for_wheel[[#This Row],[SEFI/Plant]],"/",IF(FINI_grouping_for_wheel[[#This Row],[RESET recipe combination]]&lt;&gt;"",FINI_grouping_for_wheel[[#This Row],[RESET recipe combination]],FINI_grouping_for_wheel[[#This Row],[Recipe Combination]]),"/",FINI_grouping_for_wheel[[#This Row],[Subgroup]])</f>
        <v>4035382/THDP/x/4</v>
      </c>
      <c r="AG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7">
        <f>_xlfn.LET(_xlpm.pct, FINI_grouping_for_wheel[[#This Row],[% forecast within subgroup]], _xlpm.lote, FINI_grouping_for_wheel[[#This Row],[Lot size considered]], _xlpm.pct*_xlpm.lote)</f>
        <v>9003.14090592</v>
      </c>
      <c r="AI57" cm="1">
        <f t="array" aca="1" ref="AI57" ca="1">IFERROR(INDIRECT("FINI_grouping_for_wheel[@["&amp;FINI_grouping_for_wheel[[#This Row],[Selected PV]]&amp;"]]"),"")</f>
        <v>16</v>
      </c>
      <c r="AJ5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14467.3191</v>
      </c>
      <c r="AK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29.2</v>
      </c>
      <c r="AL57" s="4"/>
      <c r="AM5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v>
      </c>
      <c r="AN5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11</v>
      </c>
      <c r="AO5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13</v>
      </c>
      <c r="AP5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16</v>
      </c>
      <c r="AQ5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16</v>
      </c>
      <c r="AR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7" s="2" t="str">
        <f>_xlfn.CONCAT(FINI_grouping_for_wheel[[#This Row],[Recipe Combination]],FINI_grouping_for_wheel[[#This Row],[Subgroup]])</f>
        <v>V4</v>
      </c>
    </row>
    <row r="58" spans="1:55" hidden="1">
      <c r="A58" t="s">
        <v>10</v>
      </c>
      <c r="B58" s="40">
        <v>4035382</v>
      </c>
      <c r="C58" t="s">
        <v>246</v>
      </c>
      <c r="D58">
        <v>9003.14090592</v>
      </c>
      <c r="E58">
        <v>341</v>
      </c>
      <c r="F58">
        <v>6.82</v>
      </c>
      <c r="G58" t="s">
        <v>415</v>
      </c>
      <c r="H58" t="s">
        <v>416</v>
      </c>
      <c r="I58">
        <v>495</v>
      </c>
      <c r="J58" t="s">
        <v>90</v>
      </c>
      <c r="K58" t="s">
        <v>417</v>
      </c>
      <c r="L58" t="s">
        <v>418</v>
      </c>
      <c r="M58">
        <v>81476.3421</v>
      </c>
      <c r="N58">
        <v>325.9053684</v>
      </c>
      <c r="O58">
        <v>873321.73011</v>
      </c>
      <c r="P58">
        <v>3067714.50961</v>
      </c>
      <c r="Q58">
        <v>9.3294761015207506E-2</v>
      </c>
      <c r="R58">
        <v>839.945879204</v>
      </c>
      <c r="S58" t="s">
        <v>387</v>
      </c>
      <c r="T58" t="s">
        <v>93</v>
      </c>
      <c r="U58">
        <v>15</v>
      </c>
      <c r="V58" t="s">
        <v>408</v>
      </c>
      <c r="W58" t="s">
        <v>95</v>
      </c>
      <c r="X58" t="s">
        <v>96</v>
      </c>
      <c r="Y58" s="23" t="s">
        <v>97</v>
      </c>
      <c r="AA58">
        <v>28</v>
      </c>
      <c r="AB58" t="s">
        <v>419</v>
      </c>
      <c r="AC58" t="s">
        <v>251</v>
      </c>
      <c r="AD58" s="2">
        <v>11</v>
      </c>
      <c r="AE58" s="2" t="s">
        <v>73</v>
      </c>
      <c r="AF58" t="str">
        <f>_xlfn.CONCAT(FINI_grouping_for_wheel[[#This Row],[SEFI/Plant]],"/",IF(FINI_grouping_for_wheel[[#This Row],[RESET recipe combination]]&lt;&gt;"",FINI_grouping_for_wheel[[#This Row],[RESET recipe combination]],FINI_grouping_for_wheel[[#This Row],[Recipe Combination]]),"/",FINI_grouping_for_wheel[[#This Row],[Subgroup]])</f>
        <v>4035382/THDP/x/11</v>
      </c>
      <c r="AG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8">
        <f>_xlfn.LET(_xlpm.pct, FINI_grouping_for_wheel[[#This Row],[% forecast within subgroup]], _xlpm.lote, FINI_grouping_for_wheel[[#This Row],[Lot size considered]], _xlpm.pct*_xlpm.lote)</f>
        <v>9003.14090592</v>
      </c>
      <c r="AI58" cm="1">
        <f t="array" aca="1" ref="AI58" ca="1">IFERROR(INDIRECT("FINI_grouping_for_wheel[@["&amp;FINI_grouping_for_wheel[[#This Row],[Selected PV]]&amp;"]]"),"")</f>
        <v>40</v>
      </c>
      <c r="AJ5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14467.3191</v>
      </c>
      <c r="AK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29.2</v>
      </c>
      <c r="AL58" s="4"/>
      <c r="AM5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23</v>
      </c>
      <c r="AN5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28</v>
      </c>
      <c r="AO5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32</v>
      </c>
      <c r="AP5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40</v>
      </c>
      <c r="AQ5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41</v>
      </c>
      <c r="AR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8" s="2" t="str">
        <f>_xlfn.CONCAT(FINI_grouping_for_wheel[[#This Row],[Recipe Combination]],FINI_grouping_for_wheel[[#This Row],[Subgroup]])</f>
        <v>X11</v>
      </c>
    </row>
    <row r="59" spans="1:55" hidden="1">
      <c r="A59" t="s">
        <v>10</v>
      </c>
      <c r="B59" s="40">
        <v>4035382</v>
      </c>
      <c r="C59" t="s">
        <v>246</v>
      </c>
      <c r="D59">
        <v>9003.14090592</v>
      </c>
      <c r="E59">
        <v>341</v>
      </c>
      <c r="F59">
        <v>6.82</v>
      </c>
      <c r="G59" t="s">
        <v>420</v>
      </c>
      <c r="H59" t="s">
        <v>421</v>
      </c>
      <c r="I59">
        <v>405</v>
      </c>
      <c r="J59" t="s">
        <v>90</v>
      </c>
      <c r="K59" t="s">
        <v>406</v>
      </c>
      <c r="L59" t="s">
        <v>407</v>
      </c>
      <c r="M59">
        <v>33599.2239</v>
      </c>
      <c r="N59">
        <v>134.3968956</v>
      </c>
      <c r="O59">
        <v>873321.73011</v>
      </c>
      <c r="P59">
        <v>3067714.50961</v>
      </c>
      <c r="Q59">
        <v>3.8472904934780429E-2</v>
      </c>
      <c r="R59">
        <v>346.376984188</v>
      </c>
      <c r="S59" t="s">
        <v>387</v>
      </c>
      <c r="T59" t="s">
        <v>93</v>
      </c>
      <c r="U59">
        <v>15</v>
      </c>
      <c r="V59" t="s">
        <v>408</v>
      </c>
      <c r="W59" t="s">
        <v>142</v>
      </c>
      <c r="X59" t="s">
        <v>96</v>
      </c>
      <c r="Y59" s="23" t="s">
        <v>97</v>
      </c>
      <c r="AA59">
        <v>67</v>
      </c>
      <c r="AB59" t="s">
        <v>422</v>
      </c>
      <c r="AC59" t="s">
        <v>251</v>
      </c>
      <c r="AD59" s="2">
        <v>12</v>
      </c>
      <c r="AE59" s="2" t="s">
        <v>73</v>
      </c>
      <c r="AF59" t="str">
        <f>_xlfn.CONCAT(FINI_grouping_for_wheel[[#This Row],[SEFI/Plant]],"/",IF(FINI_grouping_for_wheel[[#This Row],[RESET recipe combination]]&lt;&gt;"",FINI_grouping_for_wheel[[#This Row],[RESET recipe combination]],FINI_grouping_for_wheel[[#This Row],[Recipe Combination]]),"/",FINI_grouping_for_wheel[[#This Row],[Subgroup]])</f>
        <v>4035382/THDP/x/12</v>
      </c>
      <c r="AG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0.5681681681681682</v>
      </c>
      <c r="AH59">
        <f>_xlfn.LET(_xlpm.pct, FINI_grouping_for_wheel[[#This Row],[% forecast within subgroup]], _xlpm.lote, FINI_grouping_for_wheel[[#This Row],[Lot size considered]], _xlpm.pct*_xlpm.lote)</f>
        <v>5115.298076276468</v>
      </c>
      <c r="AI59" cm="1">
        <f t="array" aca="1" ref="AI59" ca="1">IFERROR(INDIRECT("FINI_grouping_for_wheel[@["&amp;FINI_grouping_for_wheel[[#This Row],[Selected PV]]&amp;"]]"),"")</f>
        <v>55</v>
      </c>
      <c r="AJ5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14467.3191</v>
      </c>
      <c r="AK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20.3</v>
      </c>
      <c r="AL59" s="4"/>
      <c r="AM5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32</v>
      </c>
      <c r="AN5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38</v>
      </c>
      <c r="AO5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45</v>
      </c>
      <c r="AP5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55</v>
      </c>
      <c r="AQ5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56</v>
      </c>
      <c r="AR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9" t="str">
        <f>_xlfn.CONCAT(FINI_grouping_for_wheel[[#This Row],[Recipe Combination]],FINI_grouping_for_wheel[[#This Row],[Subgroup]])</f>
        <v>X12</v>
      </c>
    </row>
    <row r="60" spans="1:55" hidden="1">
      <c r="A60" t="s">
        <v>10</v>
      </c>
      <c r="B60">
        <v>4035108</v>
      </c>
      <c r="C60" t="s">
        <v>423</v>
      </c>
      <c r="D60">
        <v>8518.74623018</v>
      </c>
      <c r="E60">
        <v>277</v>
      </c>
      <c r="F60">
        <v>5.54</v>
      </c>
      <c r="G60" t="s">
        <v>424</v>
      </c>
      <c r="H60" t="s">
        <v>425</v>
      </c>
      <c r="I60">
        <v>300</v>
      </c>
      <c r="J60" t="s">
        <v>90</v>
      </c>
      <c r="K60" t="s">
        <v>292</v>
      </c>
      <c r="L60" t="s">
        <v>293</v>
      </c>
      <c r="M60">
        <v>2880.440865</v>
      </c>
      <c r="N60">
        <v>11.52176346</v>
      </c>
      <c r="O60">
        <v>2880.440865</v>
      </c>
      <c r="P60">
        <v>2354473.31017</v>
      </c>
      <c r="Q60">
        <v>1</v>
      </c>
      <c r="R60">
        <v>8518.74623018</v>
      </c>
      <c r="S60" t="s">
        <v>294</v>
      </c>
      <c r="T60" t="s">
        <v>93</v>
      </c>
      <c r="U60">
        <v>12.5</v>
      </c>
      <c r="V60" t="s">
        <v>295</v>
      </c>
      <c r="W60" t="s">
        <v>142</v>
      </c>
      <c r="X60" t="s">
        <v>128</v>
      </c>
      <c r="Y60" s="23" t="s">
        <v>120</v>
      </c>
      <c r="AA60">
        <v>739</v>
      </c>
      <c r="AB60" t="s">
        <v>426</v>
      </c>
      <c r="AC60" t="s">
        <v>427</v>
      </c>
      <c r="AD60" s="2">
        <v>5</v>
      </c>
      <c r="AE60" s="2" t="s">
        <v>70</v>
      </c>
      <c r="AF60" t="str">
        <f>_xlfn.CONCAT(FINI_grouping_for_wheel[[#This Row],[SEFI/Plant]],"/",IF(FINI_grouping_for_wheel[[#This Row],[RESET recipe combination]]&lt;&gt;"",FINI_grouping_for_wheel[[#This Row],[RESET recipe combination]],FINI_grouping_for_wheel[[#This Row],[Recipe Combination]]),"/",FINI_grouping_for_wheel[[#This Row],[Subgroup]])</f>
        <v>4035108/THDP/x/5</v>
      </c>
      <c r="AG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0.14631946114986769</v>
      </c>
      <c r="AH60">
        <f>_xlfn.LET(_xlpm.pct, FINI_grouping_for_wheel[[#This Row],[% forecast within subgroup]], _xlpm.lote, FINI_grouping_for_wheel[[#This Row],[Lot size considered]], _xlpm.pct*_xlpm.lote)</f>
        <v>1246.4583580724045</v>
      </c>
      <c r="AI60" cm="1">
        <f t="array" aca="1" ref="AI60" ca="1">IFERROR(INDIRECT("FINI_grouping_for_wheel[@["&amp;FINI_grouping_for_wheel[[#This Row],[Selected PV]]&amp;"]]"),"")</f>
        <v>96</v>
      </c>
      <c r="AJ6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4.3</v>
      </c>
      <c r="AL60" s="4"/>
      <c r="AM6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6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157</v>
      </c>
      <c r="AO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0" s="2" t="str">
        <f>_xlfn.CONCAT(FINI_grouping_for_wheel[[#This Row],[Recipe Combination]],FINI_grouping_for_wheel[[#This Row],[Subgroup]])</f>
        <v>C5</v>
      </c>
    </row>
    <row r="61" spans="1:55" hidden="1">
      <c r="A61" t="s">
        <v>10</v>
      </c>
      <c r="B61">
        <v>4035108</v>
      </c>
      <c r="C61" t="s">
        <v>423</v>
      </c>
      <c r="D61">
        <v>8518.74623018</v>
      </c>
      <c r="E61">
        <v>277</v>
      </c>
      <c r="F61">
        <v>5.54</v>
      </c>
      <c r="G61" t="s">
        <v>428</v>
      </c>
      <c r="H61" t="s">
        <v>429</v>
      </c>
      <c r="I61">
        <v>360</v>
      </c>
      <c r="J61" t="s">
        <v>90</v>
      </c>
      <c r="K61" t="s">
        <v>430</v>
      </c>
      <c r="L61" t="s">
        <v>431</v>
      </c>
      <c r="M61">
        <v>19297.6515</v>
      </c>
      <c r="N61">
        <v>77.190606</v>
      </c>
      <c r="O61">
        <v>19297.6515</v>
      </c>
      <c r="P61">
        <v>2354473.31017</v>
      </c>
      <c r="Q61">
        <v>1</v>
      </c>
      <c r="R61">
        <v>8518.74623018</v>
      </c>
      <c r="S61" t="s">
        <v>165</v>
      </c>
      <c r="T61" t="s">
        <v>93</v>
      </c>
      <c r="U61">
        <v>2.5</v>
      </c>
      <c r="V61" t="s">
        <v>166</v>
      </c>
      <c r="W61" t="s">
        <v>95</v>
      </c>
      <c r="X61" t="s">
        <v>96</v>
      </c>
      <c r="Y61" s="23" t="s">
        <v>167</v>
      </c>
      <c r="AA61">
        <v>110</v>
      </c>
      <c r="AB61" t="s">
        <v>432</v>
      </c>
      <c r="AC61" t="s">
        <v>427</v>
      </c>
      <c r="AD61" s="2">
        <v>4</v>
      </c>
      <c r="AE61" s="2" t="s">
        <v>70</v>
      </c>
      <c r="AF61" t="str">
        <f>_xlfn.CONCAT(FINI_grouping_for_wheel[[#This Row],[SEFI/Plant]],"/",IF(FINI_grouping_for_wheel[[#This Row],[RESET recipe combination]]&lt;&gt;"",FINI_grouping_for_wheel[[#This Row],[RESET recipe combination]],FINI_grouping_for_wheel[[#This Row],[Recipe Combination]]),"/",FINI_grouping_for_wheel[[#This Row],[Subgroup]])</f>
        <v>4035108/THDP/x/4</v>
      </c>
      <c r="AG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0.4194544518785384</v>
      </c>
      <c r="AH61">
        <f>_xlfn.LET(_xlpm.pct, FINI_grouping_for_wheel[[#This Row],[% forecast within subgroup]], _xlpm.lote, FINI_grouping_for_wheel[[#This Row],[Lot size considered]], _xlpm.pct*_xlpm.lote)</f>
        <v>3573.2260306725175</v>
      </c>
      <c r="AI61" cm="1">
        <f t="array" aca="1" ref="AI61" ca="1">IFERROR(INDIRECT("FINI_grouping_for_wheel[@["&amp;FINI_grouping_for_wheel[[#This Row],[Selected PV]]&amp;"]]"),"")</f>
        <v>41</v>
      </c>
      <c r="AJ6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10.4</v>
      </c>
      <c r="AL61" s="4"/>
      <c r="AM6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41</v>
      </c>
      <c r="AN6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67</v>
      </c>
      <c r="AO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1" s="2" t="str">
        <f>_xlfn.CONCAT(FINI_grouping_for_wheel[[#This Row],[Recipe Combination]],FINI_grouping_for_wheel[[#This Row],[Subgroup]])</f>
        <v>N4</v>
      </c>
    </row>
    <row r="62" spans="1:55" hidden="1">
      <c r="A62" t="s">
        <v>10</v>
      </c>
      <c r="B62">
        <v>4035108</v>
      </c>
      <c r="C62" t="s">
        <v>423</v>
      </c>
      <c r="D62">
        <v>8518.74623018</v>
      </c>
      <c r="E62">
        <v>277</v>
      </c>
      <c r="F62">
        <v>5.54</v>
      </c>
      <c r="G62" t="s">
        <v>433</v>
      </c>
      <c r="H62" t="s">
        <v>434</v>
      </c>
      <c r="I62">
        <v>300</v>
      </c>
      <c r="J62" t="s">
        <v>90</v>
      </c>
      <c r="K62" t="s">
        <v>435</v>
      </c>
      <c r="L62" t="s">
        <v>436</v>
      </c>
      <c r="M62">
        <v>26708.8968</v>
      </c>
      <c r="N62">
        <v>106.8355872</v>
      </c>
      <c r="O62">
        <v>43514.428275</v>
      </c>
      <c r="P62">
        <v>2354473.31017</v>
      </c>
      <c r="Q62">
        <v>0.61379404162698947</v>
      </c>
      <c r="R62">
        <v>5228.75567822</v>
      </c>
      <c r="S62" t="s">
        <v>173</v>
      </c>
      <c r="T62" t="s">
        <v>93</v>
      </c>
      <c r="U62">
        <v>5</v>
      </c>
      <c r="V62" t="s">
        <v>174</v>
      </c>
      <c r="W62" t="s">
        <v>95</v>
      </c>
      <c r="X62" t="s">
        <v>96</v>
      </c>
      <c r="Y62" s="23" t="s">
        <v>167</v>
      </c>
      <c r="AA62">
        <v>80</v>
      </c>
      <c r="AB62" t="s">
        <v>437</v>
      </c>
      <c r="AC62" t="s">
        <v>427</v>
      </c>
      <c r="AD62" s="2">
        <v>4</v>
      </c>
      <c r="AE62" s="2" t="s">
        <v>70</v>
      </c>
      <c r="AF62" t="str">
        <f>_xlfn.CONCAT(FINI_grouping_for_wheel[[#This Row],[SEFI/Plant]],"/",IF(FINI_grouping_for_wheel[[#This Row],[RESET recipe combination]]&lt;&gt;"",FINI_grouping_for_wheel[[#This Row],[RESET recipe combination]],FINI_grouping_for_wheel[[#This Row],[Recipe Combination]]),"/",FINI_grouping_for_wheel[[#This Row],[Subgroup]])</f>
        <v>4035108/THDP/x/4</v>
      </c>
      <c r="AG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0.5805455481214616</v>
      </c>
      <c r="AH62">
        <f>_xlfn.LET(_xlpm.pct, FINI_grouping_for_wheel[[#This Row],[% forecast within subgroup]], _xlpm.lote, FINI_grouping_for_wheel[[#This Row],[Lot size considered]], _xlpm.pct*_xlpm.lote)</f>
        <v>4945.520199507483</v>
      </c>
      <c r="AI62" cm="1">
        <f t="array" aca="1" ref="AI62" ca="1">IFERROR(INDIRECT("FINI_grouping_for_wheel[@["&amp;FINI_grouping_for_wheel[[#This Row],[Selected PV]]&amp;"]]"),"")</f>
        <v>41</v>
      </c>
      <c r="AJ6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17.2</v>
      </c>
      <c r="AL62" s="4"/>
      <c r="AM6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41</v>
      </c>
      <c r="AN6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67</v>
      </c>
      <c r="AO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2" s="2" t="str">
        <f>_xlfn.CONCAT(FINI_grouping_for_wheel[[#This Row],[Recipe Combination]],FINI_grouping_for_wheel[[#This Row],[Subgroup]])</f>
        <v>P4</v>
      </c>
    </row>
    <row r="63" spans="1:55" hidden="1">
      <c r="A63" t="s">
        <v>10</v>
      </c>
      <c r="B63">
        <v>4035108</v>
      </c>
      <c r="C63" t="s">
        <v>423</v>
      </c>
      <c r="D63">
        <v>8518.74623018</v>
      </c>
      <c r="E63">
        <v>277</v>
      </c>
      <c r="F63">
        <v>5.54</v>
      </c>
      <c r="G63" t="s">
        <v>438</v>
      </c>
      <c r="H63" t="s">
        <v>439</v>
      </c>
      <c r="I63">
        <v>240</v>
      </c>
      <c r="J63" t="s">
        <v>90</v>
      </c>
      <c r="K63" t="s">
        <v>440</v>
      </c>
      <c r="L63" t="s">
        <v>441</v>
      </c>
      <c r="M63">
        <v>5931.36405</v>
      </c>
      <c r="N63">
        <v>23.7254562</v>
      </c>
      <c r="O63">
        <v>43514.428275</v>
      </c>
      <c r="P63">
        <v>2354473.31017</v>
      </c>
      <c r="Q63">
        <v>0.13630798530812135</v>
      </c>
      <c r="R63">
        <v>1161.17313599</v>
      </c>
      <c r="S63" t="s">
        <v>173</v>
      </c>
      <c r="T63" t="s">
        <v>93</v>
      </c>
      <c r="U63">
        <v>5</v>
      </c>
      <c r="V63" t="s">
        <v>119</v>
      </c>
      <c r="W63" t="s">
        <v>95</v>
      </c>
      <c r="X63" t="s">
        <v>96</v>
      </c>
      <c r="Y63" s="23" t="s">
        <v>120</v>
      </c>
      <c r="AA63">
        <v>359</v>
      </c>
      <c r="AB63" t="s">
        <v>442</v>
      </c>
      <c r="AC63" t="s">
        <v>427</v>
      </c>
      <c r="AD63" s="2">
        <v>5</v>
      </c>
      <c r="AE63" s="2" t="s">
        <v>70</v>
      </c>
      <c r="AF63" t="str">
        <f>_xlfn.CONCAT(FINI_grouping_for_wheel[[#This Row],[SEFI/Plant]],"/",IF(FINI_grouping_for_wheel[[#This Row],[RESET recipe combination]]&lt;&gt;"",FINI_grouping_for_wheel[[#This Row],[RESET recipe combination]],FINI_grouping_for_wheel[[#This Row],[Recipe Combination]]),"/",FINI_grouping_for_wheel[[#This Row],[Subgroup]])</f>
        <v>4035108/THDP/x/5</v>
      </c>
      <c r="AG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0.3012990137118114</v>
      </c>
      <c r="AH63">
        <f>_xlfn.LET(_xlpm.pct, FINI_grouping_for_wheel[[#This Row],[% forecast within subgroup]], _xlpm.lote, FINI_grouping_for_wheel[[#This Row],[Lot size considered]], _xlpm.pct*_xlpm.lote)</f>
        <v>2566.6898372144456</v>
      </c>
      <c r="AI63" cm="1">
        <f t="array" aca="1" ref="AI63" ca="1">IFERROR(INDIRECT("FINI_grouping_for_wheel[@["&amp;FINI_grouping_for_wheel[[#This Row],[Selected PV]]&amp;"]]"),"")</f>
        <v>96</v>
      </c>
      <c r="AJ6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11.2</v>
      </c>
      <c r="AL63" s="4"/>
      <c r="AM6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6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157</v>
      </c>
      <c r="AO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3" s="2" t="str">
        <f>_xlfn.CONCAT(FINI_grouping_for_wheel[[#This Row],[Recipe Combination]],FINI_grouping_for_wheel[[#This Row],[Subgroup]])</f>
        <v>P5</v>
      </c>
    </row>
    <row r="64" spans="1:55" hidden="1">
      <c r="A64" t="s">
        <v>10</v>
      </c>
      <c r="B64">
        <v>4035108</v>
      </c>
      <c r="C64" t="s">
        <v>423</v>
      </c>
      <c r="D64">
        <v>8518.74623018</v>
      </c>
      <c r="E64">
        <v>277</v>
      </c>
      <c r="F64">
        <v>5.54</v>
      </c>
      <c r="G64" t="s">
        <v>443</v>
      </c>
      <c r="H64" t="s">
        <v>444</v>
      </c>
      <c r="I64">
        <v>300</v>
      </c>
      <c r="J64" t="s">
        <v>90</v>
      </c>
      <c r="K64" t="s">
        <v>445</v>
      </c>
      <c r="L64" t="s">
        <v>446</v>
      </c>
      <c r="M64">
        <v>5605.790175</v>
      </c>
      <c r="N64">
        <v>22.4231607</v>
      </c>
      <c r="O64">
        <v>43514.428275</v>
      </c>
      <c r="P64">
        <v>2354473.31017</v>
      </c>
      <c r="Q64">
        <v>0.12882601006665759</v>
      </c>
      <c r="R64">
        <v>1097.4360876</v>
      </c>
      <c r="S64" t="s">
        <v>173</v>
      </c>
      <c r="T64" t="s">
        <v>93</v>
      </c>
      <c r="U64">
        <v>5</v>
      </c>
      <c r="V64" t="s">
        <v>174</v>
      </c>
      <c r="W64" t="s">
        <v>95</v>
      </c>
      <c r="X64" t="s">
        <v>96</v>
      </c>
      <c r="Y64" s="23" t="s">
        <v>167</v>
      </c>
      <c r="AA64">
        <v>380</v>
      </c>
      <c r="AB64" t="s">
        <v>447</v>
      </c>
      <c r="AC64" t="s">
        <v>427</v>
      </c>
      <c r="AD64" s="2">
        <v>5</v>
      </c>
      <c r="AE64" s="2" t="s">
        <v>70</v>
      </c>
      <c r="AF64" t="str">
        <f>_xlfn.CONCAT(FINI_grouping_for_wheel[[#This Row],[SEFI/Plant]],"/",IF(FINI_grouping_for_wheel[[#This Row],[RESET recipe combination]]&lt;&gt;"",FINI_grouping_for_wheel[[#This Row],[RESET recipe combination]],FINI_grouping_for_wheel[[#This Row],[Recipe Combination]]),"/",FINI_grouping_for_wheel[[#This Row],[Subgroup]])</f>
        <v>4035108/THDP/x/5</v>
      </c>
      <c r="AG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0.284760644695694</v>
      </c>
      <c r="AH64">
        <f>_xlfn.LET(_xlpm.pct, FINI_grouping_for_wheel[[#This Row],[% forecast within subgroup]], _xlpm.lote, FINI_grouping_for_wheel[[#This Row],[Lot size considered]], _xlpm.pct*_xlpm.lote)</f>
        <v>2425.8036685050697</v>
      </c>
      <c r="AI64" cm="1">
        <f t="array" aca="1" ref="AI64" ca="1">IFERROR(INDIRECT("FINI_grouping_for_wheel[@["&amp;FINI_grouping_for_wheel[[#This Row],[Selected PV]]&amp;"]]"),"")</f>
        <v>96</v>
      </c>
      <c r="AJ6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8.4</v>
      </c>
      <c r="AL64" s="4"/>
      <c r="AM6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6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157</v>
      </c>
      <c r="AO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4" s="2" t="str">
        <f>_xlfn.CONCAT(FINI_grouping_for_wheel[[#This Row],[Recipe Combination]],FINI_grouping_for_wheel[[#This Row],[Subgroup]])</f>
        <v>P5</v>
      </c>
    </row>
    <row r="65" spans="1:55" hidden="1">
      <c r="A65" t="s">
        <v>10</v>
      </c>
      <c r="B65">
        <v>4035108</v>
      </c>
      <c r="C65" t="s">
        <v>423</v>
      </c>
      <c r="D65">
        <v>8518.74623018</v>
      </c>
      <c r="E65">
        <v>277</v>
      </c>
      <c r="F65">
        <v>5.54</v>
      </c>
      <c r="G65" t="s">
        <v>448</v>
      </c>
      <c r="H65" t="s">
        <v>449</v>
      </c>
      <c r="I65">
        <v>240</v>
      </c>
      <c r="J65" t="s">
        <v>90</v>
      </c>
      <c r="K65" t="s">
        <v>440</v>
      </c>
      <c r="L65" t="s">
        <v>441</v>
      </c>
      <c r="M65">
        <v>5268.37725</v>
      </c>
      <c r="N65">
        <v>21.073509</v>
      </c>
      <c r="O65">
        <v>43514.428275</v>
      </c>
      <c r="P65">
        <v>2354473.31017</v>
      </c>
      <c r="Q65">
        <v>0.12107196299823153</v>
      </c>
      <c r="R65">
        <v>1031.38132837</v>
      </c>
      <c r="S65" t="s">
        <v>173</v>
      </c>
      <c r="T65" t="s">
        <v>93</v>
      </c>
      <c r="U65">
        <v>5</v>
      </c>
      <c r="V65" t="s">
        <v>119</v>
      </c>
      <c r="W65" t="s">
        <v>95</v>
      </c>
      <c r="X65" t="s">
        <v>96</v>
      </c>
      <c r="Y65" s="23" t="s">
        <v>120</v>
      </c>
      <c r="AA65">
        <v>404</v>
      </c>
      <c r="AB65" t="s">
        <v>450</v>
      </c>
      <c r="AC65" t="s">
        <v>427</v>
      </c>
      <c r="AD65" s="2">
        <v>5</v>
      </c>
      <c r="AE65" s="2" t="s">
        <v>70</v>
      </c>
      <c r="AF65" t="str">
        <f>_xlfn.CONCAT(FINI_grouping_for_wheel[[#This Row],[SEFI/Plant]],"/",IF(FINI_grouping_for_wheel[[#This Row],[RESET recipe combination]]&lt;&gt;"",FINI_grouping_for_wheel[[#This Row],[RESET recipe combination]],FINI_grouping_for_wheel[[#This Row],[Recipe Combination]]),"/",FINI_grouping_for_wheel[[#This Row],[Subgroup]])</f>
        <v>4035108/THDP/x/5</v>
      </c>
      <c r="AG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0.2676208804426269</v>
      </c>
      <c r="AH65">
        <f>_xlfn.LET(_xlpm.pct, FINI_grouping_for_wheel[[#This Row],[% forecast within subgroup]], _xlpm.lote, FINI_grouping_for_wheel[[#This Row],[Lot size considered]], _xlpm.pct*_xlpm.lote)</f>
        <v>2279.7943663880806</v>
      </c>
      <c r="AI65" cm="1">
        <f t="array" aca="1" ref="AI65" ca="1">IFERROR(INDIRECT("FINI_grouping_for_wheel[@["&amp;FINI_grouping_for_wheel[[#This Row],[Selected PV]]&amp;"]]"),"")</f>
        <v>96</v>
      </c>
      <c r="AJ6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9.9</v>
      </c>
      <c r="AL65" s="4"/>
      <c r="AM6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6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157</v>
      </c>
      <c r="AO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5" s="2" t="str">
        <f>_xlfn.CONCAT(FINI_grouping_for_wheel[[#This Row],[Recipe Combination]],FINI_grouping_for_wheel[[#This Row],[Subgroup]])</f>
        <v>P5</v>
      </c>
    </row>
    <row r="66" spans="1:55" hidden="1">
      <c r="A66" t="s">
        <v>10</v>
      </c>
      <c r="B66">
        <v>4035108</v>
      </c>
      <c r="C66" t="s">
        <v>423</v>
      </c>
      <c r="D66">
        <v>8518.74623018</v>
      </c>
      <c r="E66">
        <v>277</v>
      </c>
      <c r="F66">
        <v>5.54</v>
      </c>
      <c r="G66" t="s">
        <v>451</v>
      </c>
      <c r="H66" t="s">
        <v>452</v>
      </c>
      <c r="I66">
        <v>412.5</v>
      </c>
      <c r="J66" t="s">
        <v>90</v>
      </c>
      <c r="K66" t="s">
        <v>453</v>
      </c>
      <c r="L66" t="s">
        <v>454</v>
      </c>
      <c r="M66">
        <v>163221.430635</v>
      </c>
      <c r="N66">
        <v>652.88572254</v>
      </c>
      <c r="O66">
        <v>163221.430635</v>
      </c>
      <c r="P66">
        <v>2354473.31017</v>
      </c>
      <c r="Q66">
        <v>1</v>
      </c>
      <c r="R66">
        <v>8518.74623018</v>
      </c>
      <c r="S66" t="s">
        <v>224</v>
      </c>
      <c r="T66" t="s">
        <v>93</v>
      </c>
      <c r="U66">
        <v>12.5</v>
      </c>
      <c r="V66" t="s">
        <v>238</v>
      </c>
      <c r="W66" t="s">
        <v>95</v>
      </c>
      <c r="X66" t="s">
        <v>96</v>
      </c>
      <c r="Y66" s="23" t="s">
        <v>97</v>
      </c>
      <c r="AA66">
        <v>13</v>
      </c>
      <c r="AB66" t="s">
        <v>455</v>
      </c>
      <c r="AC66" t="s">
        <v>427</v>
      </c>
      <c r="AD66" s="2">
        <v>3</v>
      </c>
      <c r="AE66" s="2" t="s">
        <v>70</v>
      </c>
      <c r="AF66" t="str">
        <f>_xlfn.CONCAT(FINI_grouping_for_wheel[[#This Row],[SEFI/Plant]],"/",IF(FINI_grouping_for_wheel[[#This Row],[RESET recipe combination]]&lt;&gt;"",FINI_grouping_for_wheel[[#This Row],[RESET recipe combination]],FINI_grouping_for_wheel[[#This Row],[Recipe Combination]]),"/",FINI_grouping_for_wheel[[#This Row],[Subgroup]])</f>
        <v>4035108/THDP/x/3</v>
      </c>
      <c r="AG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6">
        <f>_xlfn.LET(_xlpm.pct, FINI_grouping_for_wheel[[#This Row],[% forecast within subgroup]], _xlpm.lote, FINI_grouping_for_wheel[[#This Row],[Lot size considered]], _xlpm.pct*_xlpm.lote)</f>
        <v>8518.74623018</v>
      </c>
      <c r="AI66" cm="1">
        <f t="array" aca="1" ref="AI66" ca="1">IFERROR(INDIRECT("FINI_grouping_for_wheel[@["&amp;FINI_grouping_for_wheel[[#This Row],[Selected PV]]&amp;"]]"),"")</f>
        <v>12</v>
      </c>
      <c r="AJ6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21.6</v>
      </c>
      <c r="AL66" s="4"/>
      <c r="AM6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6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19</v>
      </c>
      <c r="AO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6" s="2" t="str">
        <f>_xlfn.CONCAT(FINI_grouping_for_wheel[[#This Row],[Recipe Combination]],FINI_grouping_for_wheel[[#This Row],[Subgroup]])</f>
        <v>V3</v>
      </c>
    </row>
    <row r="67" spans="1:55" hidden="1">
      <c r="A67" t="s">
        <v>10</v>
      </c>
      <c r="B67">
        <v>4035108</v>
      </c>
      <c r="C67" t="s">
        <v>423</v>
      </c>
      <c r="D67">
        <v>8518.74623018</v>
      </c>
      <c r="E67">
        <v>277</v>
      </c>
      <c r="F67">
        <v>5.54</v>
      </c>
      <c r="G67" t="s">
        <v>456</v>
      </c>
      <c r="H67" t="s">
        <v>457</v>
      </c>
      <c r="I67">
        <v>330</v>
      </c>
      <c r="J67" t="s">
        <v>90</v>
      </c>
      <c r="K67" t="s">
        <v>458</v>
      </c>
      <c r="L67" t="s">
        <v>459</v>
      </c>
      <c r="M67">
        <v>1938159.03645</v>
      </c>
      <c r="N67">
        <v>7752.6361458</v>
      </c>
      <c r="O67">
        <v>1938159.03645</v>
      </c>
      <c r="P67">
        <v>2354473.31017</v>
      </c>
      <c r="Q67">
        <v>1</v>
      </c>
      <c r="R67">
        <v>8518.74623018</v>
      </c>
      <c r="S67" t="s">
        <v>230</v>
      </c>
      <c r="T67" t="s">
        <v>93</v>
      </c>
      <c r="U67">
        <v>10</v>
      </c>
      <c r="V67" t="s">
        <v>94</v>
      </c>
      <c r="W67" t="s">
        <v>95</v>
      </c>
      <c r="X67" t="s">
        <v>96</v>
      </c>
      <c r="Y67" s="23" t="s">
        <v>97</v>
      </c>
      <c r="AA67">
        <v>1</v>
      </c>
      <c r="AB67" t="s">
        <v>460</v>
      </c>
      <c r="AC67" t="s">
        <v>427</v>
      </c>
      <c r="AD67" s="2">
        <v>1</v>
      </c>
      <c r="AE67" s="2" t="s">
        <v>70</v>
      </c>
      <c r="AF67" t="str">
        <f>_xlfn.CONCAT(FINI_grouping_for_wheel[[#This Row],[SEFI/Plant]],"/",IF(FINI_grouping_for_wheel[[#This Row],[RESET recipe combination]]&lt;&gt;"",FINI_grouping_for_wheel[[#This Row],[RESET recipe combination]],FINI_grouping_for_wheel[[#This Row],[Recipe Combination]]),"/",FINI_grouping_for_wheel[[#This Row],[Subgroup]])</f>
        <v>4035108/THDP/x/1</v>
      </c>
      <c r="AG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7">
        <f>_xlfn.LET(_xlpm.pct, FINI_grouping_for_wheel[[#This Row],[% forecast within subgroup]], _xlpm.lote, FINI_grouping_for_wheel[[#This Row],[Lot size considered]], _xlpm.pct*_xlpm.lote)</f>
        <v>8518.74623018</v>
      </c>
      <c r="AI67" cm="1">
        <f t="array" aca="1" ref="AI67" ca="1">IFERROR(INDIRECT("FINI_grouping_for_wheel[@["&amp;FINI_grouping_for_wheel[[#This Row],[Selected PV]]&amp;"]]"),"")</f>
        <v>1</v>
      </c>
      <c r="AJ6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v>
      </c>
      <c r="AL67" s="4"/>
      <c r="AM6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v>
      </c>
      <c r="AN6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v>
      </c>
      <c r="AO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7" t="str">
        <f>_xlfn.CONCAT(FINI_grouping_for_wheel[[#This Row],[Recipe Combination]],FINI_grouping_for_wheel[[#This Row],[Subgroup]])</f>
        <v>W1</v>
      </c>
    </row>
    <row r="68" spans="1:55" hidden="1">
      <c r="A68" t="s">
        <v>10</v>
      </c>
      <c r="B68">
        <v>4035108</v>
      </c>
      <c r="C68" t="s">
        <v>423</v>
      </c>
      <c r="D68">
        <v>8518.74623018</v>
      </c>
      <c r="E68">
        <v>277</v>
      </c>
      <c r="F68">
        <v>5.54</v>
      </c>
      <c r="G68" t="s">
        <v>461</v>
      </c>
      <c r="H68" t="s">
        <v>462</v>
      </c>
      <c r="I68">
        <v>330</v>
      </c>
      <c r="J68" t="s">
        <v>90</v>
      </c>
      <c r="K68" t="s">
        <v>463</v>
      </c>
      <c r="L68" t="s">
        <v>464</v>
      </c>
      <c r="M68">
        <v>187400.32245</v>
      </c>
      <c r="N68">
        <v>749.6012898</v>
      </c>
      <c r="O68">
        <v>187400.32245</v>
      </c>
      <c r="P68">
        <v>2354473.31017</v>
      </c>
      <c r="Q68">
        <v>1</v>
      </c>
      <c r="R68">
        <v>8518.74623018</v>
      </c>
      <c r="S68" t="s">
        <v>387</v>
      </c>
      <c r="T68" t="s">
        <v>93</v>
      </c>
      <c r="U68">
        <v>10</v>
      </c>
      <c r="V68" t="s">
        <v>94</v>
      </c>
      <c r="W68" t="s">
        <v>95</v>
      </c>
      <c r="X68" t="s">
        <v>96</v>
      </c>
      <c r="Y68" s="23" t="s">
        <v>97</v>
      </c>
      <c r="AA68">
        <v>11</v>
      </c>
      <c r="AB68" t="s">
        <v>465</v>
      </c>
      <c r="AC68" t="s">
        <v>427</v>
      </c>
      <c r="AD68" s="2">
        <v>2</v>
      </c>
      <c r="AE68" s="2" t="s">
        <v>70</v>
      </c>
      <c r="AF68" t="str">
        <f>_xlfn.CONCAT(FINI_grouping_for_wheel[[#This Row],[SEFI/Plant]],"/",IF(FINI_grouping_for_wheel[[#This Row],[RESET recipe combination]]&lt;&gt;"",FINI_grouping_for_wheel[[#This Row],[RESET recipe combination]],FINI_grouping_for_wheel[[#This Row],[Recipe Combination]]),"/",FINI_grouping_for_wheel[[#This Row],[Subgroup]])</f>
        <v>4035108/THDP/x/2</v>
      </c>
      <c r="AG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8">
        <f>_xlfn.LET(_xlpm.pct, FINI_grouping_for_wheel[[#This Row],[% forecast within subgroup]], _xlpm.lote, FINI_grouping_for_wheel[[#This Row],[Lot size considered]], _xlpm.pct*_xlpm.lote)</f>
        <v>8518.74623018</v>
      </c>
      <c r="AI68" cm="1">
        <f t="array" aca="1" ref="AI68" ca="1">IFERROR(INDIRECT("FINI_grouping_for_wheel[@["&amp;FINI_grouping_for_wheel[[#This Row],[Selected PV]]&amp;"]]"),"")</f>
        <v>10</v>
      </c>
      <c r="AJ6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v>
      </c>
      <c r="AL68" s="4"/>
      <c r="AM6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v>
      </c>
      <c r="AN6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17</v>
      </c>
      <c r="AO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8" t="str">
        <f>_xlfn.CONCAT(FINI_grouping_for_wheel[[#This Row],[Recipe Combination]],FINI_grouping_for_wheel[[#This Row],[Subgroup]])</f>
        <v>X2</v>
      </c>
    </row>
    <row r="69" spans="1:55" hidden="1">
      <c r="A69" t="s">
        <v>10</v>
      </c>
      <c r="B69">
        <v>4849219</v>
      </c>
      <c r="C69" t="s">
        <v>466</v>
      </c>
      <c r="D69">
        <v>8443.29589639</v>
      </c>
      <c r="E69">
        <v>198</v>
      </c>
      <c r="F69">
        <v>3.96</v>
      </c>
      <c r="G69" t="s">
        <v>467</v>
      </c>
      <c r="H69" t="s">
        <v>468</v>
      </c>
      <c r="I69">
        <v>420</v>
      </c>
      <c r="J69" t="s">
        <v>90</v>
      </c>
      <c r="K69" t="s">
        <v>469</v>
      </c>
      <c r="L69" t="s">
        <v>470</v>
      </c>
      <c r="M69">
        <v>13162.65579</v>
      </c>
      <c r="N69">
        <v>52.65062316</v>
      </c>
      <c r="O69">
        <v>413455.14315</v>
      </c>
      <c r="P69">
        <v>1671521.13626</v>
      </c>
      <c r="Q69">
        <v>3.1835752942187094E-2</v>
      </c>
      <c r="R69">
        <v>268.798682175</v>
      </c>
      <c r="S69" t="s">
        <v>471</v>
      </c>
      <c r="T69" t="s">
        <v>93</v>
      </c>
      <c r="U69">
        <v>3</v>
      </c>
      <c r="V69" t="s">
        <v>472</v>
      </c>
      <c r="W69" t="s">
        <v>142</v>
      </c>
      <c r="X69" t="s">
        <v>150</v>
      </c>
      <c r="Y69" s="23" t="s">
        <v>151</v>
      </c>
      <c r="AA69">
        <v>160</v>
      </c>
      <c r="AB69" t="s">
        <v>473</v>
      </c>
      <c r="AC69" t="s">
        <v>474</v>
      </c>
      <c r="AD69" s="2">
        <v>2</v>
      </c>
      <c r="AE69" s="2" t="s">
        <v>70</v>
      </c>
      <c r="AF69" t="str">
        <f>_xlfn.CONCAT(FINI_grouping_for_wheel[[#This Row],[SEFI/Plant]],"/",IF(FINI_grouping_for_wheel[[#This Row],[RESET recipe combination]]&lt;&gt;"",FINI_grouping_for_wheel[[#This Row],[RESET recipe combination]],FINI_grouping_for_wheel[[#This Row],[Recipe Combination]]),"/",FINI_grouping_for_wheel[[#This Row],[Subgroup]])</f>
        <v>4849219/THDP/x/2</v>
      </c>
      <c r="AG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0.7276654231297859</v>
      </c>
      <c r="AH69">
        <f>_xlfn.LET(_xlpm.pct, FINI_grouping_for_wheel[[#This Row],[% forecast within subgroup]], _xlpm.lote, FINI_grouping_for_wheel[[#This Row],[Lot size considered]], _xlpm.pct*_xlpm.lote)</f>
        <v>6143.8944810566145</v>
      </c>
      <c r="AI69" cm="1">
        <f t="array" aca="1" ref="AI69" ca="1">IFERROR(INDIRECT("FINI_grouping_for_wheel[@["&amp;FINI_grouping_for_wheel[[#This Row],[Selected PV]]&amp;"]]"),"")</f>
        <v>102</v>
      </c>
      <c r="AJ6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69" s="4"/>
      <c r="AM6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102</v>
      </c>
      <c r="AN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9" s="2" t="str">
        <f>_xlfn.CONCAT(FINI_grouping_for_wheel[[#This Row],[Recipe Combination]],FINI_grouping_for_wheel[[#This Row],[Subgroup]])</f>
        <v>2</v>
      </c>
    </row>
    <row r="70" spans="1:55" hidden="1">
      <c r="A70" t="s">
        <v>10</v>
      </c>
      <c r="B70">
        <v>4849219</v>
      </c>
      <c r="C70" t="s">
        <v>466</v>
      </c>
      <c r="D70">
        <v>8443.29589639</v>
      </c>
      <c r="E70">
        <v>198</v>
      </c>
      <c r="F70">
        <v>3.96</v>
      </c>
      <c r="G70" t="s">
        <v>475</v>
      </c>
      <c r="H70" t="s">
        <v>476</v>
      </c>
      <c r="I70">
        <v>450</v>
      </c>
      <c r="J70" t="s">
        <v>90</v>
      </c>
      <c r="K70" t="s">
        <v>264</v>
      </c>
      <c r="L70" t="s">
        <v>265</v>
      </c>
      <c r="M70">
        <v>45989.97363</v>
      </c>
      <c r="N70">
        <v>183.95989452</v>
      </c>
      <c r="O70">
        <v>413455.14315</v>
      </c>
      <c r="P70">
        <v>1671521.13626</v>
      </c>
      <c r="Q70">
        <v>0.11123328465481201</v>
      </c>
      <c r="R70">
        <v>939.175535867</v>
      </c>
      <c r="S70" t="s">
        <v>471</v>
      </c>
      <c r="T70" t="s">
        <v>93</v>
      </c>
      <c r="U70">
        <v>2.5</v>
      </c>
      <c r="V70" t="s">
        <v>267</v>
      </c>
      <c r="W70" t="s">
        <v>142</v>
      </c>
      <c r="X70" t="s">
        <v>150</v>
      </c>
      <c r="Y70" s="23" t="s">
        <v>151</v>
      </c>
      <c r="AA70">
        <v>46</v>
      </c>
      <c r="AB70" t="s">
        <v>477</v>
      </c>
      <c r="AC70" t="s">
        <v>474</v>
      </c>
      <c r="AD70" s="2">
        <v>3</v>
      </c>
      <c r="AE70" s="2" t="s">
        <v>70</v>
      </c>
      <c r="AF70" t="str">
        <f>_xlfn.CONCAT(FINI_grouping_for_wheel[[#This Row],[SEFI/Plant]],"/",IF(FINI_grouping_for_wheel[[#This Row],[RESET recipe combination]]&lt;&gt;"",FINI_grouping_for_wheel[[#This Row],[RESET recipe combination]],FINI_grouping_for_wheel[[#This Row],[Recipe Combination]]),"/",FINI_grouping_for_wheel[[#This Row],[Subgroup]])</f>
        <v>4849219/THDP/x/3</v>
      </c>
      <c r="AG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70">
        <f>_xlfn.LET(_xlpm.pct, FINI_grouping_for_wheel[[#This Row],[% forecast within subgroup]], _xlpm.lote, FINI_grouping_for_wheel[[#This Row],[Lot size considered]], _xlpm.pct*_xlpm.lote)</f>
        <v>8443.29589639</v>
      </c>
      <c r="AI70" cm="1">
        <f t="array" aca="1" ref="AI70" ca="1">IFERROR(INDIRECT("FINI_grouping_for_wheel[@["&amp;FINI_grouping_for_wheel[[#This Row],[Selected PV]]&amp;"]]"),"")</f>
        <v>40</v>
      </c>
      <c r="AJ7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19.2</v>
      </c>
      <c r="AL70" s="4"/>
      <c r="AM7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40</v>
      </c>
      <c r="AN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0" s="2" t="str">
        <f>_xlfn.CONCAT(FINI_grouping_for_wheel[[#This Row],[Recipe Combination]],FINI_grouping_for_wheel[[#This Row],[Subgroup]])</f>
        <v>3</v>
      </c>
    </row>
    <row r="71" spans="1:55">
      <c r="A71" t="s">
        <v>10</v>
      </c>
      <c r="B71">
        <v>4849219</v>
      </c>
      <c r="C71" t="s">
        <v>466</v>
      </c>
      <c r="D71">
        <v>8443.29589639</v>
      </c>
      <c r="E71">
        <v>198</v>
      </c>
      <c r="F71">
        <v>3.96</v>
      </c>
      <c r="G71" t="s">
        <v>478</v>
      </c>
      <c r="H71" t="s">
        <v>479</v>
      </c>
      <c r="J71" t="s">
        <v>90</v>
      </c>
      <c r="K71" t="s">
        <v>480</v>
      </c>
      <c r="L71" t="s">
        <v>481</v>
      </c>
      <c r="M71">
        <v>48232.2897</v>
      </c>
      <c r="N71">
        <v>192.9291588</v>
      </c>
      <c r="O71">
        <v>413455.14315</v>
      </c>
      <c r="P71">
        <v>1671521.13626</v>
      </c>
      <c r="Q71">
        <v>0.11665664461815996</v>
      </c>
      <c r="R71">
        <v>984.966568791</v>
      </c>
      <c r="S71" t="s">
        <v>471</v>
      </c>
      <c r="T71" t="s">
        <v>93</v>
      </c>
      <c r="U71">
        <v>10</v>
      </c>
      <c r="V71" t="s">
        <v>482</v>
      </c>
      <c r="W71" t="s">
        <v>159</v>
      </c>
      <c r="X71" t="s">
        <v>96</v>
      </c>
      <c r="Y71" s="23" t="s">
        <v>483</v>
      </c>
      <c r="AA71">
        <v>44</v>
      </c>
      <c r="AB71" t="s">
        <v>484</v>
      </c>
      <c r="AC71" t="s">
        <v>474</v>
      </c>
      <c r="AD71" s="2">
        <v>14</v>
      </c>
      <c r="AE71" s="2" t="s">
        <v>70</v>
      </c>
      <c r="AF71" t="str">
        <f>_xlfn.CONCAT(FINI_grouping_for_wheel[[#This Row],[SEFI/Plant]],"/",IF(FINI_grouping_for_wheel[[#This Row],[RESET recipe combination]]&lt;&gt;"",FINI_grouping_for_wheel[[#This Row],[RESET recipe combination]],FINI_grouping_for_wheel[[#This Row],[Recipe Combination]]),"/",FINI_grouping_for_wheel[[#This Row],[Subgroup]])</f>
        <v>4849219/THDP/x/14</v>
      </c>
      <c r="AG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0.6051693404634582</v>
      </c>
      <c r="AH71">
        <f>_xlfn.LET(_xlpm.pct, FINI_grouping_for_wheel[[#This Row],[% forecast within subgroup]], _xlpm.lote, FINI_grouping_for_wheel[[#This Row],[Lot size considered]], _xlpm.pct*_xlpm.lote)</f>
        <v>5109.623808956159</v>
      </c>
      <c r="AI71" cm="1">
        <f t="array" aca="1" ref="AI71" ca="1">IFERROR(INDIRECT("FINI_grouping_for_wheel[@["&amp;FINI_grouping_for_wheel[[#This Row],[Selected PV]]&amp;"]]"),"")</f>
        <v>23</v>
      </c>
      <c r="AJ7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7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1" s="4"/>
      <c r="AM7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23</v>
      </c>
      <c r="AN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1" s="2" t="str">
        <f>_xlfn.CONCAT(FINI_grouping_for_wheel[[#This Row],[Recipe Combination]],FINI_grouping_for_wheel[[#This Row],[Subgroup]])</f>
        <v>14</v>
      </c>
    </row>
    <row r="72" spans="1:55" hidden="1">
      <c r="A72" t="s">
        <v>10</v>
      </c>
      <c r="B72">
        <v>4849219</v>
      </c>
      <c r="C72" t="s">
        <v>466</v>
      </c>
      <c r="D72">
        <v>8443.29589639</v>
      </c>
      <c r="E72">
        <v>198</v>
      </c>
      <c r="F72">
        <v>3.96</v>
      </c>
      <c r="G72" t="s">
        <v>485</v>
      </c>
      <c r="H72" t="s">
        <v>486</v>
      </c>
      <c r="I72">
        <v>337.5</v>
      </c>
      <c r="J72" t="s">
        <v>90</v>
      </c>
      <c r="K72" t="s">
        <v>487</v>
      </c>
      <c r="L72" t="s">
        <v>488</v>
      </c>
      <c r="M72">
        <v>3801.518955</v>
      </c>
      <c r="N72">
        <v>15.20607582</v>
      </c>
      <c r="O72">
        <v>413455.14315</v>
      </c>
      <c r="P72">
        <v>1671521.13626</v>
      </c>
      <c r="Q72">
        <v>9.1945136443031816E-3</v>
      </c>
      <c r="R72">
        <v>77.6319993222</v>
      </c>
      <c r="S72" t="s">
        <v>471</v>
      </c>
      <c r="T72" t="s">
        <v>93</v>
      </c>
      <c r="U72">
        <v>0.25</v>
      </c>
      <c r="V72" t="s">
        <v>489</v>
      </c>
      <c r="W72" t="s">
        <v>142</v>
      </c>
      <c r="X72" t="s">
        <v>150</v>
      </c>
      <c r="Y72" s="23" t="s">
        <v>151</v>
      </c>
      <c r="AA72">
        <v>555</v>
      </c>
      <c r="AB72" t="s">
        <v>490</v>
      </c>
      <c r="AC72" t="s">
        <v>474</v>
      </c>
      <c r="AD72" s="2">
        <v>2</v>
      </c>
      <c r="AE72" s="2" t="s">
        <v>70</v>
      </c>
      <c r="AF72" t="str">
        <f>_xlfn.CONCAT(FINI_grouping_for_wheel[[#This Row],[SEFI/Plant]],"/",IF(FINI_grouping_for_wheel[[#This Row],[RESET recipe combination]]&lt;&gt;"",FINI_grouping_for_wheel[[#This Row],[RESET recipe combination]],FINI_grouping_for_wheel[[#This Row],[Recipe Combination]]),"/",FINI_grouping_for_wheel[[#This Row],[Subgroup]])</f>
        <v>4849219/THDP/x/2</v>
      </c>
      <c r="AG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0.21015773283591857</v>
      </c>
      <c r="AH72">
        <f>_xlfn.LET(_xlpm.pct, FINI_grouping_for_wheel[[#This Row],[% forecast within subgroup]], _xlpm.lote, FINI_grouping_for_wheel[[#This Row],[Lot size considered]], _xlpm.pct*_xlpm.lote)</f>
        <v>1774.4239232481373</v>
      </c>
      <c r="AI72" cm="1">
        <f t="array" aca="1" ref="AI72" ca="1">IFERROR(INDIRECT("FINI_grouping_for_wheel[@["&amp;FINI_grouping_for_wheel[[#This Row],[Selected PV]]&amp;"]]"),"")</f>
        <v>102</v>
      </c>
      <c r="AJ7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5.4</v>
      </c>
      <c r="AL72" s="4"/>
      <c r="AM7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102</v>
      </c>
      <c r="AN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2" s="2" t="str">
        <f>_xlfn.CONCAT(FINI_grouping_for_wheel[[#This Row],[Recipe Combination]],FINI_grouping_for_wheel[[#This Row],[Subgroup]])</f>
        <v>2</v>
      </c>
    </row>
    <row r="73" spans="1:55" hidden="1">
      <c r="A73" t="s">
        <v>10</v>
      </c>
      <c r="B73">
        <v>4849219</v>
      </c>
      <c r="C73" t="s">
        <v>466</v>
      </c>
      <c r="D73">
        <v>8443.29589639</v>
      </c>
      <c r="E73">
        <v>198</v>
      </c>
      <c r="F73">
        <v>3.96</v>
      </c>
      <c r="G73" t="s">
        <v>491</v>
      </c>
      <c r="H73" t="s">
        <v>492</v>
      </c>
      <c r="I73">
        <v>360</v>
      </c>
      <c r="J73" t="s">
        <v>90</v>
      </c>
      <c r="K73" t="s">
        <v>493</v>
      </c>
      <c r="L73" t="s">
        <v>494</v>
      </c>
      <c r="M73">
        <v>281319.5061</v>
      </c>
      <c r="N73">
        <v>1125.2780244</v>
      </c>
      <c r="O73">
        <v>413455.14315</v>
      </c>
      <c r="P73">
        <v>1671521.13626</v>
      </c>
      <c r="Q73">
        <v>0.68041119033301833</v>
      </c>
      <c r="R73">
        <v>5744.91301119</v>
      </c>
      <c r="S73" t="s">
        <v>471</v>
      </c>
      <c r="T73" t="s">
        <v>93</v>
      </c>
      <c r="U73">
        <v>10</v>
      </c>
      <c r="V73" t="s">
        <v>158</v>
      </c>
      <c r="W73" t="s">
        <v>159</v>
      </c>
      <c r="X73" t="s">
        <v>96</v>
      </c>
      <c r="Y73" s="23" t="s">
        <v>97</v>
      </c>
      <c r="AA73">
        <v>8</v>
      </c>
      <c r="AB73" t="s">
        <v>495</v>
      </c>
      <c r="AC73" t="s">
        <v>474</v>
      </c>
      <c r="AD73" s="2">
        <v>6</v>
      </c>
      <c r="AE73" s="2" t="s">
        <v>70</v>
      </c>
      <c r="AF73" t="str">
        <f>_xlfn.CONCAT(FINI_grouping_for_wheel[[#This Row],[SEFI/Plant]],"/",IF(FINI_grouping_for_wheel[[#This Row],[RESET recipe combination]]&lt;&gt;"",FINI_grouping_for_wheel[[#This Row],[RESET recipe combination]],FINI_grouping_for_wheel[[#This Row],[Recipe Combination]]),"/",FINI_grouping_for_wheel[[#This Row],[Subgroup]])</f>
        <v>4849219/THDP/x/6</v>
      </c>
      <c r="AG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73">
        <f>_xlfn.LET(_xlpm.pct, FINI_grouping_for_wheel[[#This Row],[% forecast within subgroup]], _xlpm.lote, FINI_grouping_for_wheel[[#This Row],[Lot size considered]], _xlpm.pct*_xlpm.lote)</f>
        <v>8443.29589639</v>
      </c>
      <c r="AI73" cm="1">
        <f t="array" aca="1" ref="AI73" ca="1">IFERROR(INDIRECT("FINI_grouping_for_wheel[@["&amp;FINI_grouping_for_wheel[[#This Row],[Selected PV]]&amp;"]]"),"")</f>
        <v>7</v>
      </c>
      <c r="AJ7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v>
      </c>
      <c r="AL73" s="4"/>
      <c r="AM7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v>
      </c>
      <c r="AN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3" s="2" t="str">
        <f>_xlfn.CONCAT(FINI_grouping_for_wheel[[#This Row],[Recipe Combination]],FINI_grouping_for_wheel[[#This Row],[Subgroup]])</f>
        <v>6</v>
      </c>
    </row>
    <row r="74" spans="1:55" hidden="1">
      <c r="A74" t="s">
        <v>10</v>
      </c>
      <c r="B74">
        <v>4849219</v>
      </c>
      <c r="C74" t="s">
        <v>466</v>
      </c>
      <c r="D74">
        <v>8443.29589639</v>
      </c>
      <c r="E74">
        <v>198</v>
      </c>
      <c r="F74">
        <v>3.96</v>
      </c>
      <c r="G74" t="s">
        <v>496</v>
      </c>
      <c r="H74" t="s">
        <v>497</v>
      </c>
      <c r="I74">
        <v>240</v>
      </c>
      <c r="J74" t="s">
        <v>90</v>
      </c>
      <c r="K74" t="s">
        <v>498</v>
      </c>
      <c r="L74" t="s">
        <v>499</v>
      </c>
      <c r="M74">
        <v>13543.8732</v>
      </c>
      <c r="N74">
        <v>54.1754928</v>
      </c>
      <c r="O74">
        <v>413455.14315</v>
      </c>
      <c r="P74">
        <v>1671521.13626</v>
      </c>
      <c r="Q74">
        <v>3.2757781404804856E-2</v>
      </c>
      <c r="R74">
        <v>276.58364131</v>
      </c>
      <c r="S74" t="s">
        <v>471</v>
      </c>
      <c r="T74" t="s">
        <v>93</v>
      </c>
      <c r="U74">
        <v>5</v>
      </c>
      <c r="V74" t="s">
        <v>119</v>
      </c>
      <c r="W74" t="s">
        <v>95</v>
      </c>
      <c r="X74" t="s">
        <v>96</v>
      </c>
      <c r="Y74" s="23" t="s">
        <v>120</v>
      </c>
      <c r="AA74">
        <v>156</v>
      </c>
      <c r="AB74" t="s">
        <v>500</v>
      </c>
      <c r="AC74" t="s">
        <v>474</v>
      </c>
      <c r="AD74" s="2">
        <v>10</v>
      </c>
      <c r="AE74" s="2" t="s">
        <v>70</v>
      </c>
      <c r="AF74" t="str">
        <f>_xlfn.CONCAT(FINI_grouping_for_wheel[[#This Row],[SEFI/Plant]],"/",IF(FINI_grouping_for_wheel[[#This Row],[RESET recipe combination]]&lt;&gt;"",FINI_grouping_for_wheel[[#This Row],[RESET recipe combination]],FINI_grouping_for_wheel[[#This Row],[Recipe Combination]]),"/",FINI_grouping_for_wheel[[#This Row],[Subgroup]])</f>
        <v>4849219/THDP/x/10</v>
      </c>
      <c r="AG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0.739734885224701</v>
      </c>
      <c r="AH74">
        <f>_xlfn.LET(_xlpm.pct, FINI_grouping_for_wheel[[#This Row],[% forecast within subgroup]], _xlpm.lote, FINI_grouping_for_wheel[[#This Row],[Lot size considered]], _xlpm.pct*_xlpm.lote)</f>
        <v>6245.800520834246</v>
      </c>
      <c r="AI74" cm="1">
        <f t="array" aca="1" ref="AI74" ca="1">IFERROR(INDIRECT("FINI_grouping_for_wheel[@["&amp;FINI_grouping_for_wheel[[#This Row],[Selected PV]]&amp;"]]"),"")</f>
        <v>100</v>
      </c>
      <c r="AJ7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26.7</v>
      </c>
      <c r="AL74" s="4"/>
      <c r="AM7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100</v>
      </c>
      <c r="AN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4" s="2" t="str">
        <f>_xlfn.CONCAT(FINI_grouping_for_wheel[[#This Row],[Recipe Combination]],FINI_grouping_for_wheel[[#This Row],[Subgroup]])</f>
        <v>10</v>
      </c>
    </row>
    <row r="75" spans="1:55" hidden="1">
      <c r="A75" t="s">
        <v>10</v>
      </c>
      <c r="B75">
        <v>4849219</v>
      </c>
      <c r="C75" t="s">
        <v>466</v>
      </c>
      <c r="D75">
        <v>8443.29589639</v>
      </c>
      <c r="E75">
        <v>198</v>
      </c>
      <c r="F75">
        <v>3.96</v>
      </c>
      <c r="G75" t="s">
        <v>501</v>
      </c>
      <c r="H75" t="s">
        <v>502</v>
      </c>
      <c r="I75">
        <v>396</v>
      </c>
      <c r="J75" t="s">
        <v>90</v>
      </c>
      <c r="K75" t="s">
        <v>503</v>
      </c>
      <c r="L75" t="s">
        <v>504</v>
      </c>
      <c r="M75">
        <v>1124.70975</v>
      </c>
      <c r="N75">
        <v>4.498839</v>
      </c>
      <c r="O75">
        <v>413455.14315</v>
      </c>
      <c r="P75">
        <v>1671521.13626</v>
      </c>
      <c r="Q75">
        <v>2.7202703089654382E-3</v>
      </c>
      <c r="R75">
        <v>22.9680471367</v>
      </c>
      <c r="S75" t="s">
        <v>471</v>
      </c>
      <c r="T75" t="s">
        <v>93</v>
      </c>
      <c r="U75">
        <v>1</v>
      </c>
      <c r="V75" t="s">
        <v>505</v>
      </c>
      <c r="W75" t="s">
        <v>142</v>
      </c>
      <c r="X75" t="s">
        <v>150</v>
      </c>
      <c r="Y75" s="23" t="s">
        <v>151</v>
      </c>
      <c r="AA75">
        <v>1877</v>
      </c>
      <c r="AB75" t="s">
        <v>506</v>
      </c>
      <c r="AC75" t="s">
        <v>474</v>
      </c>
      <c r="AD75" s="2">
        <v>2</v>
      </c>
      <c r="AE75" s="2" t="s">
        <v>70</v>
      </c>
      <c r="AF75" t="str">
        <f>_xlfn.CONCAT(FINI_grouping_for_wheel[[#This Row],[SEFI/Plant]],"/",IF(FINI_grouping_for_wheel[[#This Row],[RESET recipe combination]]&lt;&gt;"",FINI_grouping_for_wheel[[#This Row],[RESET recipe combination]],FINI_grouping_for_wheel[[#This Row],[Recipe Combination]]),"/",FINI_grouping_for_wheel[[#This Row],[Subgroup]])</f>
        <v>4849219/THDP/x/2</v>
      </c>
      <c r="AG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0.06217684403429543</v>
      </c>
      <c r="AH75">
        <f>_xlfn.LET(_xlpm.pct, FINI_grouping_for_wheel[[#This Row],[% forecast within subgroup]], _xlpm.lote, FINI_grouping_for_wheel[[#This Row],[Lot size considered]], _xlpm.pct*_xlpm.lote)</f>
        <v>524.9774920852476</v>
      </c>
      <c r="AI75" cm="1">
        <f t="array" aca="1" ref="AI75" ca="1">IFERROR(INDIRECT("FINI_grouping_for_wheel[@["&amp;FINI_grouping_for_wheel[[#This Row],[Selected PV]]&amp;"]]"),"")</f>
        <v>102</v>
      </c>
      <c r="AJ7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v>
      </c>
      <c r="AL75" s="4"/>
      <c r="AM7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102</v>
      </c>
      <c r="AN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5" t="str">
        <f>_xlfn.CONCAT(FINI_grouping_for_wheel[[#This Row],[Recipe Combination]],FINI_grouping_for_wheel[[#This Row],[Subgroup]])</f>
        <v>2</v>
      </c>
    </row>
    <row r="76" spans="1:55" hidden="1">
      <c r="A76" t="s">
        <v>10</v>
      </c>
      <c r="B76">
        <v>4849219</v>
      </c>
      <c r="C76" t="s">
        <v>466</v>
      </c>
      <c r="D76">
        <v>8443.29589639</v>
      </c>
      <c r="E76">
        <v>198</v>
      </c>
      <c r="F76">
        <v>3.96</v>
      </c>
      <c r="G76" t="s">
        <v>507</v>
      </c>
      <c r="H76" t="s">
        <v>508</v>
      </c>
      <c r="I76">
        <v>450</v>
      </c>
      <c r="J76" t="s">
        <v>90</v>
      </c>
      <c r="K76" t="s">
        <v>264</v>
      </c>
      <c r="L76" t="s">
        <v>265</v>
      </c>
      <c r="M76">
        <v>2118.006045</v>
      </c>
      <c r="N76">
        <v>8.47202418</v>
      </c>
      <c r="O76">
        <v>413455.14315</v>
      </c>
      <c r="P76">
        <v>1671521.13626</v>
      </c>
      <c r="Q76">
        <v>5.1226985081464938E-3</v>
      </c>
      <c r="R76">
        <v>43.2524592923</v>
      </c>
      <c r="S76" t="s">
        <v>471</v>
      </c>
      <c r="T76" t="s">
        <v>93</v>
      </c>
      <c r="U76">
        <v>2.5</v>
      </c>
      <c r="V76" t="s">
        <v>267</v>
      </c>
      <c r="W76" t="s">
        <v>142</v>
      </c>
      <c r="X76" t="s">
        <v>150</v>
      </c>
      <c r="Y76" s="23" t="s">
        <v>151</v>
      </c>
      <c r="AA76">
        <v>997</v>
      </c>
      <c r="AB76" t="s">
        <v>509</v>
      </c>
      <c r="AC76" t="s">
        <v>474</v>
      </c>
      <c r="AD76" s="2">
        <v>4</v>
      </c>
      <c r="AE76" s="2" t="s">
        <v>70</v>
      </c>
      <c r="AF76" t="str">
        <f>_xlfn.CONCAT(FINI_grouping_for_wheel[[#This Row],[SEFI/Plant]],"/",IF(FINI_grouping_for_wheel[[#This Row],[RESET recipe combination]]&lt;&gt;"",FINI_grouping_for_wheel[[#This Row],[RESET recipe combination]],FINI_grouping_for_wheel[[#This Row],[Recipe Combination]]),"/",FINI_grouping_for_wheel[[#This Row],[Subgroup]])</f>
        <v>4849219/THDP/x/4</v>
      </c>
      <c r="AG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0.12778571428571428</v>
      </c>
      <c r="AH76">
        <f>_xlfn.LET(_xlpm.pct, FINI_grouping_for_wheel[[#This Row],[% forecast within subgroup]], _xlpm.lote, FINI_grouping_for_wheel[[#This Row],[Lot size considered]], _xlpm.pct*_xlpm.lote)</f>
        <v>1078.9325970458365</v>
      </c>
      <c r="AI76" cm="1">
        <f t="array" aca="1" ref="AI76" ca="1">IFERROR(INDIRECT("FINI_grouping_for_wheel[@["&amp;FINI_grouping_for_wheel[[#This Row],[Selected PV]]&amp;"]]"),"")</f>
        <v>111</v>
      </c>
      <c r="AJ7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2.5</v>
      </c>
      <c r="AL76" s="4"/>
      <c r="AM7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111</v>
      </c>
      <c r="AN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6" t="str">
        <f>_xlfn.CONCAT(FINI_grouping_for_wheel[[#This Row],[Recipe Combination]],FINI_grouping_for_wheel[[#This Row],[Subgroup]])</f>
        <v>4</v>
      </c>
    </row>
    <row r="77" spans="1:55" hidden="1">
      <c r="A77" t="s">
        <v>10</v>
      </c>
      <c r="B77">
        <v>4849219</v>
      </c>
      <c r="C77" t="s">
        <v>466</v>
      </c>
      <c r="D77">
        <v>8443.29589639</v>
      </c>
      <c r="E77">
        <v>198</v>
      </c>
      <c r="F77">
        <v>3.96</v>
      </c>
      <c r="G77" t="s">
        <v>510</v>
      </c>
      <c r="H77" t="s">
        <v>511</v>
      </c>
      <c r="J77" t="s">
        <v>90</v>
      </c>
      <c r="K77" t="s">
        <v>312</v>
      </c>
      <c r="L77" t="s">
        <v>313</v>
      </c>
      <c r="M77">
        <v>4162.60998</v>
      </c>
      <c r="N77">
        <v>16.65043992</v>
      </c>
      <c r="O77">
        <v>413455.14315</v>
      </c>
      <c r="P77">
        <v>1671521.13626</v>
      </c>
      <c r="Q77">
        <v>1.0067863585602611E-2</v>
      </c>
      <c r="R77">
        <v>85.0059512977</v>
      </c>
      <c r="S77" t="s">
        <v>471</v>
      </c>
      <c r="T77" t="s">
        <v>93</v>
      </c>
      <c r="U77">
        <v>1</v>
      </c>
      <c r="V77" t="s">
        <v>315</v>
      </c>
      <c r="W77" t="s">
        <v>142</v>
      </c>
      <c r="X77" t="s">
        <v>150</v>
      </c>
      <c r="Y77" s="23" t="s">
        <v>151</v>
      </c>
      <c r="AA77">
        <v>507</v>
      </c>
      <c r="AB77" t="s">
        <v>512</v>
      </c>
      <c r="AC77" t="s">
        <v>474</v>
      </c>
      <c r="AD77" s="2">
        <v>1</v>
      </c>
      <c r="AE77" s="2" t="s">
        <v>70</v>
      </c>
      <c r="AF77" t="str">
        <f>_xlfn.CONCAT(FINI_grouping_for_wheel[[#This Row],[SEFI/Plant]],"/",IF(FINI_grouping_for_wheel[[#This Row],[RESET recipe combination]]&lt;&gt;"",FINI_grouping_for_wheel[[#This Row],[RESET recipe combination]],FINI_grouping_for_wheel[[#This Row],[Recipe Combination]]),"/",FINI_grouping_for_wheel[[#This Row],[Subgroup]])</f>
        <v>4849219/THDP/x/1</v>
      </c>
      <c r="AG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0.2505165657285358</v>
      </c>
      <c r="AH77">
        <f>_xlfn.LET(_xlpm.pct, FINI_grouping_for_wheel[[#This Row],[% forecast within subgroup]], _xlpm.lote, FINI_grouping_for_wheel[[#This Row],[Lot size considered]], _xlpm.pct*_xlpm.lote)</f>
        <v>2115.185491393462</v>
      </c>
      <c r="AI77" cm="1">
        <f t="array" aca="1" ref="AI77" ca="1">IFERROR(INDIRECT("FINI_grouping_for_wheel[@["&amp;FINI_grouping_for_wheel[[#This Row],[Selected PV]]&amp;"]]"),"")</f>
        <v>111</v>
      </c>
      <c r="AJ7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7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7" s="4"/>
      <c r="AM7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111</v>
      </c>
      <c r="AN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7" t="str">
        <f>_xlfn.CONCAT(FINI_grouping_for_wheel[[#This Row],[Recipe Combination]],FINI_grouping_for_wheel[[#This Row],[Subgroup]])</f>
        <v>1</v>
      </c>
    </row>
    <row r="78" spans="1:55" hidden="1">
      <c r="A78" t="s">
        <v>10</v>
      </c>
      <c r="B78">
        <v>4849219</v>
      </c>
      <c r="C78" t="s">
        <v>466</v>
      </c>
      <c r="D78">
        <v>8443.29589639</v>
      </c>
      <c r="E78">
        <v>198</v>
      </c>
      <c r="F78">
        <v>3.96</v>
      </c>
      <c r="G78" t="s">
        <v>513</v>
      </c>
      <c r="H78" t="s">
        <v>514</v>
      </c>
      <c r="I78">
        <v>480</v>
      </c>
      <c r="J78" t="s">
        <v>90</v>
      </c>
      <c r="K78" t="s">
        <v>515</v>
      </c>
      <c r="L78" t="s">
        <v>516</v>
      </c>
      <c r="M78">
        <v>1616.030325</v>
      </c>
      <c r="N78">
        <v>6.4641213</v>
      </c>
      <c r="O78">
        <v>25335.567</v>
      </c>
      <c r="P78">
        <v>1671521.13626</v>
      </c>
      <c r="Q78">
        <v>6.3785046728971964E-2</v>
      </c>
      <c r="R78">
        <v>538.556023297</v>
      </c>
      <c r="S78" t="s">
        <v>517</v>
      </c>
      <c r="T78" t="s">
        <v>93</v>
      </c>
      <c r="U78">
        <v>5</v>
      </c>
      <c r="V78" t="s">
        <v>518</v>
      </c>
      <c r="W78" t="s">
        <v>142</v>
      </c>
      <c r="X78" t="s">
        <v>150</v>
      </c>
      <c r="Y78" s="23" t="s">
        <v>151</v>
      </c>
      <c r="AA78">
        <v>1306</v>
      </c>
      <c r="AB78" t="s">
        <v>519</v>
      </c>
      <c r="AC78" t="s">
        <v>474</v>
      </c>
      <c r="AD78" s="2">
        <v>5</v>
      </c>
      <c r="AE78" s="2" t="s">
        <v>70</v>
      </c>
      <c r="AF78" t="str">
        <f>_xlfn.CONCAT(FINI_grouping_for_wheel[[#This Row],[SEFI/Plant]],"/",IF(FINI_grouping_for_wheel[[#This Row],[RESET recipe combination]]&lt;&gt;"",FINI_grouping_for_wheel[[#This Row],[RESET recipe combination]],FINI_grouping_for_wheel[[#This Row],[Recipe Combination]]),"/",FINI_grouping_for_wheel[[#This Row],[Subgroup]])</f>
        <v>4849219/THDP/x/5</v>
      </c>
      <c r="AG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0.06378504672897196</v>
      </c>
      <c r="AH78">
        <f>_xlfn.LET(_xlpm.pct, FINI_grouping_for_wheel[[#This Row],[% forecast within subgroup]], _xlpm.lote, FINI_grouping_for_wheel[[#This Row],[Lot size considered]], _xlpm.pct*_xlpm.lote)</f>
        <v>538.5560232977734</v>
      </c>
      <c r="AI78" cm="1">
        <f t="array" aca="1" ref="AI78" ca="1">IFERROR(INDIRECT("FINI_grouping_for_wheel[@["&amp;FINI_grouping_for_wheel[[#This Row],[Selected PV]]&amp;"]]"),"")</f>
        <v>73</v>
      </c>
      <c r="AJ7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v>
      </c>
      <c r="AL78" s="4"/>
      <c r="AM7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73</v>
      </c>
      <c r="AN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8" t="str">
        <f>_xlfn.CONCAT(FINI_grouping_for_wheel[[#This Row],[Recipe Combination]],FINI_grouping_for_wheel[[#This Row],[Subgroup]])</f>
        <v>55</v>
      </c>
    </row>
    <row r="79" spans="1:55" hidden="1">
      <c r="A79" t="s">
        <v>10</v>
      </c>
      <c r="B79">
        <v>4849219</v>
      </c>
      <c r="C79" t="s">
        <v>466</v>
      </c>
      <c r="D79">
        <v>8443.29589639</v>
      </c>
      <c r="E79">
        <v>198</v>
      </c>
      <c r="F79">
        <v>3.96</v>
      </c>
      <c r="G79" t="s">
        <v>520</v>
      </c>
      <c r="H79" t="s">
        <v>521</v>
      </c>
      <c r="I79">
        <v>480</v>
      </c>
      <c r="J79" t="s">
        <v>90</v>
      </c>
      <c r="K79" t="s">
        <v>515</v>
      </c>
      <c r="L79" t="s">
        <v>516</v>
      </c>
      <c r="M79">
        <v>23719.536675</v>
      </c>
      <c r="N79">
        <v>94.8781467</v>
      </c>
      <c r="O79">
        <v>25335.567</v>
      </c>
      <c r="P79">
        <v>1671521.13626</v>
      </c>
      <c r="Q79">
        <v>0.93621495327102799</v>
      </c>
      <c r="R79">
        <v>7904.73987309</v>
      </c>
      <c r="S79" t="s">
        <v>517</v>
      </c>
      <c r="T79" t="s">
        <v>93</v>
      </c>
      <c r="U79">
        <v>5</v>
      </c>
      <c r="V79" t="s">
        <v>518</v>
      </c>
      <c r="W79" t="s">
        <v>142</v>
      </c>
      <c r="X79" t="s">
        <v>150</v>
      </c>
      <c r="Y79" s="23" t="s">
        <v>151</v>
      </c>
      <c r="AA79">
        <v>89</v>
      </c>
      <c r="AB79" t="s">
        <v>522</v>
      </c>
      <c r="AC79" t="s">
        <v>474</v>
      </c>
      <c r="AD79" s="2">
        <v>5</v>
      </c>
      <c r="AE79" s="2" t="s">
        <v>70</v>
      </c>
      <c r="AF79" t="str">
        <f>_xlfn.CONCAT(FINI_grouping_for_wheel[[#This Row],[SEFI/Plant]],"/",IF(FINI_grouping_for_wheel[[#This Row],[RESET recipe combination]]&lt;&gt;"",FINI_grouping_for_wheel[[#This Row],[RESET recipe combination]],FINI_grouping_for_wheel[[#This Row],[Recipe Combination]]),"/",FINI_grouping_for_wheel[[#This Row],[Subgroup]])</f>
        <v>4849219/THDP/x/5</v>
      </c>
      <c r="AG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0.936214953271028</v>
      </c>
      <c r="AH79">
        <f>_xlfn.LET(_xlpm.pct, FINI_grouping_for_wheel[[#This Row],[% forecast within subgroup]], _xlpm.lote, FINI_grouping_for_wheel[[#This Row],[Lot size considered]], _xlpm.pct*_xlpm.lote)</f>
        <v>7904.739873092226</v>
      </c>
      <c r="AI79" cm="1">
        <f t="array" aca="1" ref="AI79" ca="1">IFERROR(INDIRECT("FINI_grouping_for_wheel[@["&amp;FINI_grouping_for_wheel[[#This Row],[Selected PV]]&amp;"]]"),"")</f>
        <v>73</v>
      </c>
      <c r="AJ7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16.9</v>
      </c>
      <c r="AL79" s="4"/>
      <c r="AM7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73</v>
      </c>
      <c r="AN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9" t="str">
        <f>_xlfn.CONCAT(FINI_grouping_for_wheel[[#This Row],[Recipe Combination]],FINI_grouping_for_wheel[[#This Row],[Subgroup]])</f>
        <v>55</v>
      </c>
    </row>
    <row r="80" spans="1:55" hidden="1">
      <c r="A80" t="s">
        <v>10</v>
      </c>
      <c r="B80">
        <v>4849219</v>
      </c>
      <c r="C80" t="s">
        <v>466</v>
      </c>
      <c r="D80">
        <v>8443.29589639</v>
      </c>
      <c r="E80">
        <v>198</v>
      </c>
      <c r="F80">
        <v>3.96</v>
      </c>
      <c r="G80" t="s">
        <v>523</v>
      </c>
      <c r="H80" t="s">
        <v>524</v>
      </c>
      <c r="I80">
        <v>450</v>
      </c>
      <c r="J80" t="s">
        <v>90</v>
      </c>
      <c r="K80" t="s">
        <v>264</v>
      </c>
      <c r="L80" t="s">
        <v>265</v>
      </c>
      <c r="M80">
        <v>1009.870965</v>
      </c>
      <c r="N80">
        <v>4.03948386</v>
      </c>
      <c r="O80">
        <v>26910.16065</v>
      </c>
      <c r="P80">
        <v>1671521.13626</v>
      </c>
      <c r="Q80">
        <v>3.752749670039595E-2</v>
      </c>
      <c r="R80">
        <v>316.855758892</v>
      </c>
      <c r="S80" t="s">
        <v>525</v>
      </c>
      <c r="T80" t="s">
        <v>93</v>
      </c>
      <c r="U80">
        <v>2.5</v>
      </c>
      <c r="V80" t="s">
        <v>267</v>
      </c>
      <c r="W80" t="s">
        <v>142</v>
      </c>
      <c r="X80" t="s">
        <v>150</v>
      </c>
      <c r="Y80" s="23" t="s">
        <v>151</v>
      </c>
      <c r="AA80">
        <v>2090</v>
      </c>
      <c r="AB80" t="s">
        <v>526</v>
      </c>
      <c r="AC80" t="s">
        <v>474</v>
      </c>
      <c r="AD80" s="2">
        <v>4</v>
      </c>
      <c r="AE80" s="2" t="s">
        <v>70</v>
      </c>
      <c r="AF80" t="str">
        <f>_xlfn.CONCAT(FINI_grouping_for_wheel[[#This Row],[SEFI/Plant]],"/",IF(FINI_grouping_for_wheel[[#This Row],[RESET recipe combination]]&lt;&gt;"",FINI_grouping_for_wheel[[#This Row],[RESET recipe combination]],FINI_grouping_for_wheel[[#This Row],[Recipe Combination]]),"/",FINI_grouping_for_wheel[[#This Row],[Subgroup]])</f>
        <v>4849219/THDP/x/4</v>
      </c>
      <c r="AG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0.06092857142857142</v>
      </c>
      <c r="AH80">
        <f>_xlfn.LET(_xlpm.pct, FINI_grouping_for_wheel[[#This Row],[% forecast within subgroup]], _xlpm.lote, FINI_grouping_for_wheel[[#This Row],[Lot size considered]], _xlpm.pct*_xlpm.lote)</f>
        <v>514.4379571157621</v>
      </c>
      <c r="AI80" cm="1">
        <f t="array" aca="1" ref="AI80" ca="1">IFERROR(INDIRECT("FINI_grouping_for_wheel[@["&amp;FINI_grouping_for_wheel[[#This Row],[Selected PV]]&amp;"]]"),"")</f>
        <v>111</v>
      </c>
      <c r="AJ8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v>
      </c>
      <c r="AL80" s="4"/>
      <c r="AM8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111</v>
      </c>
      <c r="AN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0" t="str">
        <f>_xlfn.CONCAT(FINI_grouping_for_wheel[[#This Row],[Recipe Combination]],FINI_grouping_for_wheel[[#This Row],[Subgroup]])</f>
        <v>94</v>
      </c>
    </row>
    <row r="81" spans="1:55" hidden="1">
      <c r="A81" t="s">
        <v>10</v>
      </c>
      <c r="B81">
        <v>4849219</v>
      </c>
      <c r="C81" t="s">
        <v>466</v>
      </c>
      <c r="D81">
        <v>8443.29589639</v>
      </c>
      <c r="E81">
        <v>198</v>
      </c>
      <c r="F81">
        <v>3.96</v>
      </c>
      <c r="G81" t="s">
        <v>527</v>
      </c>
      <c r="H81" t="s">
        <v>528</v>
      </c>
      <c r="I81">
        <v>450</v>
      </c>
      <c r="J81" t="s">
        <v>90</v>
      </c>
      <c r="K81" t="s">
        <v>264</v>
      </c>
      <c r="L81" t="s">
        <v>265</v>
      </c>
      <c r="M81">
        <v>12547.02519</v>
      </c>
      <c r="N81">
        <v>50.18810076</v>
      </c>
      <c r="O81">
        <v>26910.16065</v>
      </c>
      <c r="P81">
        <v>1671521.13626</v>
      </c>
      <c r="Q81">
        <v>0.46625604927408709</v>
      </c>
      <c r="R81">
        <v>3936.7377875</v>
      </c>
      <c r="S81" t="s">
        <v>525</v>
      </c>
      <c r="T81" t="s">
        <v>93</v>
      </c>
      <c r="U81">
        <v>2.5</v>
      </c>
      <c r="V81" t="s">
        <v>267</v>
      </c>
      <c r="W81" t="s">
        <v>142</v>
      </c>
      <c r="X81" t="s">
        <v>150</v>
      </c>
      <c r="Y81" s="23" t="s">
        <v>151</v>
      </c>
      <c r="AA81">
        <v>168</v>
      </c>
      <c r="AB81" t="s">
        <v>529</v>
      </c>
      <c r="AC81" t="s">
        <v>474</v>
      </c>
      <c r="AD81" s="2">
        <v>4</v>
      </c>
      <c r="AE81" s="2" t="s">
        <v>70</v>
      </c>
      <c r="AF81" t="str">
        <f>_xlfn.CONCAT(FINI_grouping_for_wheel[[#This Row],[SEFI/Plant]],"/",IF(FINI_grouping_for_wheel[[#This Row],[RESET recipe combination]]&lt;&gt;"",FINI_grouping_for_wheel[[#This Row],[RESET recipe combination]],FINI_grouping_for_wheel[[#This Row],[Recipe Combination]]),"/",FINI_grouping_for_wheel[[#This Row],[Subgroup]])</f>
        <v>4849219/THDP/x/4</v>
      </c>
      <c r="AG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0.7569999999999999</v>
      </c>
      <c r="AH81">
        <f>_xlfn.LET(_xlpm.pct, FINI_grouping_for_wheel[[#This Row],[% forecast within subgroup]], _xlpm.lote, FINI_grouping_for_wheel[[#This Row],[Lot size considered]], _xlpm.pct*_xlpm.lote)</f>
        <v>6391.574993567229</v>
      </c>
      <c r="AI81" cm="1">
        <f t="array" aca="1" ref="AI81" ca="1">IFERROR(INDIRECT("FINI_grouping_for_wheel[@["&amp;FINI_grouping_for_wheel[[#This Row],[Selected PV]]&amp;"]]"),"")</f>
        <v>111</v>
      </c>
      <c r="AJ8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14.6</v>
      </c>
      <c r="AL81" s="4"/>
      <c r="AM8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111</v>
      </c>
      <c r="AN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1" t="str">
        <f>_xlfn.CONCAT(FINI_grouping_for_wheel[[#This Row],[Recipe Combination]],FINI_grouping_for_wheel[[#This Row],[Subgroup]])</f>
        <v>94</v>
      </c>
    </row>
    <row r="82" spans="1:55" hidden="1">
      <c r="A82" t="s">
        <v>10</v>
      </c>
      <c r="B82">
        <v>4849219</v>
      </c>
      <c r="C82" t="s">
        <v>466</v>
      </c>
      <c r="D82">
        <v>8443.29589639</v>
      </c>
      <c r="E82">
        <v>198</v>
      </c>
      <c r="F82">
        <v>3.96</v>
      </c>
      <c r="G82" t="s">
        <v>530</v>
      </c>
      <c r="H82" t="s">
        <v>531</v>
      </c>
      <c r="I82">
        <v>462</v>
      </c>
      <c r="J82" t="s">
        <v>90</v>
      </c>
      <c r="K82" t="s">
        <v>312</v>
      </c>
      <c r="L82" t="s">
        <v>313</v>
      </c>
      <c r="M82">
        <v>5576.19255</v>
      </c>
      <c r="N82">
        <v>22.3047702</v>
      </c>
      <c r="O82">
        <v>26910.16065</v>
      </c>
      <c r="P82">
        <v>1671521.13626</v>
      </c>
      <c r="Q82">
        <v>0.20721513418389792</v>
      </c>
      <c r="R82">
        <v>1749.57869212</v>
      </c>
      <c r="S82" t="s">
        <v>525</v>
      </c>
      <c r="T82" t="s">
        <v>93</v>
      </c>
      <c r="U82">
        <v>1</v>
      </c>
      <c r="V82" t="s">
        <v>315</v>
      </c>
      <c r="W82" t="s">
        <v>142</v>
      </c>
      <c r="X82" t="s">
        <v>150</v>
      </c>
      <c r="Y82" s="23" t="s">
        <v>151</v>
      </c>
      <c r="AA82">
        <v>379</v>
      </c>
      <c r="AB82" t="s">
        <v>532</v>
      </c>
      <c r="AC82" t="s">
        <v>474</v>
      </c>
      <c r="AD82" s="2">
        <v>1</v>
      </c>
      <c r="AE82" s="2" t="s">
        <v>70</v>
      </c>
      <c r="AF82" t="str">
        <f>_xlfn.CONCAT(FINI_grouping_for_wheel[[#This Row],[SEFI/Plant]],"/",IF(FINI_grouping_for_wheel[[#This Row],[RESET recipe combination]]&lt;&gt;"",FINI_grouping_for_wheel[[#This Row],[RESET recipe combination]],FINI_grouping_for_wheel[[#This Row],[Recipe Combination]]),"/",FINI_grouping_for_wheel[[#This Row],[Subgroup]])</f>
        <v>4849219/THDP/x/1</v>
      </c>
      <c r="AG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0.33558959743498396</v>
      </c>
      <c r="AH82">
        <f>_xlfn.LET(_xlpm.pct, FINI_grouping_for_wheel[[#This Row],[% forecast within subgroup]], _xlpm.lote, FINI_grouping_for_wheel[[#This Row],[Lot size considered]], _xlpm.pct*_xlpm.lote)</f>
        <v>2833.4822708939723</v>
      </c>
      <c r="AI82" cm="1">
        <f t="array" aca="1" ref="AI82" ca="1">IFERROR(INDIRECT("FINI_grouping_for_wheel[@["&amp;FINI_grouping_for_wheel[[#This Row],[Selected PV]]&amp;"]]"),"")</f>
        <v>111</v>
      </c>
      <c r="AJ8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6.3</v>
      </c>
      <c r="AL82" s="4"/>
      <c r="AM8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111</v>
      </c>
      <c r="AN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2" t="str">
        <f>_xlfn.CONCAT(FINI_grouping_for_wheel[[#This Row],[Recipe Combination]],FINI_grouping_for_wheel[[#This Row],[Subgroup]])</f>
        <v>91</v>
      </c>
    </row>
    <row r="83" spans="1:55" hidden="1">
      <c r="A83" t="s">
        <v>10</v>
      </c>
      <c r="B83">
        <v>4849219</v>
      </c>
      <c r="C83" t="s">
        <v>466</v>
      </c>
      <c r="D83">
        <v>8443.29589639</v>
      </c>
      <c r="E83">
        <v>198</v>
      </c>
      <c r="F83">
        <v>3.96</v>
      </c>
      <c r="G83" t="s">
        <v>533</v>
      </c>
      <c r="H83" t="s">
        <v>534</v>
      </c>
      <c r="I83">
        <v>552</v>
      </c>
      <c r="J83" t="s">
        <v>90</v>
      </c>
      <c r="K83" t="s">
        <v>312</v>
      </c>
      <c r="L83" t="s">
        <v>313</v>
      </c>
      <c r="M83">
        <v>6877.304145</v>
      </c>
      <c r="N83">
        <v>27.50921658</v>
      </c>
      <c r="O83">
        <v>26910.16065</v>
      </c>
      <c r="P83">
        <v>1671521.13626</v>
      </c>
      <c r="Q83">
        <v>0.25556533216014077</v>
      </c>
      <c r="R83">
        <v>2157.81372029</v>
      </c>
      <c r="S83" t="s">
        <v>525</v>
      </c>
      <c r="T83" t="s">
        <v>93</v>
      </c>
      <c r="U83">
        <v>1</v>
      </c>
      <c r="V83" t="s">
        <v>315</v>
      </c>
      <c r="W83" t="s">
        <v>142</v>
      </c>
      <c r="X83" t="s">
        <v>150</v>
      </c>
      <c r="Y83" s="23" t="s">
        <v>151</v>
      </c>
      <c r="AA83">
        <v>307</v>
      </c>
      <c r="AB83" t="s">
        <v>535</v>
      </c>
      <c r="AC83" t="s">
        <v>474</v>
      </c>
      <c r="AD83" s="2">
        <v>1</v>
      </c>
      <c r="AE83" s="2" t="s">
        <v>70</v>
      </c>
      <c r="AF83" t="str">
        <f>_xlfn.CONCAT(FINI_grouping_for_wheel[[#This Row],[SEFI/Plant]],"/",IF(FINI_grouping_for_wheel[[#This Row],[RESET recipe combination]]&lt;&gt;"",FINI_grouping_for_wheel[[#This Row],[RESET recipe combination]],FINI_grouping_for_wheel[[#This Row],[Recipe Combination]]),"/",FINI_grouping_for_wheel[[#This Row],[Subgroup]])</f>
        <v>4849219/THDP/x/1</v>
      </c>
      <c r="AG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0.41389383683648023</v>
      </c>
      <c r="AH83">
        <f>_xlfn.LET(_xlpm.pct, FINI_grouping_for_wheel[[#This Row],[% forecast within subgroup]], _xlpm.lote, FINI_grouping_for_wheel[[#This Row],[Lot size considered]], _xlpm.pct*_xlpm.lote)</f>
        <v>3494.6281341025656</v>
      </c>
      <c r="AI83" cm="1">
        <f t="array" aca="1" ref="AI83" ca="1">IFERROR(INDIRECT("FINI_grouping_for_wheel[@["&amp;FINI_grouping_for_wheel[[#This Row],[Selected PV]]&amp;"]]"),"")</f>
        <v>111</v>
      </c>
      <c r="AJ8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6.5</v>
      </c>
      <c r="AL83" s="4"/>
      <c r="AM8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111</v>
      </c>
      <c r="AN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3" t="str">
        <f>_xlfn.CONCAT(FINI_grouping_for_wheel[[#This Row],[Recipe Combination]],FINI_grouping_for_wheel[[#This Row],[Subgroup]])</f>
        <v>91</v>
      </c>
    </row>
    <row r="84" spans="1:55" hidden="1">
      <c r="A84" t="s">
        <v>10</v>
      </c>
      <c r="B84">
        <v>4849219</v>
      </c>
      <c r="C84" t="s">
        <v>466</v>
      </c>
      <c r="D84">
        <v>8443.29589639</v>
      </c>
      <c r="E84">
        <v>198</v>
      </c>
      <c r="F84">
        <v>3.96</v>
      </c>
      <c r="G84" t="s">
        <v>536</v>
      </c>
      <c r="H84" t="s">
        <v>537</v>
      </c>
      <c r="I84">
        <v>450</v>
      </c>
      <c r="J84" t="s">
        <v>90</v>
      </c>
      <c r="K84" t="s">
        <v>264</v>
      </c>
      <c r="L84" t="s">
        <v>265</v>
      </c>
      <c r="M84">
        <v>899.7678</v>
      </c>
      <c r="N84">
        <v>3.5990712</v>
      </c>
      <c r="O84">
        <v>26910.16065</v>
      </c>
      <c r="P84">
        <v>1671521.13626</v>
      </c>
      <c r="Q84">
        <v>3.3435987681478221E-2</v>
      </c>
      <c r="R84">
        <v>282.309937583</v>
      </c>
      <c r="S84" t="s">
        <v>525</v>
      </c>
      <c r="T84" t="s">
        <v>93</v>
      </c>
      <c r="U84">
        <v>2.5</v>
      </c>
      <c r="V84" t="s">
        <v>267</v>
      </c>
      <c r="W84" t="s">
        <v>142</v>
      </c>
      <c r="X84" t="s">
        <v>150</v>
      </c>
      <c r="Y84" s="23" t="s">
        <v>151</v>
      </c>
      <c r="AA84">
        <v>2346</v>
      </c>
      <c r="AB84" t="s">
        <v>538</v>
      </c>
      <c r="AC84" t="s">
        <v>474</v>
      </c>
      <c r="AD84" s="2">
        <v>4</v>
      </c>
      <c r="AE84" s="2" t="s">
        <v>70</v>
      </c>
      <c r="AF84" t="str">
        <f>_xlfn.CONCAT(FINI_grouping_for_wheel[[#This Row],[SEFI/Plant]],"/",IF(FINI_grouping_for_wheel[[#This Row],[RESET recipe combination]]&lt;&gt;"",FINI_grouping_for_wheel[[#This Row],[RESET recipe combination]],FINI_grouping_for_wheel[[#This Row],[Recipe Combination]]),"/",FINI_grouping_for_wheel[[#This Row],[Subgroup]])</f>
        <v>4849219/THDP/x/4</v>
      </c>
      <c r="AG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0.05428571428571428</v>
      </c>
      <c r="AH84">
        <f>_xlfn.LET(_xlpm.pct, FINI_grouping_for_wheel[[#This Row],[% forecast within subgroup]], _xlpm.lote, FINI_grouping_for_wheel[[#This Row],[Lot size considered]], _xlpm.pct*_xlpm.lote)</f>
        <v>458.3503486611714</v>
      </c>
      <c r="AI84" cm="1">
        <f t="array" aca="1" ref="AI84" ca="1">IFERROR(INDIRECT("FINI_grouping_for_wheel[@["&amp;FINI_grouping_for_wheel[[#This Row],[Selected PV]]&amp;"]]"),"")</f>
        <v>111</v>
      </c>
      <c r="AJ8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v>
      </c>
      <c r="AL84" s="4"/>
      <c r="AM8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111</v>
      </c>
      <c r="AN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4" t="str">
        <f>_xlfn.CONCAT(FINI_grouping_for_wheel[[#This Row],[Recipe Combination]],FINI_grouping_for_wheel[[#This Row],[Subgroup]])</f>
        <v>94</v>
      </c>
    </row>
    <row r="85" spans="1:55" hidden="1">
      <c r="A85" t="s">
        <v>10</v>
      </c>
      <c r="B85">
        <v>4849219</v>
      </c>
      <c r="C85" t="s">
        <v>466</v>
      </c>
      <c r="D85">
        <v>8443.29589639</v>
      </c>
      <c r="E85">
        <v>198</v>
      </c>
      <c r="F85">
        <v>3.96</v>
      </c>
      <c r="G85" t="s">
        <v>539</v>
      </c>
      <c r="H85" t="s">
        <v>540</v>
      </c>
      <c r="I85">
        <v>300</v>
      </c>
      <c r="J85" t="s">
        <v>90</v>
      </c>
      <c r="K85" t="s">
        <v>254</v>
      </c>
      <c r="L85" t="s">
        <v>255</v>
      </c>
      <c r="M85">
        <v>1154.307375</v>
      </c>
      <c r="N85">
        <v>4.6172295</v>
      </c>
      <c r="O85">
        <v>216832.20075</v>
      </c>
      <c r="P85">
        <v>1671521.13626</v>
      </c>
      <c r="Q85">
        <v>5.3235053235053233E-3</v>
      </c>
      <c r="R85">
        <v>44.9479306523</v>
      </c>
      <c r="S85" t="s">
        <v>118</v>
      </c>
      <c r="T85" t="s">
        <v>93</v>
      </c>
      <c r="U85">
        <v>5</v>
      </c>
      <c r="V85" t="s">
        <v>119</v>
      </c>
      <c r="W85" t="s">
        <v>95</v>
      </c>
      <c r="X85" t="s">
        <v>96</v>
      </c>
      <c r="Y85" s="23" t="s">
        <v>120</v>
      </c>
      <c r="AA85">
        <v>1829</v>
      </c>
      <c r="AB85" t="s">
        <v>541</v>
      </c>
      <c r="AC85" t="s">
        <v>474</v>
      </c>
      <c r="AD85" s="2">
        <v>10</v>
      </c>
      <c r="AE85" s="2" t="s">
        <v>70</v>
      </c>
      <c r="AF85" t="str">
        <f>_xlfn.CONCAT(FINI_grouping_for_wheel[[#This Row],[SEFI/Plant]],"/",IF(FINI_grouping_for_wheel[[#This Row],[RESET recipe combination]]&lt;&gt;"",FINI_grouping_for_wheel[[#This Row],[RESET recipe combination]],FINI_grouping_for_wheel[[#This Row],[Recipe Combination]]),"/",FINI_grouping_for_wheel[[#This Row],[Subgroup]])</f>
        <v>4849219/THDP/x/10</v>
      </c>
      <c r="AG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0.06304558680892339</v>
      </c>
      <c r="AH85">
        <f>_xlfn.LET(_xlpm.pct, FINI_grouping_for_wheel[[#This Row],[% forecast within subgroup]], _xlpm.lote, FINI_grouping_for_wheel[[#This Row],[Lot size considered]], _xlpm.pct*_xlpm.lote)</f>
        <v>532.3125443892824</v>
      </c>
      <c r="AI85" cm="1">
        <f t="array" aca="1" ref="AI85" ca="1">IFERROR(INDIRECT("FINI_grouping_for_wheel[@["&amp;FINI_grouping_for_wheel[[#This Row],[Selected PV]]&amp;"]]"),"")</f>
        <v>100</v>
      </c>
      <c r="AJ8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v>
      </c>
      <c r="AL85" s="4"/>
      <c r="AM8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100</v>
      </c>
      <c r="AN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5" t="str">
        <f>_xlfn.CONCAT(FINI_grouping_for_wheel[[#This Row],[Recipe Combination]],FINI_grouping_for_wheel[[#This Row],[Subgroup]])</f>
        <v>A10</v>
      </c>
    </row>
    <row r="86" spans="1:55" hidden="1">
      <c r="A86" t="s">
        <v>10</v>
      </c>
      <c r="B86">
        <v>4849219</v>
      </c>
      <c r="C86" t="s">
        <v>466</v>
      </c>
      <c r="D86">
        <v>8443.29589639</v>
      </c>
      <c r="E86">
        <v>198</v>
      </c>
      <c r="F86">
        <v>3.96</v>
      </c>
      <c r="G86" t="s">
        <v>542</v>
      </c>
      <c r="H86" t="s">
        <v>543</v>
      </c>
      <c r="I86">
        <v>240</v>
      </c>
      <c r="J86" t="s">
        <v>90</v>
      </c>
      <c r="K86" t="s">
        <v>254</v>
      </c>
      <c r="L86" t="s">
        <v>255</v>
      </c>
      <c r="M86">
        <v>90793.67445</v>
      </c>
      <c r="N86">
        <v>363.1746978</v>
      </c>
      <c r="O86">
        <v>216832.20075</v>
      </c>
      <c r="P86">
        <v>1671521.13626</v>
      </c>
      <c r="Q86">
        <v>0.41872781872781872</v>
      </c>
      <c r="R86">
        <v>3535.44287357</v>
      </c>
      <c r="S86" t="s">
        <v>118</v>
      </c>
      <c r="T86" t="s">
        <v>93</v>
      </c>
      <c r="U86">
        <v>5</v>
      </c>
      <c r="V86" t="s">
        <v>119</v>
      </c>
      <c r="W86" t="s">
        <v>95</v>
      </c>
      <c r="X86" t="s">
        <v>96</v>
      </c>
      <c r="Y86" s="23" t="s">
        <v>120</v>
      </c>
      <c r="AA86">
        <v>23</v>
      </c>
      <c r="AB86" t="s">
        <v>544</v>
      </c>
      <c r="AC86" t="s">
        <v>474</v>
      </c>
      <c r="AD86" s="2">
        <v>12</v>
      </c>
      <c r="AE86" s="2" t="s">
        <v>70</v>
      </c>
      <c r="AF86" t="str">
        <f>_xlfn.CONCAT(FINI_grouping_for_wheel[[#This Row],[SEFI/Plant]],"/",IF(FINI_grouping_for_wheel[[#This Row],[RESET recipe combination]]&lt;&gt;"",FINI_grouping_for_wheel[[#This Row],[RESET recipe combination]],FINI_grouping_for_wheel[[#This Row],[Recipe Combination]]),"/",FINI_grouping_for_wheel[[#This Row],[Subgroup]])</f>
        <v>4849219/THDP/x/12</v>
      </c>
      <c r="AG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86">
        <f>_xlfn.LET(_xlpm.pct, FINI_grouping_for_wheel[[#This Row],[% forecast within subgroup]], _xlpm.lote, FINI_grouping_for_wheel[[#This Row],[Lot size considered]], _xlpm.pct*_xlpm.lote)</f>
        <v>8443.29589639</v>
      </c>
      <c r="AI86" cm="1">
        <f t="array" aca="1" ref="AI86" ca="1">IFERROR(INDIRECT("FINI_grouping_for_wheel[@["&amp;FINI_grouping_for_wheel[[#This Row],[Selected PV]]&amp;"]]"),"")</f>
        <v>20</v>
      </c>
      <c r="AJ8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36.1</v>
      </c>
      <c r="AL86" s="4"/>
      <c r="AM8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v>
      </c>
      <c r="AN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6" t="str">
        <f>_xlfn.CONCAT(FINI_grouping_for_wheel[[#This Row],[Recipe Combination]],FINI_grouping_for_wheel[[#This Row],[Subgroup]])</f>
        <v>A12</v>
      </c>
    </row>
    <row r="87" spans="1:55" hidden="1">
      <c r="A87" t="s">
        <v>10</v>
      </c>
      <c r="B87">
        <v>4849219</v>
      </c>
      <c r="C87" t="s">
        <v>466</v>
      </c>
      <c r="D87">
        <v>8443.29589639</v>
      </c>
      <c r="E87">
        <v>198</v>
      </c>
      <c r="F87">
        <v>3.96</v>
      </c>
      <c r="G87" t="s">
        <v>545</v>
      </c>
      <c r="H87" t="s">
        <v>546</v>
      </c>
      <c r="I87">
        <v>240</v>
      </c>
      <c r="J87" t="s">
        <v>90</v>
      </c>
      <c r="K87" t="s">
        <v>547</v>
      </c>
      <c r="L87" t="s">
        <v>548</v>
      </c>
      <c r="M87">
        <v>124884.218925</v>
      </c>
      <c r="N87">
        <v>499.5368757</v>
      </c>
      <c r="O87">
        <v>216832.20075</v>
      </c>
      <c r="P87">
        <v>1671521.13626</v>
      </c>
      <c r="Q87">
        <v>0.57594867594867594</v>
      </c>
      <c r="R87">
        <v>4862.90509217</v>
      </c>
      <c r="S87" t="s">
        <v>118</v>
      </c>
      <c r="T87" t="s">
        <v>93</v>
      </c>
      <c r="U87">
        <v>5</v>
      </c>
      <c r="V87" t="s">
        <v>119</v>
      </c>
      <c r="W87" t="s">
        <v>95</v>
      </c>
      <c r="X87" t="s">
        <v>96</v>
      </c>
      <c r="Y87" s="23" t="s">
        <v>120</v>
      </c>
      <c r="AA87">
        <v>17</v>
      </c>
      <c r="AB87" t="s">
        <v>549</v>
      </c>
      <c r="AC87" t="s">
        <v>474</v>
      </c>
      <c r="AD87" s="2">
        <v>9</v>
      </c>
      <c r="AE87" s="2" t="s">
        <v>70</v>
      </c>
      <c r="AF87" t="str">
        <f>_xlfn.CONCAT(FINI_grouping_for_wheel[[#This Row],[SEFI/Plant]],"/",IF(FINI_grouping_for_wheel[[#This Row],[RESET recipe combination]]&lt;&gt;"",FINI_grouping_for_wheel[[#This Row],[RESET recipe combination]],FINI_grouping_for_wheel[[#This Row],[Recipe Combination]]),"/",FINI_grouping_for_wheel[[#This Row],[Subgroup]])</f>
        <v>4849219/THDP/x/9</v>
      </c>
      <c r="AG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87">
        <f>_xlfn.LET(_xlpm.pct, FINI_grouping_for_wheel[[#This Row],[% forecast within subgroup]], _xlpm.lote, FINI_grouping_for_wheel[[#This Row],[Lot size considered]], _xlpm.pct*_xlpm.lote)</f>
        <v>8443.29589639</v>
      </c>
      <c r="AI87" cm="1">
        <f t="array" aca="1" ref="AI87" ca="1">IFERROR(INDIRECT("FINI_grouping_for_wheel[@["&amp;FINI_grouping_for_wheel[[#This Row],[Selected PV]]&amp;"]]"),"")</f>
        <v>15</v>
      </c>
      <c r="AJ8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36.1</v>
      </c>
      <c r="AL87" s="4"/>
      <c r="AM8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v>
      </c>
      <c r="AN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7" t="str">
        <f>_xlfn.CONCAT(FINI_grouping_for_wheel[[#This Row],[Recipe Combination]],FINI_grouping_for_wheel[[#This Row],[Subgroup]])</f>
        <v>A9</v>
      </c>
    </row>
    <row r="88" spans="1:55" hidden="1">
      <c r="A88" t="s">
        <v>10</v>
      </c>
      <c r="B88">
        <v>4849219</v>
      </c>
      <c r="C88" t="s">
        <v>466</v>
      </c>
      <c r="D88">
        <v>8443.29589639</v>
      </c>
      <c r="E88">
        <v>198</v>
      </c>
      <c r="F88">
        <v>3.96</v>
      </c>
      <c r="G88" t="s">
        <v>550</v>
      </c>
      <c r="H88" t="s">
        <v>551</v>
      </c>
      <c r="J88" t="s">
        <v>90</v>
      </c>
      <c r="K88" t="s">
        <v>552</v>
      </c>
      <c r="L88" t="s">
        <v>553</v>
      </c>
      <c r="M88">
        <v>44409.460455</v>
      </c>
      <c r="N88">
        <v>177.63784182</v>
      </c>
      <c r="O88">
        <v>44409.460455</v>
      </c>
      <c r="P88">
        <v>1671521.13626</v>
      </c>
      <c r="Q88">
        <v>1</v>
      </c>
      <c r="R88">
        <v>8443.29589639</v>
      </c>
      <c r="S88" t="s">
        <v>294</v>
      </c>
      <c r="T88" t="s">
        <v>93</v>
      </c>
      <c r="U88">
        <v>12.5</v>
      </c>
      <c r="V88" t="s">
        <v>295</v>
      </c>
      <c r="W88" t="s">
        <v>142</v>
      </c>
      <c r="X88" t="s">
        <v>128</v>
      </c>
      <c r="Y88" s="23" t="s">
        <v>120</v>
      </c>
      <c r="AA88">
        <v>48</v>
      </c>
      <c r="AB88" t="s">
        <v>554</v>
      </c>
      <c r="AC88" t="s">
        <v>474</v>
      </c>
      <c r="AD88" s="2">
        <v>13</v>
      </c>
      <c r="AE88" s="2" t="s">
        <v>70</v>
      </c>
      <c r="AF88" t="str">
        <f>_xlfn.CONCAT(FINI_grouping_for_wheel[[#This Row],[SEFI/Plant]],"/",IF(FINI_grouping_for_wheel[[#This Row],[RESET recipe combination]]&lt;&gt;"",FINI_grouping_for_wheel[[#This Row],[RESET recipe combination]],FINI_grouping_for_wheel[[#This Row],[Recipe Combination]]),"/",FINI_grouping_for_wheel[[#This Row],[Subgroup]])</f>
        <v>4849219/THDP/x/13</v>
      </c>
      <c r="AG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88">
        <f>_xlfn.LET(_xlpm.pct, FINI_grouping_for_wheel[[#This Row],[% forecast within subgroup]], _xlpm.lote, FINI_grouping_for_wheel[[#This Row],[Lot size considered]], _xlpm.pct*_xlpm.lote)</f>
        <v>8443.29589639</v>
      </c>
      <c r="AI88" cm="1">
        <f t="array" aca="1" ref="AI88" ca="1">IFERROR(INDIRECT("FINI_grouping_for_wheel[@["&amp;FINI_grouping_for_wheel[[#This Row],[Selected PV]]&amp;"]]"),"")</f>
        <v>41</v>
      </c>
      <c r="AJ8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8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88" s="4"/>
      <c r="AM8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41</v>
      </c>
      <c r="AN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8" t="str">
        <f>_xlfn.CONCAT(FINI_grouping_for_wheel[[#This Row],[Recipe Combination]],FINI_grouping_for_wheel[[#This Row],[Subgroup]])</f>
        <v>C13</v>
      </c>
    </row>
    <row r="89" spans="1:55" hidden="1">
      <c r="A89" t="s">
        <v>10</v>
      </c>
      <c r="B89">
        <v>4849219</v>
      </c>
      <c r="C89" t="s">
        <v>466</v>
      </c>
      <c r="D89">
        <v>8443.29589639</v>
      </c>
      <c r="E89">
        <v>198</v>
      </c>
      <c r="F89">
        <v>3.96</v>
      </c>
      <c r="G89" t="s">
        <v>555</v>
      </c>
      <c r="H89" t="s">
        <v>556</v>
      </c>
      <c r="I89">
        <v>350</v>
      </c>
      <c r="J89" t="s">
        <v>90</v>
      </c>
      <c r="K89" t="s">
        <v>557</v>
      </c>
      <c r="L89" t="s">
        <v>558</v>
      </c>
      <c r="M89">
        <v>3610.91025</v>
      </c>
      <c r="N89">
        <v>14.443641</v>
      </c>
      <c r="O89">
        <v>12300.77295</v>
      </c>
      <c r="P89">
        <v>1671521.13626</v>
      </c>
      <c r="Q89">
        <v>0.29355149181905676</v>
      </c>
      <c r="R89">
        <v>2478.54210625</v>
      </c>
      <c r="S89" t="s">
        <v>126</v>
      </c>
      <c r="T89" t="s">
        <v>93</v>
      </c>
      <c r="U89">
        <v>5</v>
      </c>
      <c r="V89" t="s">
        <v>135</v>
      </c>
      <c r="W89" t="s">
        <v>142</v>
      </c>
      <c r="X89" t="s">
        <v>128</v>
      </c>
      <c r="Y89" s="23" t="s">
        <v>136</v>
      </c>
      <c r="AA89">
        <v>585</v>
      </c>
      <c r="AB89" t="s">
        <v>559</v>
      </c>
      <c r="AC89" t="s">
        <v>474</v>
      </c>
      <c r="AD89" s="2">
        <v>10</v>
      </c>
      <c r="AE89" s="2" t="s">
        <v>70</v>
      </c>
      <c r="AF89" t="str">
        <f>_xlfn.CONCAT(FINI_grouping_for_wheel[[#This Row],[SEFI/Plant]],"/",IF(FINI_grouping_for_wheel[[#This Row],[RESET recipe combination]]&lt;&gt;"",FINI_grouping_for_wheel[[#This Row],[RESET recipe combination]],FINI_grouping_for_wheel[[#This Row],[Recipe Combination]]),"/",FINI_grouping_for_wheel[[#This Row],[Subgroup]])</f>
        <v>4849219/THDP/x/10</v>
      </c>
      <c r="AG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0.19721952796637568</v>
      </c>
      <c r="AH89">
        <f>_xlfn.LET(_xlpm.pct, FINI_grouping_for_wheel[[#This Row],[% forecast within subgroup]], _xlpm.lote, FINI_grouping_for_wheel[[#This Row],[Lot size considered]], _xlpm.pct*_xlpm.lote)</f>
        <v>1665.1828311664726</v>
      </c>
      <c r="AI89" cm="1">
        <f t="array" aca="1" ref="AI89" ca="1">IFERROR(INDIRECT("FINI_grouping_for_wheel[@["&amp;FINI_grouping_for_wheel[[#This Row],[Selected PV]]&amp;"]]"),"")</f>
        <v>100</v>
      </c>
      <c r="AJ8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4.9</v>
      </c>
      <c r="AL89" s="4"/>
      <c r="AM8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100</v>
      </c>
      <c r="AN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9" t="str">
        <f>_xlfn.CONCAT(FINI_grouping_for_wheel[[#This Row],[Recipe Combination]],FINI_grouping_for_wheel[[#This Row],[Subgroup]])</f>
        <v>E10</v>
      </c>
    </row>
    <row r="90" spans="1:55" hidden="1">
      <c r="A90" t="s">
        <v>10</v>
      </c>
      <c r="B90">
        <v>4849219</v>
      </c>
      <c r="C90" t="s">
        <v>466</v>
      </c>
      <c r="D90">
        <v>8443.29589639</v>
      </c>
      <c r="E90">
        <v>198</v>
      </c>
      <c r="F90">
        <v>3.96</v>
      </c>
      <c r="G90" t="s">
        <v>560</v>
      </c>
      <c r="H90" t="s">
        <v>561</v>
      </c>
      <c r="I90">
        <v>300</v>
      </c>
      <c r="J90" t="s">
        <v>90</v>
      </c>
      <c r="K90" t="s">
        <v>562</v>
      </c>
      <c r="L90" t="s">
        <v>563</v>
      </c>
      <c r="M90">
        <v>8689.8627</v>
      </c>
      <c r="N90">
        <v>34.7594508</v>
      </c>
      <c r="O90">
        <v>12300.77295</v>
      </c>
      <c r="P90">
        <v>1671521.13626</v>
      </c>
      <c r="Q90">
        <v>0.70644850818094318</v>
      </c>
      <c r="R90">
        <v>5964.75379013</v>
      </c>
      <c r="S90" t="s">
        <v>126</v>
      </c>
      <c r="T90" t="s">
        <v>93</v>
      </c>
      <c r="U90">
        <v>10</v>
      </c>
      <c r="V90" t="s">
        <v>127</v>
      </c>
      <c r="W90" t="s">
        <v>142</v>
      </c>
      <c r="X90" t="s">
        <v>128</v>
      </c>
      <c r="Y90" s="23" t="s">
        <v>129</v>
      </c>
      <c r="AA90">
        <v>243</v>
      </c>
      <c r="AB90" t="s">
        <v>564</v>
      </c>
      <c r="AC90" t="s">
        <v>474</v>
      </c>
      <c r="AD90" s="2">
        <v>15</v>
      </c>
      <c r="AE90" s="2" t="s">
        <v>70</v>
      </c>
      <c r="AF90" t="str">
        <f>_xlfn.CONCAT(FINI_grouping_for_wheel[[#This Row],[SEFI/Plant]],"/",IF(FINI_grouping_for_wheel[[#This Row],[RESET recipe combination]]&lt;&gt;"",FINI_grouping_for_wheel[[#This Row],[RESET recipe combination]],FINI_grouping_for_wheel[[#This Row],[Recipe Combination]]),"/",FINI_grouping_for_wheel[[#This Row],[Subgroup]])</f>
        <v>4849219/THDP/x/15</v>
      </c>
      <c r="AG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0.5615914307574599</v>
      </c>
      <c r="AH90">
        <f>_xlfn.LET(_xlpm.pct, FINI_grouping_for_wheel[[#This Row],[% forecast within subgroup]], _xlpm.lote, FINI_grouping_for_wheel[[#This Row],[Lot size considered]], _xlpm.pct*_xlpm.lote)</f>
        <v>4741.68262276225</v>
      </c>
      <c r="AI90" cm="1">
        <f t="array" aca="1" ref="AI90" ca="1">IFERROR(INDIRECT("FINI_grouping_for_wheel[@["&amp;FINI_grouping_for_wheel[[#This Row],[Selected PV]]&amp;"]]"),"")</f>
        <v>119</v>
      </c>
      <c r="AJ9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16.2</v>
      </c>
      <c r="AL90" s="4"/>
      <c r="AM9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119</v>
      </c>
      <c r="AN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0" t="str">
        <f>_xlfn.CONCAT(FINI_grouping_for_wheel[[#This Row],[Recipe Combination]],FINI_grouping_for_wheel[[#This Row],[Subgroup]])</f>
        <v>E15</v>
      </c>
    </row>
    <row r="91" spans="1:55">
      <c r="A91" t="s">
        <v>10</v>
      </c>
      <c r="B91">
        <v>4849219</v>
      </c>
      <c r="C91" t="s">
        <v>466</v>
      </c>
      <c r="D91">
        <v>8443.29589639</v>
      </c>
      <c r="E91">
        <v>198</v>
      </c>
      <c r="F91">
        <v>3.96</v>
      </c>
      <c r="G91" t="s">
        <v>565</v>
      </c>
      <c r="H91" t="s">
        <v>566</v>
      </c>
      <c r="I91">
        <v>360</v>
      </c>
      <c r="J91" t="s">
        <v>90</v>
      </c>
      <c r="K91" t="s">
        <v>567</v>
      </c>
      <c r="L91" t="s">
        <v>568</v>
      </c>
      <c r="M91">
        <v>622319.66325</v>
      </c>
      <c r="N91">
        <v>2489.278653</v>
      </c>
      <c r="O91">
        <v>622319.66325</v>
      </c>
      <c r="P91">
        <v>1671521.13626</v>
      </c>
      <c r="Q91">
        <v>1</v>
      </c>
      <c r="R91">
        <v>8443.29589639</v>
      </c>
      <c r="S91" t="s">
        <v>157</v>
      </c>
      <c r="T91" t="s">
        <v>93</v>
      </c>
      <c r="U91">
        <v>10</v>
      </c>
      <c r="V91" t="s">
        <v>482</v>
      </c>
      <c r="W91" t="s">
        <v>159</v>
      </c>
      <c r="X91" t="s">
        <v>96</v>
      </c>
      <c r="Y91" s="23" t="s">
        <v>483</v>
      </c>
      <c r="AA91">
        <v>3</v>
      </c>
      <c r="AB91" t="s">
        <v>569</v>
      </c>
      <c r="AC91" t="s">
        <v>474</v>
      </c>
      <c r="AD91" s="2">
        <v>7</v>
      </c>
      <c r="AE91" s="2" t="s">
        <v>70</v>
      </c>
      <c r="AF91" t="str">
        <f>_xlfn.CONCAT(FINI_grouping_for_wheel[[#This Row],[SEFI/Plant]],"/",IF(FINI_grouping_for_wheel[[#This Row],[RESET recipe combination]]&lt;&gt;"",FINI_grouping_for_wheel[[#This Row],[RESET recipe combination]],FINI_grouping_for_wheel[[#This Row],[Recipe Combination]]),"/",FINI_grouping_for_wheel[[#This Row],[Subgroup]])</f>
        <v>4849219/THDP/x/7</v>
      </c>
      <c r="AG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1">
        <f>_xlfn.LET(_xlpm.pct, FINI_grouping_for_wheel[[#This Row],[% forecast within subgroup]], _xlpm.lote, FINI_grouping_for_wheel[[#This Row],[Lot size considered]], _xlpm.pct*_xlpm.lote)</f>
        <v>8443.29589639</v>
      </c>
      <c r="AI91" cm="1">
        <f t="array" aca="1" ref="AI91" ca="1">IFERROR(INDIRECT("FINI_grouping_for_wheel[@["&amp;FINI_grouping_for_wheel[[#This Row],[Selected PV]]&amp;"]]"),"")</f>
        <v>3</v>
      </c>
      <c r="AJ9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v>
      </c>
      <c r="AL91" s="4"/>
      <c r="AM9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v>
      </c>
      <c r="AN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1" t="str">
        <f>_xlfn.CONCAT(FINI_grouping_for_wheel[[#This Row],[Recipe Combination]],FINI_grouping_for_wheel[[#This Row],[Subgroup]])</f>
        <v>M7</v>
      </c>
    </row>
    <row r="92" spans="1:55" hidden="1">
      <c r="A92" t="s">
        <v>10</v>
      </c>
      <c r="B92">
        <v>4849219</v>
      </c>
      <c r="C92" t="s">
        <v>466</v>
      </c>
      <c r="D92">
        <v>8443.29589639</v>
      </c>
      <c r="E92">
        <v>198</v>
      </c>
      <c r="F92">
        <v>3.96</v>
      </c>
      <c r="G92" t="s">
        <v>570</v>
      </c>
      <c r="H92" t="s">
        <v>571</v>
      </c>
      <c r="I92">
        <v>440</v>
      </c>
      <c r="J92" t="s">
        <v>90</v>
      </c>
      <c r="K92" t="s">
        <v>572</v>
      </c>
      <c r="L92" t="s">
        <v>573</v>
      </c>
      <c r="M92">
        <v>143145.95355</v>
      </c>
      <c r="N92">
        <v>572.5838142</v>
      </c>
      <c r="O92">
        <v>309958.16805</v>
      </c>
      <c r="P92">
        <v>1671521.13626</v>
      </c>
      <c r="Q92">
        <v>0.46182345976089528</v>
      </c>
      <c r="R92">
        <v>3899.31212265</v>
      </c>
      <c r="S92" t="s">
        <v>387</v>
      </c>
      <c r="T92" t="s">
        <v>93</v>
      </c>
      <c r="U92">
        <v>10</v>
      </c>
      <c r="V92" t="s">
        <v>94</v>
      </c>
      <c r="W92" t="s">
        <v>95</v>
      </c>
      <c r="X92" t="s">
        <v>96</v>
      </c>
      <c r="Y92" s="23" t="s">
        <v>97</v>
      </c>
      <c r="AA92">
        <v>15</v>
      </c>
      <c r="AB92" t="s">
        <v>574</v>
      </c>
      <c r="AC92" t="s">
        <v>474</v>
      </c>
      <c r="AD92" s="2">
        <v>11</v>
      </c>
      <c r="AE92" s="2" t="s">
        <v>70</v>
      </c>
      <c r="AF92" t="str">
        <f>_xlfn.CONCAT(FINI_grouping_for_wheel[[#This Row],[SEFI/Plant]],"/",IF(FINI_grouping_for_wheel[[#This Row],[RESET recipe combination]]&lt;&gt;"",FINI_grouping_for_wheel[[#This Row],[RESET recipe combination]],FINI_grouping_for_wheel[[#This Row],[Recipe Combination]]),"/",FINI_grouping_for_wheel[[#This Row],[Subgroup]])</f>
        <v>4849219/THDP/x/11</v>
      </c>
      <c r="AG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2">
        <f>_xlfn.LET(_xlpm.pct, FINI_grouping_for_wheel[[#This Row],[% forecast within subgroup]], _xlpm.lote, FINI_grouping_for_wheel[[#This Row],[Lot size considered]], _xlpm.pct*_xlpm.lote)</f>
        <v>8443.29589639</v>
      </c>
      <c r="AI92" cm="1">
        <f t="array" aca="1" ref="AI92" ca="1">IFERROR(INDIRECT("FINI_grouping_for_wheel[@["&amp;FINI_grouping_for_wheel[[#This Row],[Selected PV]]&amp;"]]"),"")</f>
        <v>13</v>
      </c>
      <c r="AJ9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19.7</v>
      </c>
      <c r="AL92" s="4"/>
      <c r="AM9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v>
      </c>
      <c r="AN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2" t="str">
        <f>_xlfn.CONCAT(FINI_grouping_for_wheel[[#This Row],[Recipe Combination]],FINI_grouping_for_wheel[[#This Row],[Subgroup]])</f>
        <v>X11</v>
      </c>
    </row>
    <row r="93" spans="1:55">
      <c r="A93" t="s">
        <v>10</v>
      </c>
      <c r="B93">
        <v>4849219</v>
      </c>
      <c r="C93" t="s">
        <v>466</v>
      </c>
      <c r="D93">
        <v>8443.29589639</v>
      </c>
      <c r="E93">
        <v>198</v>
      </c>
      <c r="F93">
        <v>3.96</v>
      </c>
      <c r="G93" t="s">
        <v>575</v>
      </c>
      <c r="H93" t="s">
        <v>576</v>
      </c>
      <c r="I93">
        <v>360</v>
      </c>
      <c r="J93" t="s">
        <v>90</v>
      </c>
      <c r="K93" t="s">
        <v>577</v>
      </c>
      <c r="L93" t="s">
        <v>578</v>
      </c>
      <c r="M93">
        <v>1491.7203</v>
      </c>
      <c r="N93">
        <v>5.9668812</v>
      </c>
      <c r="O93">
        <v>309958.16805</v>
      </c>
      <c r="P93">
        <v>1671521.13626</v>
      </c>
      <c r="Q93">
        <v>4.8126503953248535E-3</v>
      </c>
      <c r="R93">
        <v>40.6346313336</v>
      </c>
      <c r="S93" t="s">
        <v>387</v>
      </c>
      <c r="T93" t="s">
        <v>93</v>
      </c>
      <c r="U93">
        <v>10</v>
      </c>
      <c r="V93" t="s">
        <v>482</v>
      </c>
      <c r="W93" t="s">
        <v>142</v>
      </c>
      <c r="X93" t="s">
        <v>96</v>
      </c>
      <c r="Y93" s="23" t="s">
        <v>483</v>
      </c>
      <c r="AA93">
        <v>1415</v>
      </c>
      <c r="AB93" t="s">
        <v>579</v>
      </c>
      <c r="AC93" t="s">
        <v>474</v>
      </c>
      <c r="AD93" s="2">
        <v>15</v>
      </c>
      <c r="AE93" s="2" t="s">
        <v>70</v>
      </c>
      <c r="AF93" t="str">
        <f>_xlfn.CONCAT(FINI_grouping_for_wheel[[#This Row],[SEFI/Plant]],"/",IF(FINI_grouping_for_wheel[[#This Row],[RESET recipe combination]]&lt;&gt;"",FINI_grouping_for_wheel[[#This Row],[RESET recipe combination]],FINI_grouping_for_wheel[[#This Row],[Recipe Combination]]),"/",FINI_grouping_for_wheel[[#This Row],[Subgroup]])</f>
        <v>4849219/THDP/x/15</v>
      </c>
      <c r="AG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0.09640397857689365</v>
      </c>
      <c r="AH93">
        <f>_xlfn.LET(_xlpm.pct, FINI_grouping_for_wheel[[#This Row],[% forecast within subgroup]], _xlpm.lote, FINI_grouping_for_wheel[[#This Row],[Lot size considered]], _xlpm.pct*_xlpm.lote)</f>
        <v>813.9673167139556</v>
      </c>
      <c r="AI93" cm="1">
        <f t="array" aca="1" ref="AI93" ca="1">IFERROR(INDIRECT("FINI_grouping_for_wheel[@["&amp;FINI_grouping_for_wheel[[#This Row],[Selected PV]]&amp;"]]"),"")</f>
        <v>119</v>
      </c>
      <c r="AJ9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v>
      </c>
      <c r="AL93" s="4"/>
      <c r="AM9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119</v>
      </c>
      <c r="AN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3" t="str">
        <f>_xlfn.CONCAT(FINI_grouping_for_wheel[[#This Row],[Recipe Combination]],FINI_grouping_for_wheel[[#This Row],[Subgroup]])</f>
        <v>X15</v>
      </c>
    </row>
    <row r="94" spans="1:55">
      <c r="A94" t="s">
        <v>10</v>
      </c>
      <c r="B94">
        <v>4849219</v>
      </c>
      <c r="C94" t="s">
        <v>466</v>
      </c>
      <c r="D94">
        <v>8443.29589639</v>
      </c>
      <c r="E94">
        <v>198</v>
      </c>
      <c r="F94">
        <v>3.96</v>
      </c>
      <c r="G94" t="s">
        <v>580</v>
      </c>
      <c r="H94" t="s">
        <v>581</v>
      </c>
      <c r="J94" t="s">
        <v>90</v>
      </c>
      <c r="K94" t="s">
        <v>582</v>
      </c>
      <c r="L94" t="s">
        <v>583</v>
      </c>
      <c r="M94">
        <v>5292.05535</v>
      </c>
      <c r="N94">
        <v>21.1682214</v>
      </c>
      <c r="O94">
        <v>309958.16805</v>
      </c>
      <c r="P94">
        <v>1671521.13626</v>
      </c>
      <c r="Q94">
        <v>1.707345021198579E-2</v>
      </c>
      <c r="R94">
        <v>144.156192112</v>
      </c>
      <c r="S94" t="s">
        <v>387</v>
      </c>
      <c r="T94" t="s">
        <v>93</v>
      </c>
      <c r="U94">
        <v>10</v>
      </c>
      <c r="V94" t="s">
        <v>482</v>
      </c>
      <c r="W94" t="s">
        <v>159</v>
      </c>
      <c r="X94" t="s">
        <v>96</v>
      </c>
      <c r="Y94" s="23" t="s">
        <v>483</v>
      </c>
      <c r="AA94">
        <v>399</v>
      </c>
      <c r="AB94" t="s">
        <v>584</v>
      </c>
      <c r="AC94" t="s">
        <v>474</v>
      </c>
      <c r="AD94" s="2">
        <v>15</v>
      </c>
      <c r="AE94" s="2" t="s">
        <v>70</v>
      </c>
      <c r="AF94" t="str">
        <f>_xlfn.CONCAT(FINI_grouping_for_wheel[[#This Row],[SEFI/Plant]],"/",IF(FINI_grouping_for_wheel[[#This Row],[RESET recipe combination]]&lt;&gt;"",FINI_grouping_for_wheel[[#This Row],[RESET recipe combination]],FINI_grouping_for_wheel[[#This Row],[Recipe Combination]]),"/",FINI_grouping_for_wheel[[#This Row],[Subgroup]])</f>
        <v>4849219/THDP/x/15</v>
      </c>
      <c r="AG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0.34200459066564654</v>
      </c>
      <c r="AH94">
        <f>_xlfn.LET(_xlpm.pct, FINI_grouping_for_wheel[[#This Row],[% forecast within subgroup]], _xlpm.lote, FINI_grouping_for_wheel[[#This Row],[Lot size considered]], _xlpm.pct*_xlpm.lote)</f>
        <v>2887.645956913795</v>
      </c>
      <c r="AI94" cm="1">
        <f t="array" aca="1" ref="AI94" ca="1">IFERROR(INDIRECT("FINI_grouping_for_wheel[@["&amp;FINI_grouping_for_wheel[[#This Row],[Selected PV]]&amp;"]]"),"")</f>
        <v>119</v>
      </c>
      <c r="AJ9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9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4" s="4"/>
      <c r="AM9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119</v>
      </c>
      <c r="AN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4" t="str">
        <f>_xlfn.CONCAT(FINI_grouping_for_wheel[[#This Row],[Recipe Combination]],FINI_grouping_for_wheel[[#This Row],[Subgroup]])</f>
        <v>X15</v>
      </c>
    </row>
    <row r="95" spans="1:55" hidden="1">
      <c r="A95" t="s">
        <v>10</v>
      </c>
      <c r="B95">
        <v>4849219</v>
      </c>
      <c r="C95" t="s">
        <v>466</v>
      </c>
      <c r="D95">
        <v>8443.29589639</v>
      </c>
      <c r="E95">
        <v>198</v>
      </c>
      <c r="F95">
        <v>3.96</v>
      </c>
      <c r="G95" t="s">
        <v>585</v>
      </c>
      <c r="H95" t="s">
        <v>586</v>
      </c>
      <c r="I95">
        <v>440</v>
      </c>
      <c r="J95" t="s">
        <v>90</v>
      </c>
      <c r="K95" t="s">
        <v>385</v>
      </c>
      <c r="L95" t="s">
        <v>386</v>
      </c>
      <c r="M95">
        <v>128560.24395</v>
      </c>
      <c r="N95">
        <v>514.2409758</v>
      </c>
      <c r="O95">
        <v>309958.16805</v>
      </c>
      <c r="P95">
        <v>1671521.13626</v>
      </c>
      <c r="Q95">
        <v>0.41476643367327454</v>
      </c>
      <c r="R95">
        <v>3501.99572739</v>
      </c>
      <c r="S95" t="s">
        <v>387</v>
      </c>
      <c r="T95" t="s">
        <v>93</v>
      </c>
      <c r="U95">
        <v>10</v>
      </c>
      <c r="V95" t="s">
        <v>94</v>
      </c>
      <c r="W95" t="s">
        <v>95</v>
      </c>
      <c r="X95" t="s">
        <v>96</v>
      </c>
      <c r="Y95" s="23" t="s">
        <v>97</v>
      </c>
      <c r="AA95">
        <v>16</v>
      </c>
      <c r="AB95" t="s">
        <v>587</v>
      </c>
      <c r="AC95" t="s">
        <v>474</v>
      </c>
      <c r="AD95" s="2">
        <v>8</v>
      </c>
      <c r="AE95" s="2" t="s">
        <v>70</v>
      </c>
      <c r="AF95" t="str">
        <f>_xlfn.CONCAT(FINI_grouping_for_wheel[[#This Row],[SEFI/Plant]],"/",IF(FINI_grouping_for_wheel[[#This Row],[RESET recipe combination]]&lt;&gt;"",FINI_grouping_for_wheel[[#This Row],[RESET recipe combination]],FINI_grouping_for_wheel[[#This Row],[Recipe Combination]]),"/",FINI_grouping_for_wheel[[#This Row],[Subgroup]])</f>
        <v>4849219/THDP/x/8</v>
      </c>
      <c r="AG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5">
        <f>_xlfn.LET(_xlpm.pct, FINI_grouping_for_wheel[[#This Row],[% forecast within subgroup]], _xlpm.lote, FINI_grouping_for_wheel[[#This Row],[Lot size considered]], _xlpm.pct*_xlpm.lote)</f>
        <v>8443.29589639</v>
      </c>
      <c r="AI95" cm="1">
        <f t="array" aca="1" ref="AI95" ca="1">IFERROR(INDIRECT("FINI_grouping_for_wheel[@["&amp;FINI_grouping_for_wheel[[#This Row],[Selected PV]]&amp;"]]"),"")</f>
        <v>14</v>
      </c>
      <c r="AJ9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19.7</v>
      </c>
      <c r="AL95" s="4"/>
      <c r="AM9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5" t="str">
        <f>_xlfn.CONCAT(FINI_grouping_for_wheel[[#This Row],[Recipe Combination]],FINI_grouping_for_wheel[[#This Row],[Subgroup]])</f>
        <v>X8</v>
      </c>
    </row>
    <row r="96" spans="1:55">
      <c r="A96" t="s">
        <v>10</v>
      </c>
      <c r="B96">
        <v>4849219</v>
      </c>
      <c r="C96" t="s">
        <v>466</v>
      </c>
      <c r="D96">
        <v>8443.29589639</v>
      </c>
      <c r="E96">
        <v>198</v>
      </c>
      <c r="F96">
        <v>3.96</v>
      </c>
      <c r="G96" t="s">
        <v>588</v>
      </c>
      <c r="H96" t="s">
        <v>589</v>
      </c>
      <c r="I96">
        <v>360</v>
      </c>
      <c r="J96" t="s">
        <v>90</v>
      </c>
      <c r="K96" t="s">
        <v>577</v>
      </c>
      <c r="L96" t="s">
        <v>578</v>
      </c>
      <c r="M96">
        <v>31468.1949</v>
      </c>
      <c r="N96">
        <v>125.8727796</v>
      </c>
      <c r="O96">
        <v>309958.16805</v>
      </c>
      <c r="P96">
        <v>1671521.13626</v>
      </c>
      <c r="Q96">
        <v>0.10152400595851954</v>
      </c>
      <c r="R96">
        <v>857.197222894</v>
      </c>
      <c r="S96" t="s">
        <v>387</v>
      </c>
      <c r="T96" t="s">
        <v>93</v>
      </c>
      <c r="U96">
        <v>10</v>
      </c>
      <c r="V96" t="s">
        <v>482</v>
      </c>
      <c r="W96" t="s">
        <v>142</v>
      </c>
      <c r="X96" t="s">
        <v>96</v>
      </c>
      <c r="Y96" s="23" t="s">
        <v>483</v>
      </c>
      <c r="AA96">
        <v>67</v>
      </c>
      <c r="AB96" t="s">
        <v>590</v>
      </c>
      <c r="AC96" t="s">
        <v>474</v>
      </c>
      <c r="AD96" s="2">
        <v>14</v>
      </c>
      <c r="AE96" s="2" t="s">
        <v>70</v>
      </c>
      <c r="AF96" t="str">
        <f>_xlfn.CONCAT(FINI_grouping_for_wheel[[#This Row],[SEFI/Plant]],"/",IF(FINI_grouping_for_wheel[[#This Row],[RESET recipe combination]]&lt;&gt;"",FINI_grouping_for_wheel[[#This Row],[RESET recipe combination]],FINI_grouping_for_wheel[[#This Row],[Recipe Combination]]),"/",FINI_grouping_for_wheel[[#This Row],[Subgroup]])</f>
        <v>4849219/THDP/x/14</v>
      </c>
      <c r="AG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0.3948306595365419</v>
      </c>
      <c r="AH96">
        <f>_xlfn.LET(_xlpm.pct, FINI_grouping_for_wheel[[#This Row],[% forecast within subgroup]], _xlpm.lote, FINI_grouping_for_wheel[[#This Row],[Lot size considered]], _xlpm.pct*_xlpm.lote)</f>
        <v>3333.6720874338416</v>
      </c>
      <c r="AI96" cm="1">
        <f t="array" aca="1" ref="AI96" ca="1">IFERROR(INDIRECT("FINI_grouping_for_wheel[@["&amp;FINI_grouping_for_wheel[[#This Row],[Selected PV]]&amp;"]]"),"")</f>
        <v>23</v>
      </c>
      <c r="AJ9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8653.161645</v>
      </c>
      <c r="AK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9.5</v>
      </c>
      <c r="AL96" s="4"/>
      <c r="AM9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23</v>
      </c>
      <c r="AN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6" t="str">
        <f>_xlfn.CONCAT(FINI_grouping_for_wheel[[#This Row],[Recipe Combination]],FINI_grouping_for_wheel[[#This Row],[Subgroup]])</f>
        <v>X14</v>
      </c>
    </row>
    <row r="97" spans="1:55" hidden="1">
      <c r="A97" t="s">
        <v>10</v>
      </c>
      <c r="B97">
        <v>4211985</v>
      </c>
      <c r="C97" t="s">
        <v>591</v>
      </c>
      <c r="D97">
        <v>8521.28708513</v>
      </c>
      <c r="E97">
        <v>190</v>
      </c>
      <c r="F97">
        <v>3.8</v>
      </c>
      <c r="G97" t="s">
        <v>592</v>
      </c>
      <c r="H97" t="s">
        <v>593</v>
      </c>
      <c r="I97">
        <v>450</v>
      </c>
      <c r="J97" t="s">
        <v>90</v>
      </c>
      <c r="K97" t="s">
        <v>264</v>
      </c>
      <c r="L97" t="s">
        <v>265</v>
      </c>
      <c r="M97">
        <v>17633.08107</v>
      </c>
      <c r="N97">
        <v>70.53232428</v>
      </c>
      <c r="O97">
        <v>17633.08107</v>
      </c>
      <c r="P97">
        <v>1612080.81792</v>
      </c>
      <c r="Q97">
        <v>1</v>
      </c>
      <c r="R97">
        <v>8521.28708513</v>
      </c>
      <c r="S97" t="s">
        <v>594</v>
      </c>
      <c r="T97" t="s">
        <v>93</v>
      </c>
      <c r="U97">
        <v>2.5</v>
      </c>
      <c r="V97" t="s">
        <v>267</v>
      </c>
      <c r="W97" t="s">
        <v>142</v>
      </c>
      <c r="X97" t="s">
        <v>150</v>
      </c>
      <c r="Y97" s="23" t="s">
        <v>151</v>
      </c>
      <c r="AA97">
        <v>121</v>
      </c>
      <c r="AB97" t="s">
        <v>595</v>
      </c>
      <c r="AC97" t="s">
        <v>596</v>
      </c>
      <c r="AD97" s="2">
        <v>3</v>
      </c>
      <c r="AE97" s="2" t="s">
        <v>70</v>
      </c>
      <c r="AF97" t="str">
        <f>_xlfn.CONCAT(FINI_grouping_for_wheel[[#This Row],[SEFI/Plant]],"/",IF(FINI_grouping_for_wheel[[#This Row],[RESET recipe combination]]&lt;&gt;"",FINI_grouping_for_wheel[[#This Row],[RESET recipe combination]],FINI_grouping_for_wheel[[#This Row],[Recipe Combination]]),"/",FINI_grouping_for_wheel[[#This Row],[Subgroup]])</f>
        <v>4211985/THDP/x/3</v>
      </c>
      <c r="AG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0.8406140647928659</v>
      </c>
      <c r="AH97">
        <f>_xlfn.LET(_xlpm.pct, FINI_grouping_for_wheel[[#This Row],[% forecast within subgroup]], _xlpm.lote, FINI_grouping_for_wheel[[#This Row],[Lot size considered]], _xlpm.pct*_xlpm.lote)</f>
        <v>7163.1137738980815</v>
      </c>
      <c r="AI97" cm="1">
        <f t="array" aca="1" ref="AI97" ca="1">IFERROR(INDIRECT("FINI_grouping_for_wheel[@["&amp;FINI_grouping_for_wheel[[#This Row],[Selected PV]]&amp;"]]"),"")</f>
        <v>90</v>
      </c>
      <c r="AJ9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16.6</v>
      </c>
      <c r="AL97" s="4"/>
      <c r="AM9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90</v>
      </c>
      <c r="AN9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177</v>
      </c>
      <c r="AO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7" t="str">
        <f>_xlfn.CONCAT(FINI_grouping_for_wheel[[#This Row],[Recipe Combination]],FINI_grouping_for_wheel[[#This Row],[Subgroup]])</f>
        <v>43</v>
      </c>
    </row>
    <row r="98" spans="1:55" hidden="1">
      <c r="A98" t="s">
        <v>10</v>
      </c>
      <c r="B98">
        <v>4211985</v>
      </c>
      <c r="C98" t="s">
        <v>591</v>
      </c>
      <c r="D98">
        <v>8521.28708513</v>
      </c>
      <c r="E98">
        <v>190</v>
      </c>
      <c r="F98">
        <v>3.8</v>
      </c>
      <c r="G98" t="s">
        <v>597</v>
      </c>
      <c r="H98" t="s">
        <v>598</v>
      </c>
      <c r="I98">
        <v>300</v>
      </c>
      <c r="J98" t="s">
        <v>90</v>
      </c>
      <c r="K98" t="s">
        <v>292</v>
      </c>
      <c r="L98" t="s">
        <v>293</v>
      </c>
      <c r="M98">
        <v>222545.72628</v>
      </c>
      <c r="N98">
        <v>890.18290512</v>
      </c>
      <c r="O98">
        <v>222545.72628</v>
      </c>
      <c r="P98">
        <v>1612080.81792</v>
      </c>
      <c r="Q98">
        <v>1</v>
      </c>
      <c r="R98">
        <v>8521.28708513</v>
      </c>
      <c r="S98" t="s">
        <v>294</v>
      </c>
      <c r="T98" t="s">
        <v>93</v>
      </c>
      <c r="U98">
        <v>12.5</v>
      </c>
      <c r="V98" t="s">
        <v>295</v>
      </c>
      <c r="W98" t="s">
        <v>142</v>
      </c>
      <c r="X98" t="s">
        <v>128</v>
      </c>
      <c r="Y98" s="23" t="s">
        <v>120</v>
      </c>
      <c r="AA98">
        <v>10</v>
      </c>
      <c r="AB98" t="s">
        <v>599</v>
      </c>
      <c r="AC98" t="s">
        <v>596</v>
      </c>
      <c r="AD98" s="2">
        <v>5</v>
      </c>
      <c r="AE98" s="2" t="s">
        <v>70</v>
      </c>
      <c r="AF98" t="str">
        <f>_xlfn.CONCAT(FINI_grouping_for_wheel[[#This Row],[SEFI/Plant]],"/",IF(FINI_grouping_for_wheel[[#This Row],[RESET recipe combination]]&lt;&gt;"",FINI_grouping_for_wheel[[#This Row],[RESET recipe combination]],FINI_grouping_for_wheel[[#This Row],[Recipe Combination]]),"/",FINI_grouping_for_wheel[[#This Row],[Subgroup]])</f>
        <v>4211985/THDP/x/5</v>
      </c>
      <c r="AG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8">
        <f>_xlfn.LET(_xlpm.pct, FINI_grouping_for_wheel[[#This Row],[% forecast within subgroup]], _xlpm.lote, FINI_grouping_for_wheel[[#This Row],[Lot size considered]], _xlpm.pct*_xlpm.lote)</f>
        <v>8521.28708513</v>
      </c>
      <c r="AI98" cm="1">
        <f t="array" aca="1" ref="AI98" ca="1">IFERROR(INDIRECT("FINI_grouping_for_wheel[@["&amp;FINI_grouping_for_wheel[[#This Row],[Selected PV]]&amp;"]]"),"")</f>
        <v>8</v>
      </c>
      <c r="AJ9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29.6</v>
      </c>
      <c r="AL98" s="4"/>
      <c r="AM9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v>
      </c>
      <c r="AN9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17</v>
      </c>
      <c r="AO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8" t="str">
        <f>_xlfn.CONCAT(FINI_grouping_for_wheel[[#This Row],[Recipe Combination]],FINI_grouping_for_wheel[[#This Row],[Subgroup]])</f>
        <v>C5</v>
      </c>
    </row>
    <row r="99" spans="1:55" hidden="1">
      <c r="A99" t="s">
        <v>10</v>
      </c>
      <c r="B99">
        <v>4211985</v>
      </c>
      <c r="C99" t="s">
        <v>591</v>
      </c>
      <c r="D99">
        <v>8521.28708513</v>
      </c>
      <c r="E99">
        <v>190</v>
      </c>
      <c r="F99">
        <v>3.8</v>
      </c>
      <c r="G99" t="s">
        <v>600</v>
      </c>
      <c r="H99" t="s">
        <v>601</v>
      </c>
      <c r="I99">
        <v>190</v>
      </c>
      <c r="J99" t="s">
        <v>90</v>
      </c>
      <c r="K99" t="s">
        <v>602</v>
      </c>
      <c r="L99" t="s">
        <v>603</v>
      </c>
      <c r="M99">
        <v>1292.82426</v>
      </c>
      <c r="N99">
        <v>5.17129704</v>
      </c>
      <c r="O99">
        <v>1292.82426</v>
      </c>
      <c r="P99">
        <v>1612080.81792</v>
      </c>
      <c r="Q99">
        <v>1</v>
      </c>
      <c r="R99">
        <v>8521.28708513</v>
      </c>
      <c r="S99" t="s">
        <v>126</v>
      </c>
      <c r="T99" t="s">
        <v>93</v>
      </c>
      <c r="U99">
        <v>2.5</v>
      </c>
      <c r="V99" t="s">
        <v>604</v>
      </c>
      <c r="W99" t="s">
        <v>142</v>
      </c>
      <c r="X99" t="s">
        <v>128</v>
      </c>
      <c r="Y99" s="23" t="s">
        <v>136</v>
      </c>
      <c r="AA99">
        <v>1648</v>
      </c>
      <c r="AB99" t="s">
        <v>605</v>
      </c>
      <c r="AC99" t="s">
        <v>596</v>
      </c>
      <c r="AD99" s="28">
        <v>90</v>
      </c>
      <c r="AE99" s="2" t="s">
        <v>70</v>
      </c>
      <c r="AF99" t="str">
        <f>_xlfn.CONCAT(FINI_grouping_for_wheel[[#This Row],[SEFI/Plant]],"/",IF(FINI_grouping_for_wheel[[#This Row],[RESET recipe combination]]&lt;&gt;"",FINI_grouping_for_wheel[[#This Row],[RESET recipe combination]],FINI_grouping_for_wheel[[#This Row],[Recipe Combination]]),"/",FINI_grouping_for_wheel[[#This Row],[Subgroup]])</f>
        <v>4211985/THDP/x/90</v>
      </c>
      <c r="AG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9">
        <f>_xlfn.LET(_xlpm.pct, FINI_grouping_for_wheel[[#This Row],[% forecast within subgroup]], _xlpm.lote, FINI_grouping_for_wheel[[#This Row],[Lot size considered]], _xlpm.pct*_xlpm.lote)</f>
        <v>8521.28708513</v>
      </c>
      <c r="AI99" cm="1">
        <f t="array" aca="1" ref="AI99" ca="1">IFERROR(INDIRECT("FINI_grouping_for_wheel[@["&amp;FINI_grouping_for_wheel[[#This Row],[Selected PV]]&amp;"]]"),"")</f>
        <v>1459</v>
      </c>
      <c r="AJ9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46.7</v>
      </c>
      <c r="AL99" s="4"/>
      <c r="AM9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1459</v>
      </c>
      <c r="AN9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2871</v>
      </c>
      <c r="AO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9" t="str">
        <f>_xlfn.CONCAT(FINI_grouping_for_wheel[[#This Row],[Recipe Combination]],FINI_grouping_for_wheel[[#This Row],[Subgroup]])</f>
        <v>E90</v>
      </c>
    </row>
    <row r="100" spans="1:55" hidden="1">
      <c r="A100" t="s">
        <v>10</v>
      </c>
      <c r="B100">
        <v>4211985</v>
      </c>
      <c r="C100" t="s">
        <v>591</v>
      </c>
      <c r="D100">
        <v>8521.28708513</v>
      </c>
      <c r="E100">
        <v>190</v>
      </c>
      <c r="F100">
        <v>3.8</v>
      </c>
      <c r="G100" t="s">
        <v>606</v>
      </c>
      <c r="H100" t="s">
        <v>607</v>
      </c>
      <c r="I100">
        <v>432</v>
      </c>
      <c r="J100" t="s">
        <v>90</v>
      </c>
      <c r="K100" t="s">
        <v>608</v>
      </c>
      <c r="L100" t="s">
        <v>609</v>
      </c>
      <c r="M100">
        <v>213.1029</v>
      </c>
      <c r="N100">
        <v>0.8524116</v>
      </c>
      <c r="O100">
        <v>13206.460275</v>
      </c>
      <c r="P100">
        <v>1612080.81792</v>
      </c>
      <c r="Q100">
        <v>1.6136261766024205E-2</v>
      </c>
      <c r="R100">
        <v>137.501718989</v>
      </c>
      <c r="S100" t="s">
        <v>307</v>
      </c>
      <c r="T100" t="s">
        <v>93</v>
      </c>
      <c r="U100">
        <v>0.75</v>
      </c>
      <c r="V100" t="s">
        <v>610</v>
      </c>
      <c r="W100" t="s">
        <v>142</v>
      </c>
      <c r="X100" t="s">
        <v>150</v>
      </c>
      <c r="Y100" s="23" t="s">
        <v>151</v>
      </c>
      <c r="AA100">
        <v>9997</v>
      </c>
      <c r="AB100" t="s">
        <v>611</v>
      </c>
      <c r="AC100" t="s">
        <v>596</v>
      </c>
      <c r="AD100" s="2">
        <v>4</v>
      </c>
      <c r="AE100" s="2" t="s">
        <v>70</v>
      </c>
      <c r="AF100" t="str">
        <f>_xlfn.CONCAT(FINI_grouping_for_wheel[[#This Row],[SEFI/Plant]],"/",IF(FINI_grouping_for_wheel[[#This Row],[RESET recipe combination]]&lt;&gt;"",FINI_grouping_for_wheel[[#This Row],[RESET recipe combination]],FINI_grouping_for_wheel[[#This Row],[Recipe Combination]]),"/",FINI_grouping_for_wheel[[#This Row],[Subgroup]])</f>
        <v>4211985/THDP/x/4</v>
      </c>
      <c r="AG1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0.010892586989409984</v>
      </c>
      <c r="AH100">
        <f>_xlfn.LET(_xlpm.pct, FINI_grouping_for_wheel[[#This Row],[% forecast within subgroup]], _xlpm.lote, FINI_grouping_for_wheel[[#This Row],[Lot size considered]], _xlpm.pct*_xlpm.lote)</f>
        <v>92.81886083651436</v>
      </c>
      <c r="AI100" cm="1">
        <f t="array" aca="1" ref="AI100" ca="1">IFERROR(INDIRECT("FINI_grouping_for_wheel[@["&amp;FINI_grouping_for_wheel[[#This Row],[Selected PV]]&amp;"]]"),"")</f>
        <v>96</v>
      </c>
      <c r="AJ10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100" s="4"/>
      <c r="AM10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10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190</v>
      </c>
      <c r="AO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0" t="str">
        <f>_xlfn.CONCAT(FINI_grouping_for_wheel[[#This Row],[Recipe Combination]],FINI_grouping_for_wheel[[#This Row],[Subgroup]])</f>
        <v>H4</v>
      </c>
    </row>
    <row r="101" spans="1:55" hidden="1">
      <c r="A101" t="s">
        <v>10</v>
      </c>
      <c r="B101">
        <v>4211985</v>
      </c>
      <c r="C101" t="s">
        <v>591</v>
      </c>
      <c r="D101">
        <v>8521.28708513</v>
      </c>
      <c r="E101">
        <v>190</v>
      </c>
      <c r="F101">
        <v>3.8</v>
      </c>
      <c r="G101" t="s">
        <v>612</v>
      </c>
      <c r="H101" t="s">
        <v>613</v>
      </c>
      <c r="I101">
        <v>420</v>
      </c>
      <c r="J101" t="s">
        <v>90</v>
      </c>
      <c r="K101" t="s">
        <v>264</v>
      </c>
      <c r="L101" t="s">
        <v>265</v>
      </c>
      <c r="M101">
        <v>12993.357375</v>
      </c>
      <c r="N101">
        <v>51.9734295</v>
      </c>
      <c r="O101">
        <v>13206.460275</v>
      </c>
      <c r="P101">
        <v>1612080.81792</v>
      </c>
      <c r="Q101">
        <v>0.98386373823397577</v>
      </c>
      <c r="R101">
        <v>8383.78536614</v>
      </c>
      <c r="S101" t="s">
        <v>307</v>
      </c>
      <c r="T101" t="s">
        <v>93</v>
      </c>
      <c r="U101">
        <v>2.5</v>
      </c>
      <c r="V101" t="s">
        <v>267</v>
      </c>
      <c r="W101" t="s">
        <v>142</v>
      </c>
      <c r="X101" t="s">
        <v>150</v>
      </c>
      <c r="Y101" s="23" t="s">
        <v>151</v>
      </c>
      <c r="AA101">
        <v>164</v>
      </c>
      <c r="AB101" t="s">
        <v>614</v>
      </c>
      <c r="AC101" t="s">
        <v>596</v>
      </c>
      <c r="AD101" s="2">
        <v>4</v>
      </c>
      <c r="AE101" s="2" t="s">
        <v>70</v>
      </c>
      <c r="AF101" t="str">
        <f>_xlfn.CONCAT(FINI_grouping_for_wheel[[#This Row],[SEFI/Plant]],"/",IF(FINI_grouping_for_wheel[[#This Row],[RESET recipe combination]]&lt;&gt;"",FINI_grouping_for_wheel[[#This Row],[RESET recipe combination]],FINI_grouping_for_wheel[[#This Row],[Recipe Combination]]),"/",FINI_grouping_for_wheel[[#This Row],[Subgroup]])</f>
        <v>4211985/THDP/x/4</v>
      </c>
      <c r="AG1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0.6641452344931921</v>
      </c>
      <c r="AH101">
        <f>_xlfn.LET(_xlpm.pct, FINI_grouping_for_wheel[[#This Row],[% forecast within subgroup]], _xlpm.lote, FINI_grouping_for_wheel[[#This Row],[Lot size considered]], _xlpm.pct*_xlpm.lote)</f>
        <v>5659.372209337473</v>
      </c>
      <c r="AI101" cm="1">
        <f t="array" aca="1" ref="AI101" ca="1">IFERROR(INDIRECT("FINI_grouping_for_wheel[@["&amp;FINI_grouping_for_wheel[[#This Row],[Selected PV]]&amp;"]]"),"")</f>
        <v>96</v>
      </c>
      <c r="AJ10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v>
      </c>
      <c r="AL101" s="4"/>
      <c r="AM10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10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190</v>
      </c>
      <c r="AO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1" t="str">
        <f>_xlfn.CONCAT(FINI_grouping_for_wheel[[#This Row],[Recipe Combination]],FINI_grouping_for_wheel[[#This Row],[Subgroup]])</f>
        <v>H4</v>
      </c>
    </row>
    <row r="102" spans="1:55" hidden="1">
      <c r="A102" t="s">
        <v>10</v>
      </c>
      <c r="B102">
        <v>4211985</v>
      </c>
      <c r="C102" t="s">
        <v>591</v>
      </c>
      <c r="D102">
        <v>8521.28708513</v>
      </c>
      <c r="E102">
        <v>190</v>
      </c>
      <c r="F102">
        <v>3.8</v>
      </c>
      <c r="G102" t="s">
        <v>615</v>
      </c>
      <c r="H102" t="s">
        <v>616</v>
      </c>
      <c r="I102">
        <v>440</v>
      </c>
      <c r="J102" t="s">
        <v>90</v>
      </c>
      <c r="K102" t="s">
        <v>617</v>
      </c>
      <c r="L102" t="s">
        <v>618</v>
      </c>
      <c r="M102">
        <v>18480.75705</v>
      </c>
      <c r="N102">
        <v>73.9230282</v>
      </c>
      <c r="O102">
        <v>23654.4219</v>
      </c>
      <c r="P102">
        <v>1612080.81792</v>
      </c>
      <c r="Q102">
        <v>0.78128128128128127</v>
      </c>
      <c r="R102">
        <v>6657.52209203</v>
      </c>
      <c r="S102" t="s">
        <v>619</v>
      </c>
      <c r="T102" t="s">
        <v>93</v>
      </c>
      <c r="U102">
        <v>10</v>
      </c>
      <c r="V102" t="s">
        <v>94</v>
      </c>
      <c r="W102" t="s">
        <v>142</v>
      </c>
      <c r="X102" t="s">
        <v>96</v>
      </c>
      <c r="Y102" s="23" t="s">
        <v>97</v>
      </c>
      <c r="AA102">
        <v>115</v>
      </c>
      <c r="AB102" t="s">
        <v>620</v>
      </c>
      <c r="AC102" t="s">
        <v>596</v>
      </c>
      <c r="AD102" s="2">
        <v>7</v>
      </c>
      <c r="AE102" s="2" t="s">
        <v>70</v>
      </c>
      <c r="AF102" t="str">
        <f>_xlfn.CONCAT(FINI_grouping_for_wheel[[#This Row],[SEFI/Plant]],"/",IF(FINI_grouping_for_wheel[[#This Row],[RESET recipe combination]]&lt;&gt;"",FINI_grouping_for_wheel[[#This Row],[RESET recipe combination]],FINI_grouping_for_wheel[[#This Row],[Recipe Combination]]),"/",FINI_grouping_for_wheel[[#This Row],[Subgroup]])</f>
        <v>4211985/THDP/x/7</v>
      </c>
      <c r="AG1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0.29475075528700906</v>
      </c>
      <c r="AH102">
        <f>_xlfn.LET(_xlpm.pct, FINI_grouping_for_wheel[[#This Row],[% forecast within subgroup]], _xlpm.lote, FINI_grouping_for_wheel[[#This Row],[Lot size considered]], _xlpm.pct*_xlpm.lote)</f>
        <v>2511.6558043595032</v>
      </c>
      <c r="AI102" cm="1">
        <f t="array" aca="1" ref="AI102" ca="1">IFERROR(INDIRECT("FINI_grouping_for_wheel[@["&amp;FINI_grouping_for_wheel[[#This Row],[Selected PV]]&amp;"]]"),"")</f>
        <v>30</v>
      </c>
      <c r="AJ10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5.9</v>
      </c>
      <c r="AL102" s="4"/>
      <c r="AM10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30</v>
      </c>
      <c r="AN10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59</v>
      </c>
      <c r="AO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2" t="str">
        <f>_xlfn.CONCAT(FINI_grouping_for_wheel[[#This Row],[Recipe Combination]],FINI_grouping_for_wheel[[#This Row],[Subgroup]])</f>
        <v>J7</v>
      </c>
    </row>
    <row r="103" spans="1:55" hidden="1">
      <c r="A103" t="s">
        <v>10</v>
      </c>
      <c r="B103">
        <v>4211985</v>
      </c>
      <c r="C103" t="s">
        <v>591</v>
      </c>
      <c r="D103">
        <v>8521.28708513</v>
      </c>
      <c r="E103">
        <v>190</v>
      </c>
      <c r="F103">
        <v>3.8</v>
      </c>
      <c r="G103" t="s">
        <v>621</v>
      </c>
      <c r="H103" t="s">
        <v>622</v>
      </c>
      <c r="I103">
        <v>440</v>
      </c>
      <c r="J103" t="s">
        <v>90</v>
      </c>
      <c r="K103" t="s">
        <v>617</v>
      </c>
      <c r="L103" t="s">
        <v>618</v>
      </c>
      <c r="M103">
        <v>5173.66485</v>
      </c>
      <c r="N103">
        <v>20.6946594</v>
      </c>
      <c r="O103">
        <v>23654.4219</v>
      </c>
      <c r="P103">
        <v>1612080.81792</v>
      </c>
      <c r="Q103">
        <v>0.21871871871871873</v>
      </c>
      <c r="R103">
        <v>1863.76499309</v>
      </c>
      <c r="S103" t="s">
        <v>619</v>
      </c>
      <c r="T103" t="s">
        <v>93</v>
      </c>
      <c r="U103">
        <v>10</v>
      </c>
      <c r="V103" t="s">
        <v>94</v>
      </c>
      <c r="W103" t="s">
        <v>142</v>
      </c>
      <c r="X103" t="s">
        <v>96</v>
      </c>
      <c r="Y103" s="23" t="s">
        <v>97</v>
      </c>
      <c r="AA103">
        <v>412</v>
      </c>
      <c r="AB103" t="s">
        <v>623</v>
      </c>
      <c r="AC103" t="s">
        <v>596</v>
      </c>
      <c r="AD103" s="2">
        <v>7</v>
      </c>
      <c r="AE103" s="2" t="s">
        <v>70</v>
      </c>
      <c r="AF103" t="str">
        <f>_xlfn.CONCAT(FINI_grouping_for_wheel[[#This Row],[SEFI/Plant]],"/",IF(FINI_grouping_for_wheel[[#This Row],[RESET recipe combination]]&lt;&gt;"",FINI_grouping_for_wheel[[#This Row],[RESET recipe combination]],FINI_grouping_for_wheel[[#This Row],[Recipe Combination]]),"/",FINI_grouping_for_wheel[[#This Row],[Subgroup]])</f>
        <v>4211985/THDP/x/7</v>
      </c>
      <c r="AG1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0.08251510574018127</v>
      </c>
      <c r="AH103">
        <f>_xlfn.LET(_xlpm.pct, FINI_grouping_for_wheel[[#This Row],[% forecast within subgroup]], _xlpm.lote, FINI_grouping_for_wheel[[#This Row],[Lot size considered]], _xlpm.pct*_xlpm.lote)</f>
        <v>703.1349048719429</v>
      </c>
      <c r="AI103" cm="1">
        <f t="array" aca="1" ref="AI103" ca="1">IFERROR(INDIRECT("FINI_grouping_for_wheel[@["&amp;FINI_grouping_for_wheel[[#This Row],[Selected PV]]&amp;"]]"),"")</f>
        <v>30</v>
      </c>
      <c r="AJ10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v>
      </c>
      <c r="AL103" s="4"/>
      <c r="AM10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30</v>
      </c>
      <c r="AN10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59</v>
      </c>
      <c r="AO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3" t="str">
        <f>_xlfn.CONCAT(FINI_grouping_for_wheel[[#This Row],[Recipe Combination]],FINI_grouping_for_wheel[[#This Row],[Subgroup]])</f>
        <v>J7</v>
      </c>
    </row>
    <row r="104" spans="1:55" hidden="1">
      <c r="A104" t="s">
        <v>10</v>
      </c>
      <c r="B104">
        <v>4211985</v>
      </c>
      <c r="C104" t="s">
        <v>591</v>
      </c>
      <c r="D104">
        <v>8521.28708513</v>
      </c>
      <c r="E104">
        <v>190</v>
      </c>
      <c r="F104">
        <v>3.8</v>
      </c>
      <c r="G104" t="s">
        <v>624</v>
      </c>
      <c r="H104" t="s">
        <v>625</v>
      </c>
      <c r="I104">
        <v>462</v>
      </c>
      <c r="J104" t="s">
        <v>90</v>
      </c>
      <c r="K104" t="s">
        <v>312</v>
      </c>
      <c r="L104" t="s">
        <v>313</v>
      </c>
      <c r="M104">
        <v>2770.3377</v>
      </c>
      <c r="N104">
        <v>11.0813508</v>
      </c>
      <c r="O104">
        <v>2770.3377</v>
      </c>
      <c r="P104">
        <v>1612080.81792</v>
      </c>
      <c r="Q104">
        <v>1</v>
      </c>
      <c r="R104">
        <v>8521.28708513</v>
      </c>
      <c r="S104" t="s">
        <v>314</v>
      </c>
      <c r="T104" t="s">
        <v>93</v>
      </c>
      <c r="U104">
        <v>1</v>
      </c>
      <c r="V104" t="s">
        <v>315</v>
      </c>
      <c r="W104" t="s">
        <v>142</v>
      </c>
      <c r="X104" t="s">
        <v>150</v>
      </c>
      <c r="Y104" s="23" t="s">
        <v>151</v>
      </c>
      <c r="AA104">
        <v>769</v>
      </c>
      <c r="AB104" t="s">
        <v>626</v>
      </c>
      <c r="AC104" t="s">
        <v>596</v>
      </c>
      <c r="AD104" s="2">
        <v>3</v>
      </c>
      <c r="AE104" s="2" t="s">
        <v>70</v>
      </c>
      <c r="AF104" t="str">
        <f>_xlfn.CONCAT(FINI_grouping_for_wheel[[#This Row],[SEFI/Plant]],"/",IF(FINI_grouping_for_wheel[[#This Row],[RESET recipe combination]]&lt;&gt;"",FINI_grouping_for_wheel[[#This Row],[RESET recipe combination]],FINI_grouping_for_wheel[[#This Row],[Recipe Combination]]),"/",FINI_grouping_for_wheel[[#This Row],[Subgroup]])</f>
        <v>4211985/THDP/x/3</v>
      </c>
      <c r="AG1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0.13206908228919742</v>
      </c>
      <c r="AH104">
        <f>_xlfn.LET(_xlpm.pct, FINI_grouping_for_wheel[[#This Row],[% forecast within subgroup]], _xlpm.lote, FINI_grouping_for_wheel[[#This Row],[Lot size considered]], _xlpm.pct*_xlpm.lote)</f>
        <v>1125.398565255909</v>
      </c>
      <c r="AI104" cm="1">
        <f t="array" aca="1" ref="AI104" ca="1">IFERROR(INDIRECT("FINI_grouping_for_wheel[@["&amp;FINI_grouping_for_wheel[[#This Row],[Selected PV]]&amp;"]]"),"")</f>
        <v>90</v>
      </c>
      <c r="AJ10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2.5</v>
      </c>
      <c r="AL104" s="4"/>
      <c r="AM10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90</v>
      </c>
      <c r="AN10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177</v>
      </c>
      <c r="AO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4" t="str">
        <f>_xlfn.CONCAT(FINI_grouping_for_wheel[[#This Row],[Recipe Combination]],FINI_grouping_for_wheel[[#This Row],[Subgroup]])</f>
        <v>K3</v>
      </c>
    </row>
    <row r="105" spans="1:55" hidden="1">
      <c r="A105" t="s">
        <v>10</v>
      </c>
      <c r="B105">
        <v>4211985</v>
      </c>
      <c r="C105" t="s">
        <v>591</v>
      </c>
      <c r="D105">
        <v>8521.28708513</v>
      </c>
      <c r="E105">
        <v>190</v>
      </c>
      <c r="F105">
        <v>3.8</v>
      </c>
      <c r="G105" t="s">
        <v>627</v>
      </c>
      <c r="H105" t="s">
        <v>628</v>
      </c>
      <c r="I105">
        <v>330</v>
      </c>
      <c r="J105" t="s">
        <v>90</v>
      </c>
      <c r="K105" t="s">
        <v>385</v>
      </c>
      <c r="L105" t="s">
        <v>386</v>
      </c>
      <c r="M105">
        <v>39045.1869</v>
      </c>
      <c r="N105">
        <v>156.1807476</v>
      </c>
      <c r="O105">
        <v>39045.1869</v>
      </c>
      <c r="P105">
        <v>1612080.81792</v>
      </c>
      <c r="Q105">
        <v>1</v>
      </c>
      <c r="R105">
        <v>8521.28708513</v>
      </c>
      <c r="S105" t="s">
        <v>157</v>
      </c>
      <c r="T105" t="s">
        <v>93</v>
      </c>
      <c r="U105">
        <v>10</v>
      </c>
      <c r="V105" t="s">
        <v>94</v>
      </c>
      <c r="W105" t="s">
        <v>95</v>
      </c>
      <c r="X105" t="s">
        <v>96</v>
      </c>
      <c r="Y105" s="23" t="s">
        <v>97</v>
      </c>
      <c r="AA105">
        <v>55</v>
      </c>
      <c r="AB105" t="s">
        <v>629</v>
      </c>
      <c r="AC105" t="s">
        <v>596</v>
      </c>
      <c r="AD105" s="2">
        <v>7</v>
      </c>
      <c r="AE105" s="2" t="s">
        <v>70</v>
      </c>
      <c r="AF105" t="str">
        <f>_xlfn.CONCAT(FINI_grouping_for_wheel[[#This Row],[SEFI/Plant]],"/",IF(FINI_grouping_for_wheel[[#This Row],[RESET recipe combination]]&lt;&gt;"",FINI_grouping_for_wheel[[#This Row],[RESET recipe combination]],FINI_grouping_for_wheel[[#This Row],[Recipe Combination]]),"/",FINI_grouping_for_wheel[[#This Row],[Subgroup]])</f>
        <v>4211985/THDP/x/7</v>
      </c>
      <c r="AG1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0.6227341389728097</v>
      </c>
      <c r="AH105">
        <f>_xlfn.LET(_xlpm.pct, FINI_grouping_for_wheel[[#This Row],[% forecast within subgroup]], _xlpm.lote, FINI_grouping_for_wheel[[#This Row],[Lot size considered]], _xlpm.pct*_xlpm.lote)</f>
        <v>5306.496375898554</v>
      </c>
      <c r="AI105" cm="1">
        <f t="array" aca="1" ref="AI105" ca="1">IFERROR(INDIRECT("FINI_grouping_for_wheel[@["&amp;FINI_grouping_for_wheel[[#This Row],[Selected PV]]&amp;"]]"),"")</f>
        <v>30</v>
      </c>
      <c r="AJ10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16.8</v>
      </c>
      <c r="AL105" s="4"/>
      <c r="AM10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30</v>
      </c>
      <c r="AN10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59</v>
      </c>
      <c r="AO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5" t="str">
        <f>_xlfn.CONCAT(FINI_grouping_for_wheel[[#This Row],[Recipe Combination]],FINI_grouping_for_wheel[[#This Row],[Subgroup]])</f>
        <v>M7</v>
      </c>
    </row>
    <row r="106" spans="1:55" hidden="1">
      <c r="A106" t="s">
        <v>10</v>
      </c>
      <c r="B106">
        <v>4211985</v>
      </c>
      <c r="C106" t="s">
        <v>591</v>
      </c>
      <c r="D106">
        <v>8521.28708513</v>
      </c>
      <c r="E106">
        <v>190</v>
      </c>
      <c r="F106">
        <v>3.8</v>
      </c>
      <c r="G106" t="s">
        <v>630</v>
      </c>
      <c r="H106" t="s">
        <v>631</v>
      </c>
      <c r="I106">
        <v>360</v>
      </c>
      <c r="J106" t="s">
        <v>90</v>
      </c>
      <c r="K106" t="s">
        <v>632</v>
      </c>
      <c r="L106" t="s">
        <v>633</v>
      </c>
      <c r="M106">
        <v>1142.468325</v>
      </c>
      <c r="N106">
        <v>4.5698733</v>
      </c>
      <c r="O106">
        <v>1142.468325</v>
      </c>
      <c r="P106">
        <v>1612080.81792</v>
      </c>
      <c r="Q106">
        <v>1</v>
      </c>
      <c r="R106">
        <v>8521.28708513</v>
      </c>
      <c r="S106" t="s">
        <v>165</v>
      </c>
      <c r="T106" t="s">
        <v>93</v>
      </c>
      <c r="U106">
        <v>2.5</v>
      </c>
      <c r="V106" t="s">
        <v>166</v>
      </c>
      <c r="W106" t="s">
        <v>142</v>
      </c>
      <c r="X106" t="s">
        <v>96</v>
      </c>
      <c r="Y106" s="23" t="s">
        <v>167</v>
      </c>
      <c r="AA106">
        <v>1865</v>
      </c>
      <c r="AB106" t="s">
        <v>634</v>
      </c>
      <c r="AC106" t="s">
        <v>596</v>
      </c>
      <c r="AD106" s="28">
        <v>9</v>
      </c>
      <c r="AE106" s="2" t="s">
        <v>70</v>
      </c>
      <c r="AF106" t="str">
        <f>_xlfn.CONCAT(FINI_grouping_for_wheel[[#This Row],[SEFI/Plant]],"/",IF(FINI_grouping_for_wheel[[#This Row],[RESET recipe combination]]&lt;&gt;"",FINI_grouping_for_wheel[[#This Row],[RESET recipe combination]],FINI_grouping_for_wheel[[#This Row],[Recipe Combination]]),"/",FINI_grouping_for_wheel[[#This Row],[Subgroup]])</f>
        <v>4211985/THDP/x/9</v>
      </c>
      <c r="AG1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0.4849246231155778</v>
      </c>
      <c r="AH106">
        <f>_xlfn.LET(_xlpm.pct, FINI_grouping_for_wheel[[#This Row],[% forecast within subgroup]], _xlpm.lote, FINI_grouping_for_wheel[[#This Row],[Lot size considered]], _xlpm.pct*_xlpm.lote)</f>
        <v>4132.181928216306</v>
      </c>
      <c r="AI106" cm="1">
        <f t="array" aca="1" ref="AI106" ca="1">IFERROR(INDIRECT("FINI_grouping_for_wheel[@["&amp;FINI_grouping_for_wheel[[#This Row],[Selected PV]]&amp;"]]"),"")</f>
        <v>801</v>
      </c>
      <c r="AJ10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v>
      </c>
      <c r="AL106" s="4"/>
      <c r="AM10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801</v>
      </c>
      <c r="AN10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1576</v>
      </c>
      <c r="AO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6" t="str">
        <f>_xlfn.CONCAT(FINI_grouping_for_wheel[[#This Row],[Recipe Combination]],FINI_grouping_for_wheel[[#This Row],[Subgroup]])</f>
        <v>N9</v>
      </c>
    </row>
    <row r="107" spans="1:55" hidden="1">
      <c r="A107" t="s">
        <v>10</v>
      </c>
      <c r="B107">
        <v>4211985</v>
      </c>
      <c r="C107" t="s">
        <v>591</v>
      </c>
      <c r="D107">
        <v>8521.28708513</v>
      </c>
      <c r="E107">
        <v>190</v>
      </c>
      <c r="F107">
        <v>3.8</v>
      </c>
      <c r="G107" t="s">
        <v>635</v>
      </c>
      <c r="H107" t="s">
        <v>636</v>
      </c>
      <c r="I107">
        <v>300</v>
      </c>
      <c r="J107" t="s">
        <v>90</v>
      </c>
      <c r="K107" t="s">
        <v>254</v>
      </c>
      <c r="L107" t="s">
        <v>255</v>
      </c>
      <c r="M107">
        <v>6251.0184</v>
      </c>
      <c r="N107">
        <v>25.0040736</v>
      </c>
      <c r="O107">
        <v>6251.0184</v>
      </c>
      <c r="P107">
        <v>1612080.81792</v>
      </c>
      <c r="Q107">
        <v>1</v>
      </c>
      <c r="R107">
        <v>8521.28708513</v>
      </c>
      <c r="S107" t="s">
        <v>173</v>
      </c>
      <c r="T107" t="s">
        <v>93</v>
      </c>
      <c r="U107">
        <v>5</v>
      </c>
      <c r="V107" t="s">
        <v>119</v>
      </c>
      <c r="W107" t="s">
        <v>95</v>
      </c>
      <c r="X107" t="s">
        <v>96</v>
      </c>
      <c r="Y107" s="23" t="s">
        <v>120</v>
      </c>
      <c r="AA107">
        <v>341</v>
      </c>
      <c r="AB107" t="s">
        <v>637</v>
      </c>
      <c r="AC107" t="s">
        <v>596</v>
      </c>
      <c r="AD107" s="2">
        <v>8</v>
      </c>
      <c r="AE107" s="2" t="s">
        <v>70</v>
      </c>
      <c r="AF107" t="str">
        <f>_xlfn.CONCAT(FINI_grouping_for_wheel[[#This Row],[SEFI/Plant]],"/",IF(FINI_grouping_for_wheel[[#This Row],[RESET recipe combination]]&lt;&gt;"",FINI_grouping_for_wheel[[#This Row],[RESET recipe combination]],FINI_grouping_for_wheel[[#This Row],[Recipe Combination]]),"/",FINI_grouping_for_wheel[[#This Row],[Subgroup]])</f>
        <v>4211985/THDP/x/8</v>
      </c>
      <c r="AG1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0.20472257764336396</v>
      </c>
      <c r="AH107">
        <f>_xlfn.LET(_xlpm.pct, FINI_grouping_for_wheel[[#This Row],[% forecast within subgroup]], _xlpm.lote, FINI_grouping_for_wheel[[#This Row],[Lot size considered]], _xlpm.pct*_xlpm.lote)</f>
        <v>1744.499856906921</v>
      </c>
      <c r="AI107" cm="1">
        <f t="array" aca="1" ref="AI107" ca="1">IFERROR(INDIRECT("FINI_grouping_for_wheel[@["&amp;FINI_grouping_for_wheel[[#This Row],[Selected PV]]&amp;"]]"),"")</f>
        <v>62</v>
      </c>
      <c r="AJ10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6.1</v>
      </c>
      <c r="AL107" s="4"/>
      <c r="AM10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62</v>
      </c>
      <c r="AN10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122</v>
      </c>
      <c r="AO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7" t="str">
        <f>_xlfn.CONCAT(FINI_grouping_for_wheel[[#This Row],[Recipe Combination]],FINI_grouping_for_wheel[[#This Row],[Subgroup]])</f>
        <v>P8</v>
      </c>
    </row>
    <row r="108" spans="1:55" hidden="1">
      <c r="A108" t="s">
        <v>10</v>
      </c>
      <c r="B108">
        <v>4211985</v>
      </c>
      <c r="C108" t="s">
        <v>591</v>
      </c>
      <c r="D108">
        <v>8521.28708513</v>
      </c>
      <c r="E108">
        <v>190</v>
      </c>
      <c r="F108">
        <v>3.8</v>
      </c>
      <c r="G108" t="s">
        <v>638</v>
      </c>
      <c r="H108" t="s">
        <v>639</v>
      </c>
      <c r="I108">
        <v>288</v>
      </c>
      <c r="J108" t="s">
        <v>90</v>
      </c>
      <c r="K108" t="s">
        <v>344</v>
      </c>
      <c r="L108" t="s">
        <v>345</v>
      </c>
      <c r="M108">
        <v>24283.075455</v>
      </c>
      <c r="N108">
        <v>97.13230182</v>
      </c>
      <c r="O108">
        <v>25378.18758</v>
      </c>
      <c r="P108">
        <v>1612080.81792</v>
      </c>
      <c r="Q108">
        <v>0.95684829259190152</v>
      </c>
      <c r="R108">
        <v>8153.57899809</v>
      </c>
      <c r="S108" t="s">
        <v>346</v>
      </c>
      <c r="T108" t="s">
        <v>93</v>
      </c>
      <c r="U108">
        <v>3</v>
      </c>
      <c r="V108" t="s">
        <v>347</v>
      </c>
      <c r="W108" t="s">
        <v>142</v>
      </c>
      <c r="X108" t="s">
        <v>96</v>
      </c>
      <c r="Y108" s="23" t="s">
        <v>107</v>
      </c>
      <c r="AA108">
        <v>88</v>
      </c>
      <c r="AB108" t="s">
        <v>640</v>
      </c>
      <c r="AC108" t="s">
        <v>596</v>
      </c>
      <c r="AD108" s="2">
        <v>8</v>
      </c>
      <c r="AE108" s="2" t="s">
        <v>70</v>
      </c>
      <c r="AF108" t="str">
        <f>_xlfn.CONCAT(FINI_grouping_for_wheel[[#This Row],[SEFI/Plant]],"/",IF(FINI_grouping_for_wheel[[#This Row],[RESET recipe combination]]&lt;&gt;"",FINI_grouping_for_wheel[[#This Row],[RESET recipe combination]],FINI_grouping_for_wheel[[#This Row],[Recipe Combination]]),"/",FINI_grouping_for_wheel[[#This Row],[Subgroup]])</f>
        <v>4211985/THDP/x/8</v>
      </c>
      <c r="AG1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0.795277422356636</v>
      </c>
      <c r="AH108">
        <f>_xlfn.LET(_xlpm.pct, FINI_grouping_for_wheel[[#This Row],[% forecast within subgroup]], _xlpm.lote, FINI_grouping_for_wheel[[#This Row],[Lot size considered]], _xlpm.pct*_xlpm.lote)</f>
        <v>6776.787228223078</v>
      </c>
      <c r="AI108" cm="1">
        <f t="array" aca="1" ref="AI108" ca="1">IFERROR(INDIRECT("FINI_grouping_for_wheel[@["&amp;FINI_grouping_for_wheel[[#This Row],[Selected PV]]&amp;"]]"),"")</f>
        <v>62</v>
      </c>
      <c r="AJ10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24.5</v>
      </c>
      <c r="AL108" s="4"/>
      <c r="AM10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62</v>
      </c>
      <c r="AN10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122</v>
      </c>
      <c r="AO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8" t="str">
        <f>_xlfn.CONCAT(FINI_grouping_for_wheel[[#This Row],[Recipe Combination]],FINI_grouping_for_wheel[[#This Row],[Subgroup]])</f>
        <v>Q8</v>
      </c>
    </row>
    <row r="109" spans="1:55" hidden="1">
      <c r="A109" t="s">
        <v>10</v>
      </c>
      <c r="B109">
        <v>4211985</v>
      </c>
      <c r="C109" t="s">
        <v>591</v>
      </c>
      <c r="D109">
        <v>8521.28708513</v>
      </c>
      <c r="E109">
        <v>190</v>
      </c>
      <c r="F109">
        <v>3.8</v>
      </c>
      <c r="G109" t="s">
        <v>641</v>
      </c>
      <c r="H109" t="s">
        <v>642</v>
      </c>
      <c r="I109">
        <v>360</v>
      </c>
      <c r="J109" t="s">
        <v>90</v>
      </c>
      <c r="K109" t="s">
        <v>632</v>
      </c>
      <c r="L109" t="s">
        <v>633</v>
      </c>
      <c r="M109">
        <v>1095.112125</v>
      </c>
      <c r="N109">
        <v>4.3804485</v>
      </c>
      <c r="O109">
        <v>25378.18758</v>
      </c>
      <c r="P109">
        <v>1612080.81792</v>
      </c>
      <c r="Q109">
        <v>4.3151707408098525E-2</v>
      </c>
      <c r="R109">
        <v>367.708087038</v>
      </c>
      <c r="S109" t="s">
        <v>346</v>
      </c>
      <c r="T109" t="s">
        <v>93</v>
      </c>
      <c r="U109">
        <v>2.5</v>
      </c>
      <c r="V109" t="s">
        <v>166</v>
      </c>
      <c r="W109" t="s">
        <v>142</v>
      </c>
      <c r="X109" t="s">
        <v>96</v>
      </c>
      <c r="Y109" s="23" t="s">
        <v>167</v>
      </c>
      <c r="AA109">
        <v>1945</v>
      </c>
      <c r="AB109" t="s">
        <v>643</v>
      </c>
      <c r="AC109" t="s">
        <v>596</v>
      </c>
      <c r="AD109" s="28">
        <v>9</v>
      </c>
      <c r="AE109" s="2" t="s">
        <v>70</v>
      </c>
      <c r="AF109" t="str">
        <f>_xlfn.CONCAT(FINI_grouping_for_wheel[[#This Row],[SEFI/Plant]],"/",IF(FINI_grouping_for_wheel[[#This Row],[RESET recipe combination]]&lt;&gt;"",FINI_grouping_for_wheel[[#This Row],[RESET recipe combination]],FINI_grouping_for_wheel[[#This Row],[Recipe Combination]]),"/",FINI_grouping_for_wheel[[#This Row],[Subgroup]])</f>
        <v>4211985/THDP/x/9</v>
      </c>
      <c r="AG1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0.46482412060301503</v>
      </c>
      <c r="AH109">
        <f>_xlfn.LET(_xlpm.pct, FINI_grouping_for_wheel[[#This Row],[% forecast within subgroup]], _xlpm.lote, FINI_grouping_for_wheel[[#This Row],[Lot size considered]], _xlpm.pct*_xlpm.lote)</f>
        <v>3960.899775751381</v>
      </c>
      <c r="AI109" cm="1">
        <f t="array" aca="1" ref="AI109" ca="1">IFERROR(INDIRECT("FINI_grouping_for_wheel[@["&amp;FINI_grouping_for_wheel[[#This Row],[Selected PV]]&amp;"]]"),"")</f>
        <v>801</v>
      </c>
      <c r="AJ10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11.5</v>
      </c>
      <c r="AL109" s="4"/>
      <c r="AM10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801</v>
      </c>
      <c r="AN10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1576</v>
      </c>
      <c r="AO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9" t="str">
        <f>_xlfn.CONCAT(FINI_grouping_for_wheel[[#This Row],[Recipe Combination]],FINI_grouping_for_wheel[[#This Row],[Subgroup]])</f>
        <v>Q9</v>
      </c>
    </row>
    <row r="110" spans="1:55" hidden="1">
      <c r="A110" t="s">
        <v>10</v>
      </c>
      <c r="B110">
        <v>4211985</v>
      </c>
      <c r="C110" t="s">
        <v>591</v>
      </c>
      <c r="D110">
        <v>8521.28708513</v>
      </c>
      <c r="E110">
        <v>190</v>
      </c>
      <c r="F110">
        <v>3.8</v>
      </c>
      <c r="G110" t="s">
        <v>644</v>
      </c>
      <c r="H110" t="s">
        <v>645</v>
      </c>
      <c r="I110">
        <v>414</v>
      </c>
      <c r="J110" t="s">
        <v>90</v>
      </c>
      <c r="K110" t="s">
        <v>312</v>
      </c>
      <c r="L110" t="s">
        <v>313</v>
      </c>
      <c r="M110">
        <v>6357.56985</v>
      </c>
      <c r="N110">
        <v>25.4302794</v>
      </c>
      <c r="O110">
        <v>6930.57987</v>
      </c>
      <c r="P110">
        <v>1612080.81792</v>
      </c>
      <c r="Q110">
        <v>0.91732148957977455</v>
      </c>
      <c r="R110">
        <v>7816.75976207</v>
      </c>
      <c r="S110" t="s">
        <v>356</v>
      </c>
      <c r="T110" t="s">
        <v>93</v>
      </c>
      <c r="U110">
        <v>0.75</v>
      </c>
      <c r="V110" t="s">
        <v>315</v>
      </c>
      <c r="W110" t="s">
        <v>142</v>
      </c>
      <c r="X110" t="s">
        <v>150</v>
      </c>
      <c r="Y110" s="23" t="s">
        <v>151</v>
      </c>
      <c r="AA110">
        <v>335</v>
      </c>
      <c r="AB110" t="s">
        <v>646</v>
      </c>
      <c r="AC110" t="s">
        <v>596</v>
      </c>
      <c r="AD110" s="2">
        <v>4</v>
      </c>
      <c r="AE110" s="2" t="s">
        <v>70</v>
      </c>
      <c r="AF110" t="str">
        <f>_xlfn.CONCAT(FINI_grouping_for_wheel[[#This Row],[SEFI/Plant]],"/",IF(FINI_grouping_for_wheel[[#This Row],[RESET recipe combination]]&lt;&gt;"",FINI_grouping_for_wheel[[#This Row],[RESET recipe combination]],FINI_grouping_for_wheel[[#This Row],[Recipe Combination]]),"/",FINI_grouping_for_wheel[[#This Row],[Subgroup]])</f>
        <v>4211985/THDP/x/4</v>
      </c>
      <c r="AG1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0.32496217851739784</v>
      </c>
      <c r="AH110">
        <f>_xlfn.LET(_xlpm.pct, FINI_grouping_for_wheel[[#This Row],[% forecast within subgroup]], _xlpm.lote, FINI_grouping_for_wheel[[#This Row],[Lot size considered]], _xlpm.pct*_xlpm.lote)</f>
        <v>2769.0960149560115</v>
      </c>
      <c r="AI110" cm="1">
        <f t="array" aca="1" ref="AI110" ca="1">IFERROR(INDIRECT("FINI_grouping_for_wheel[@["&amp;FINI_grouping_for_wheel[[#This Row],[Selected PV]]&amp;"]]"),"")</f>
        <v>96</v>
      </c>
      <c r="AJ11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v>
      </c>
      <c r="AL110" s="4"/>
      <c r="AM11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11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190</v>
      </c>
      <c r="AO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1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10" t="str">
        <f>_xlfn.CONCAT(FINI_grouping_for_wheel[[#This Row],[Recipe Combination]],FINI_grouping_for_wheel[[#This Row],[Subgroup]])</f>
        <v>R4</v>
      </c>
    </row>
    <row r="111" spans="1:55" hidden="1">
      <c r="A111" t="s">
        <v>10</v>
      </c>
      <c r="B111">
        <v>4211985</v>
      </c>
      <c r="C111" t="s">
        <v>591</v>
      </c>
      <c r="D111">
        <v>8521.28708513</v>
      </c>
      <c r="E111">
        <v>190</v>
      </c>
      <c r="F111">
        <v>3.8</v>
      </c>
      <c r="G111" t="s">
        <v>647</v>
      </c>
      <c r="H111" t="s">
        <v>648</v>
      </c>
      <c r="I111">
        <v>462</v>
      </c>
      <c r="J111" t="s">
        <v>90</v>
      </c>
      <c r="K111" t="s">
        <v>312</v>
      </c>
      <c r="L111" t="s">
        <v>313</v>
      </c>
      <c r="M111">
        <v>260.4591</v>
      </c>
      <c r="N111">
        <v>1.0418364</v>
      </c>
      <c r="O111">
        <v>6930.57987</v>
      </c>
      <c r="P111">
        <v>1612080.81792</v>
      </c>
      <c r="Q111">
        <v>3.7581141100102494E-2</v>
      </c>
      <c r="R111">
        <v>320.239692301</v>
      </c>
      <c r="S111" t="s">
        <v>356</v>
      </c>
      <c r="T111" t="s">
        <v>93</v>
      </c>
      <c r="U111">
        <v>1</v>
      </c>
      <c r="V111" t="s">
        <v>315</v>
      </c>
      <c r="W111" t="s">
        <v>142</v>
      </c>
      <c r="X111" t="s">
        <v>150</v>
      </c>
      <c r="Y111" s="23" t="s">
        <v>151</v>
      </c>
      <c r="AA111">
        <v>8179</v>
      </c>
      <c r="AB111" t="s">
        <v>649</v>
      </c>
      <c r="AC111" t="s">
        <v>596</v>
      </c>
      <c r="AD111" s="2">
        <v>3</v>
      </c>
      <c r="AE111" s="2" t="s">
        <v>70</v>
      </c>
      <c r="AF111" t="str">
        <f>_xlfn.CONCAT(FINI_grouping_for_wheel[[#This Row],[SEFI/Plant]],"/",IF(FINI_grouping_for_wheel[[#This Row],[RESET recipe combination]]&lt;&gt;"",FINI_grouping_for_wheel[[#This Row],[RESET recipe combination]],FINI_grouping_for_wheel[[#This Row],[Recipe Combination]]),"/",FINI_grouping_for_wheel[[#This Row],[Subgroup]])</f>
        <v>4211985/THDP/x/3</v>
      </c>
      <c r="AG1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0.012416751326334798</v>
      </c>
      <c r="AH111">
        <f>_xlfn.LET(_xlpm.pct, FINI_grouping_for_wheel[[#This Row],[% forecast within subgroup]], _xlpm.lote, FINI_grouping_for_wheel[[#This Row],[Lot size considered]], _xlpm.pct*_xlpm.lote)</f>
        <v>105.80670271636751</v>
      </c>
      <c r="AI111" cm="1">
        <f t="array" aca="1" ref="AI111" ca="1">IFERROR(INDIRECT("FINI_grouping_for_wheel[@["&amp;FINI_grouping_for_wheel[[#This Row],[Selected PV]]&amp;"]]"),"")</f>
        <v>90</v>
      </c>
      <c r="AJ11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111" s="4"/>
      <c r="AM11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90</v>
      </c>
      <c r="AN11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177</v>
      </c>
      <c r="AO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1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11" t="str">
        <f>_xlfn.CONCAT(FINI_grouping_for_wheel[[#This Row],[Recipe Combination]],FINI_grouping_for_wheel[[#This Row],[Subgroup]])</f>
        <v>R3</v>
      </c>
    </row>
    <row r="112" spans="1:55" hidden="1">
      <c r="A112" t="s">
        <v>10</v>
      </c>
      <c r="B112">
        <v>4211985</v>
      </c>
      <c r="C112" t="s">
        <v>591</v>
      </c>
      <c r="D112">
        <v>8521.28708513</v>
      </c>
      <c r="E112">
        <v>190</v>
      </c>
      <c r="F112">
        <v>3.8</v>
      </c>
      <c r="G112" t="s">
        <v>650</v>
      </c>
      <c r="H112" t="s">
        <v>651</v>
      </c>
      <c r="I112">
        <v>462</v>
      </c>
      <c r="J112" t="s">
        <v>90</v>
      </c>
      <c r="K112" t="s">
        <v>312</v>
      </c>
      <c r="L112" t="s">
        <v>313</v>
      </c>
      <c r="M112">
        <v>312.55092</v>
      </c>
      <c r="N112">
        <v>1.25020368</v>
      </c>
      <c r="O112">
        <v>6930.57987</v>
      </c>
      <c r="P112">
        <v>1612080.81792</v>
      </c>
      <c r="Q112">
        <v>4.5097369320122996E-2</v>
      </c>
      <c r="R112">
        <v>384.287630761</v>
      </c>
      <c r="S112" t="s">
        <v>356</v>
      </c>
      <c r="T112" t="s">
        <v>93</v>
      </c>
      <c r="U112">
        <v>1</v>
      </c>
      <c r="V112" t="s">
        <v>315</v>
      </c>
      <c r="W112" t="s">
        <v>142</v>
      </c>
      <c r="X112" t="s">
        <v>150</v>
      </c>
      <c r="Y112" s="23" t="s">
        <v>151</v>
      </c>
      <c r="AA112">
        <v>6816</v>
      </c>
      <c r="AB112" t="s">
        <v>652</v>
      </c>
      <c r="AC112" t="s">
        <v>596</v>
      </c>
      <c r="AD112" s="2">
        <v>3</v>
      </c>
      <c r="AE112" s="2" t="s">
        <v>70</v>
      </c>
      <c r="AF112" t="str">
        <f>_xlfn.CONCAT(FINI_grouping_for_wheel[[#This Row],[SEFI/Plant]],"/",IF(FINI_grouping_for_wheel[[#This Row],[RESET recipe combination]]&lt;&gt;"",FINI_grouping_for_wheel[[#This Row],[RESET recipe combination]],FINI_grouping_for_wheel[[#This Row],[Recipe Combination]]),"/",FINI_grouping_for_wheel[[#This Row],[Subgroup]])</f>
        <v>4211985/THDP/x/3</v>
      </c>
      <c r="AG1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0.014900101591601761</v>
      </c>
      <c r="AH112">
        <f>_xlfn.LET(_xlpm.pct, FINI_grouping_for_wheel[[#This Row],[% forecast within subgroup]], _xlpm.lote, FINI_grouping_for_wheel[[#This Row],[Lot size considered]], _xlpm.pct*_xlpm.lote)</f>
        <v>126.96804325964104</v>
      </c>
      <c r="AI112" cm="1">
        <f t="array" aca="1" ref="AI112" ca="1">IFERROR(INDIRECT("FINI_grouping_for_wheel[@["&amp;FINI_grouping_for_wheel[[#This Row],[Selected PV]]&amp;"]]"),"")</f>
        <v>90</v>
      </c>
      <c r="AJ11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0.3</v>
      </c>
      <c r="AL112" s="4"/>
      <c r="AM11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90</v>
      </c>
      <c r="AN11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177</v>
      </c>
      <c r="AO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1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12" t="str">
        <f>_xlfn.CONCAT(FINI_grouping_for_wheel[[#This Row],[Recipe Combination]],FINI_grouping_for_wheel[[#This Row],[Subgroup]])</f>
        <v>R3</v>
      </c>
    </row>
    <row r="113" spans="1:55" hidden="1">
      <c r="A113" t="s">
        <v>10</v>
      </c>
      <c r="B113">
        <v>4211985</v>
      </c>
      <c r="C113" t="s">
        <v>591</v>
      </c>
      <c r="D113">
        <v>8521.28708513</v>
      </c>
      <c r="E113">
        <v>190</v>
      </c>
      <c r="F113">
        <v>3.8</v>
      </c>
      <c r="G113" t="s">
        <v>653</v>
      </c>
      <c r="H113" t="s">
        <v>654</v>
      </c>
      <c r="I113">
        <v>320</v>
      </c>
      <c r="J113" t="s">
        <v>90</v>
      </c>
      <c r="K113" t="s">
        <v>655</v>
      </c>
      <c r="L113" t="s">
        <v>656</v>
      </c>
      <c r="M113">
        <v>118.3905</v>
      </c>
      <c r="N113">
        <v>0.473562</v>
      </c>
      <c r="O113">
        <v>118.3905</v>
      </c>
      <c r="P113">
        <v>1612080.81792</v>
      </c>
      <c r="Q113">
        <v>1</v>
      </c>
      <c r="R113">
        <v>8521.28708513</v>
      </c>
      <c r="S113" t="s">
        <v>195</v>
      </c>
      <c r="T113" t="s">
        <v>93</v>
      </c>
      <c r="U113">
        <v>5</v>
      </c>
      <c r="V113" t="s">
        <v>657</v>
      </c>
      <c r="W113" t="s">
        <v>95</v>
      </c>
      <c r="X113" t="s">
        <v>106</v>
      </c>
      <c r="Y113" s="23" t="s">
        <v>107</v>
      </c>
      <c r="AA113">
        <v>17994</v>
      </c>
      <c r="AB113" t="s">
        <v>658</v>
      </c>
      <c r="AC113" t="s">
        <v>596</v>
      </c>
      <c r="AD113" s="28">
        <v>9</v>
      </c>
      <c r="AE113" s="2" t="s">
        <v>70</v>
      </c>
      <c r="AF113" t="str">
        <f>_xlfn.CONCAT(FINI_grouping_for_wheel[[#This Row],[SEFI/Plant]],"/",IF(FINI_grouping_for_wheel[[#This Row],[RESET recipe combination]]&lt;&gt;"",FINI_grouping_for_wheel[[#This Row],[RESET recipe combination]],FINI_grouping_for_wheel[[#This Row],[Recipe Combination]]),"/",FINI_grouping_for_wheel[[#This Row],[Subgroup]])</f>
        <v>4211985/THDP/x/9</v>
      </c>
      <c r="AG1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0.05025125628140703</v>
      </c>
      <c r="AH113">
        <f>_xlfn.LET(_xlpm.pct, FINI_grouping_for_wheel[[#This Row],[% forecast within subgroup]], _xlpm.lote, FINI_grouping_for_wheel[[#This Row],[Lot size considered]], _xlpm.pct*_xlpm.lote)</f>
        <v>428.2053811623115</v>
      </c>
      <c r="AI113" cm="1">
        <f t="array" aca="1" ref="AI113" ca="1">IFERROR(INDIRECT("FINI_grouping_for_wheel[@["&amp;FINI_grouping_for_wheel[[#This Row],[Selected PV]]&amp;"]]"),"")</f>
        <v>801</v>
      </c>
      <c r="AJ11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v>
      </c>
      <c r="AL113" s="4"/>
      <c r="AM11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801</v>
      </c>
      <c r="AN11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1576</v>
      </c>
      <c r="AO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1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13" t="str">
        <f>_xlfn.CONCAT(FINI_grouping_for_wheel[[#This Row],[Recipe Combination]],FINI_grouping_for_wheel[[#This Row],[Subgroup]])</f>
        <v>S9</v>
      </c>
    </row>
    <row r="114" spans="1:55" hidden="1">
      <c r="A114" t="s">
        <v>10</v>
      </c>
      <c r="B114">
        <v>4211985</v>
      </c>
      <c r="C114" t="s">
        <v>591</v>
      </c>
      <c r="D114">
        <v>8521.28708513</v>
      </c>
      <c r="E114">
        <v>190</v>
      </c>
      <c r="F114">
        <v>3.8</v>
      </c>
      <c r="G114" t="s">
        <v>659</v>
      </c>
      <c r="H114" t="s">
        <v>660</v>
      </c>
      <c r="I114">
        <v>384</v>
      </c>
      <c r="J114" t="s">
        <v>90</v>
      </c>
      <c r="K114" t="s">
        <v>661</v>
      </c>
      <c r="L114" t="s">
        <v>662</v>
      </c>
      <c r="M114">
        <v>62858.25207</v>
      </c>
      <c r="N114">
        <v>251.43300828</v>
      </c>
      <c r="O114">
        <v>62858.25207</v>
      </c>
      <c r="P114">
        <v>1612080.81792</v>
      </c>
      <c r="Q114">
        <v>1</v>
      </c>
      <c r="R114">
        <v>8521.28708513</v>
      </c>
      <c r="S114" t="s">
        <v>218</v>
      </c>
      <c r="T114" t="s">
        <v>93</v>
      </c>
      <c r="U114">
        <v>6</v>
      </c>
      <c r="V114" t="s">
        <v>657</v>
      </c>
      <c r="W114" t="s">
        <v>95</v>
      </c>
      <c r="X114" t="s">
        <v>106</v>
      </c>
      <c r="Y114" s="23" t="s">
        <v>107</v>
      </c>
      <c r="AA114">
        <v>34</v>
      </c>
      <c r="AB114" t="s">
        <v>663</v>
      </c>
      <c r="AC114" t="s">
        <v>596</v>
      </c>
      <c r="AD114" s="2">
        <v>0</v>
      </c>
      <c r="AE114" s="2" t="s">
        <v>70</v>
      </c>
      <c r="AF114" t="str">
        <f>_xlfn.CONCAT(FINI_grouping_for_wheel[[#This Row],[SEFI/Plant]],"/",IF(FINI_grouping_for_wheel[[#This Row],[RESET recipe combination]]&lt;&gt;"",FINI_grouping_for_wheel[[#This Row],[RESET recipe combination]],FINI_grouping_for_wheel[[#This Row],[Recipe Combination]]),"/",FINI_grouping_for_wheel[[#This Row],[Subgroup]])</f>
        <v>4211985/THDP/x/0</v>
      </c>
      <c r="AG1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14">
        <f>_xlfn.LET(_xlpm.pct, FINI_grouping_for_wheel[[#This Row],[% forecast within subgroup]], _xlpm.lote, FINI_grouping_for_wheel[[#This Row],[Lot size considered]], _xlpm.pct*_xlpm.lote)</f>
        <v>8521.28708513</v>
      </c>
      <c r="AI114" cm="1">
        <f t="array" aca="1" ref="AI114" ca="1">IFERROR(INDIRECT("FINI_grouping_for_wheel[@["&amp;FINI_grouping_for_wheel[[#This Row],[Selected PV]]&amp;"]]"),"")</f>
        <v>30</v>
      </c>
      <c r="AJ11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23.1</v>
      </c>
      <c r="AL114" s="4"/>
      <c r="AM11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30</v>
      </c>
      <c r="AN11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59</v>
      </c>
      <c r="AO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1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14" t="str">
        <f>_xlfn.CONCAT(FINI_grouping_for_wheel[[#This Row],[Recipe Combination]],FINI_grouping_for_wheel[[#This Row],[Subgroup]])</f>
        <v>U0</v>
      </c>
    </row>
    <row r="115" spans="1:55" hidden="1">
      <c r="A115" t="s">
        <v>10</v>
      </c>
      <c r="B115" s="40">
        <v>4211985</v>
      </c>
      <c r="C115" t="s">
        <v>591</v>
      </c>
      <c r="D115">
        <v>8521.28708513</v>
      </c>
      <c r="E115">
        <v>190</v>
      </c>
      <c r="F115">
        <v>3.8</v>
      </c>
      <c r="G115" t="s">
        <v>664</v>
      </c>
      <c r="H115" t="s">
        <v>665</v>
      </c>
      <c r="I115">
        <v>440</v>
      </c>
      <c r="J115" t="s">
        <v>90</v>
      </c>
      <c r="K115" t="s">
        <v>666</v>
      </c>
      <c r="L115" t="s">
        <v>667</v>
      </c>
      <c r="M115">
        <v>479197.3878</v>
      </c>
      <c r="N115">
        <v>1916.7895512</v>
      </c>
      <c r="O115">
        <v>479197.3878</v>
      </c>
      <c r="P115">
        <v>1612080.81792</v>
      </c>
      <c r="Q115">
        <v>1</v>
      </c>
      <c r="R115">
        <v>8521.28708513</v>
      </c>
      <c r="S115" t="s">
        <v>224</v>
      </c>
      <c r="T115" t="s">
        <v>93</v>
      </c>
      <c r="U115">
        <v>10</v>
      </c>
      <c r="V115" t="s">
        <v>94</v>
      </c>
      <c r="W115" t="s">
        <v>95</v>
      </c>
      <c r="X115" t="s">
        <v>96</v>
      </c>
      <c r="Y115" s="23" t="s">
        <v>97</v>
      </c>
      <c r="AA115">
        <v>4</v>
      </c>
      <c r="AB115" t="s">
        <v>668</v>
      </c>
      <c r="AC115" t="s">
        <v>596</v>
      </c>
      <c r="AD115" s="2">
        <v>2</v>
      </c>
      <c r="AE115" s="2" t="s">
        <v>71</v>
      </c>
      <c r="AF115" t="str">
        <f>_xlfn.CONCAT(FINI_grouping_for_wheel[[#This Row],[SEFI/Plant]],"/",IF(FINI_grouping_for_wheel[[#This Row],[RESET recipe combination]]&lt;&gt;"",FINI_grouping_for_wheel[[#This Row],[RESET recipe combination]],FINI_grouping_for_wheel[[#This Row],[Recipe Combination]]),"/",FINI_grouping_for_wheel[[#This Row],[Subgroup]])</f>
        <v>4211985/THDP/x/2</v>
      </c>
      <c r="AG1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15">
        <f>_xlfn.LET(_xlpm.pct, FINI_grouping_for_wheel[[#This Row],[% forecast within subgroup]], _xlpm.lote, FINI_grouping_for_wheel[[#This Row],[Lot size considered]], _xlpm.pct*_xlpm.lote)</f>
        <v>8521.28708513</v>
      </c>
      <c r="AI115" cm="1">
        <f t="array" aca="1" ref="AI115" ca="1">IFERROR(INDIRECT("FINI_grouping_for_wheel[@["&amp;FINI_grouping_for_wheel[[#This Row],[Selected PV]]&amp;"]]"),"")</f>
        <v>8</v>
      </c>
      <c r="AJ11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16498.90008</v>
      </c>
      <c r="AK1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37.5</v>
      </c>
      <c r="AL115" s="4"/>
      <c r="AM11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v>
      </c>
      <c r="AN11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8</v>
      </c>
      <c r="AO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1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15" t="str">
        <f>_xlfn.CONCAT(FINI_grouping_for_wheel[[#This Row],[Recipe Combination]],FINI_grouping_for_wheel[[#This Row],[Subgroup]])</f>
        <v>V2</v>
      </c>
    </row>
    <row r="116" spans="1:55" hidden="1">
      <c r="A116" t="s">
        <v>10</v>
      </c>
      <c r="B116">
        <v>4211985</v>
      </c>
      <c r="C116" t="s">
        <v>591</v>
      </c>
      <c r="D116">
        <v>8521.28708513</v>
      </c>
      <c r="E116">
        <v>190</v>
      </c>
      <c r="F116">
        <v>3.8</v>
      </c>
      <c r="G116" t="s">
        <v>669</v>
      </c>
      <c r="H116" t="s">
        <v>670</v>
      </c>
      <c r="I116">
        <v>396</v>
      </c>
      <c r="J116" t="s">
        <v>90</v>
      </c>
      <c r="K116" t="s">
        <v>671</v>
      </c>
      <c r="L116" t="s">
        <v>672</v>
      </c>
      <c r="M116">
        <v>187729.44804</v>
      </c>
      <c r="N116">
        <v>750.91779216</v>
      </c>
      <c r="O116">
        <v>187729.44804</v>
      </c>
      <c r="P116">
        <v>1612080.81792</v>
      </c>
      <c r="Q116">
        <v>1</v>
      </c>
      <c r="R116">
        <v>8521.28708513</v>
      </c>
      <c r="S116" t="s">
        <v>230</v>
      </c>
      <c r="T116" t="s">
        <v>93</v>
      </c>
      <c r="U116">
        <v>12</v>
      </c>
      <c r="V116" t="s">
        <v>238</v>
      </c>
      <c r="W116" t="s">
        <v>95</v>
      </c>
      <c r="X116" t="s">
        <v>96</v>
      </c>
      <c r="Y116" s="23" t="s">
        <v>97</v>
      </c>
      <c r="AA116">
        <v>11</v>
      </c>
      <c r="AB116" t="s">
        <v>673</v>
      </c>
      <c r="AC116" t="s">
        <v>596</v>
      </c>
      <c r="AD116" s="2">
        <v>6</v>
      </c>
      <c r="AE116" s="2" t="s">
        <v>70</v>
      </c>
      <c r="AF116" t="str">
        <f>_xlfn.CONCAT(FINI_grouping_for_wheel[[#This Row],[SEFI/Plant]],"/",IF(FINI_grouping_for_wheel[[#This Row],[RESET recipe combination]]&lt;&gt;"",FINI_grouping_for_wheel[[#This Row],[RESET recipe combination]],FINI_grouping_for_wheel[[#This Row],[Recipe Combination]]),"/",FINI_grouping_for_wheel[[#This Row],[Subgroup]])</f>
        <v>4211985/THDP/x/6</v>
      </c>
      <c r="AG1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16">
        <f>_xlfn.LET(_xlpm.pct, FINI_grouping_for_wheel[[#This Row],[% forecast within subgroup]], _xlpm.lote, FINI_grouping_for_wheel[[#This Row],[Lot size considered]], _xlpm.pct*_xlpm.lote)</f>
        <v>8521.28708513</v>
      </c>
      <c r="AI116" cm="1">
        <f t="array" aca="1" ref="AI116" ca="1">IFERROR(INDIRECT("FINI_grouping_for_wheel[@["&amp;FINI_grouping_for_wheel[[#This Row],[Selected PV]]&amp;"]]"),"")</f>
        <v>10</v>
      </c>
      <c r="AJ11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1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22.4</v>
      </c>
      <c r="AL116" s="4"/>
      <c r="AM11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v>
      </c>
      <c r="AN11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20</v>
      </c>
      <c r="AO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1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16" t="str">
        <f>_xlfn.CONCAT(FINI_grouping_for_wheel[[#This Row],[Recipe Combination]],FINI_grouping_for_wheel[[#This Row],[Subgroup]])</f>
        <v>W6</v>
      </c>
    </row>
    <row r="117" spans="1:55" hidden="1">
      <c r="A117" t="s">
        <v>10</v>
      </c>
      <c r="B117" s="40">
        <v>4211985</v>
      </c>
      <c r="C117" t="s">
        <v>591</v>
      </c>
      <c r="D117">
        <v>8521.28708513</v>
      </c>
      <c r="E117">
        <v>190</v>
      </c>
      <c r="F117">
        <v>3.8</v>
      </c>
      <c r="G117" t="s">
        <v>674</v>
      </c>
      <c r="H117" t="s">
        <v>675</v>
      </c>
      <c r="I117">
        <v>240</v>
      </c>
      <c r="J117" t="s">
        <v>90</v>
      </c>
      <c r="K117" t="s">
        <v>396</v>
      </c>
      <c r="L117" t="s">
        <v>397</v>
      </c>
      <c r="M117">
        <v>522327.04695</v>
      </c>
      <c r="N117">
        <v>2089.3081878</v>
      </c>
      <c r="O117">
        <v>522327.04695</v>
      </c>
      <c r="P117">
        <v>1612080.81792</v>
      </c>
      <c r="Q117">
        <v>1</v>
      </c>
      <c r="R117">
        <v>8521.28708513</v>
      </c>
      <c r="S117" t="s">
        <v>387</v>
      </c>
      <c r="T117" t="s">
        <v>93</v>
      </c>
      <c r="U117">
        <v>10</v>
      </c>
      <c r="V117" t="s">
        <v>238</v>
      </c>
      <c r="W117" t="s">
        <v>142</v>
      </c>
      <c r="X117" t="s">
        <v>96</v>
      </c>
      <c r="Y117" s="23" t="s">
        <v>97</v>
      </c>
      <c r="AA117">
        <v>4</v>
      </c>
      <c r="AB117" t="s">
        <v>676</v>
      </c>
      <c r="AC117" t="s">
        <v>596</v>
      </c>
      <c r="AD117" s="2">
        <v>1</v>
      </c>
      <c r="AE117" s="2" t="s">
        <v>71</v>
      </c>
      <c r="AF117" t="str">
        <f>_xlfn.CONCAT(FINI_grouping_for_wheel[[#This Row],[SEFI/Plant]],"/",IF(FINI_grouping_for_wheel[[#This Row],[RESET recipe combination]]&lt;&gt;"",FINI_grouping_for_wheel[[#This Row],[RESET recipe combination]],FINI_grouping_for_wheel[[#This Row],[Recipe Combination]]),"/",FINI_grouping_for_wheel[[#This Row],[Subgroup]])</f>
        <v>4211985/THDP/x/1</v>
      </c>
      <c r="AG1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17">
        <f>_xlfn.LET(_xlpm.pct, FINI_grouping_for_wheel[[#This Row],[% forecast within subgroup]], _xlpm.lote, FINI_grouping_for_wheel[[#This Row],[Lot size considered]], _xlpm.pct*_xlpm.lote)</f>
        <v>8521.28708513</v>
      </c>
      <c r="AI117" cm="1">
        <f t="array" aca="1" ref="AI117" ca="1">IFERROR(INDIRECT("FINI_grouping_for_wheel[@["&amp;FINI_grouping_for_wheel[[#This Row],[Selected PV]]&amp;"]]"),"")</f>
        <v>7</v>
      </c>
      <c r="AJ11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16498.90008</v>
      </c>
      <c r="AK1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68.7</v>
      </c>
      <c r="AL117" s="4"/>
      <c r="AM11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v>
      </c>
      <c r="AN11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7</v>
      </c>
      <c r="AO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1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17" t="str">
        <f>_xlfn.CONCAT(FINI_grouping_for_wheel[[#This Row],[Recipe Combination]],FINI_grouping_for_wheel[[#This Row],[Subgroup]])</f>
        <v>X1</v>
      </c>
    </row>
    <row r="118" spans="1:55" hidden="1">
      <c r="A118" t="s">
        <v>10</v>
      </c>
      <c r="B118">
        <v>4620507</v>
      </c>
      <c r="C118" t="s">
        <v>677</v>
      </c>
      <c r="D118">
        <v>8455.29520307</v>
      </c>
      <c r="E118">
        <v>168</v>
      </c>
      <c r="F118">
        <v>3.36</v>
      </c>
      <c r="G118" t="s">
        <v>678</v>
      </c>
      <c r="H118" t="s">
        <v>679</v>
      </c>
      <c r="I118">
        <v>300</v>
      </c>
      <c r="J118" t="s">
        <v>90</v>
      </c>
      <c r="K118" t="s">
        <v>254</v>
      </c>
      <c r="L118" t="s">
        <v>255</v>
      </c>
      <c r="M118">
        <v>23488.6752</v>
      </c>
      <c r="N118">
        <v>93.9547008</v>
      </c>
      <c r="O118">
        <v>23488.6752</v>
      </c>
      <c r="P118">
        <v>1419228.61294</v>
      </c>
      <c r="Q118">
        <v>1</v>
      </c>
      <c r="R118">
        <v>8455.29520307</v>
      </c>
      <c r="S118" t="s">
        <v>249</v>
      </c>
      <c r="T118" t="s">
        <v>93</v>
      </c>
      <c r="U118">
        <v>5</v>
      </c>
      <c r="V118" t="s">
        <v>119</v>
      </c>
      <c r="W118" t="s">
        <v>95</v>
      </c>
      <c r="X118" t="s">
        <v>96</v>
      </c>
      <c r="Y118" s="23" t="s">
        <v>120</v>
      </c>
      <c r="AA118">
        <v>90</v>
      </c>
      <c r="AB118" t="s">
        <v>680</v>
      </c>
      <c r="AC118" t="s">
        <v>681</v>
      </c>
      <c r="AD118" s="2">
        <v>9</v>
      </c>
      <c r="AE118" s="2" t="s">
        <v>70</v>
      </c>
      <c r="AF118" t="str">
        <f>_xlfn.CONCAT(FINI_grouping_for_wheel[[#This Row],[SEFI/Plant]],"/",IF(FINI_grouping_for_wheel[[#This Row],[RESET recipe combination]]&lt;&gt;"",FINI_grouping_for_wheel[[#This Row],[RESET recipe combination]],FINI_grouping_for_wheel[[#This Row],[Recipe Combination]]),"/",FINI_grouping_for_wheel[[#This Row],[Subgroup]])</f>
        <v>4620507/THDP/x/9</v>
      </c>
      <c r="AG1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0.8548039638087032</v>
      </c>
      <c r="AH118">
        <f>_xlfn.LET(_xlpm.pct, FINI_grouping_for_wheel[[#This Row],[% forecast within subgroup]], _xlpm.lote, FINI_grouping_for_wheel[[#This Row],[Lot size considered]], _xlpm.pct*_xlpm.lote)</f>
        <v>7227.619854756949</v>
      </c>
      <c r="AI118" cm="1">
        <f t="array" aca="1" ref="AI118" ca="1">IFERROR(INDIRECT("FINI_grouping_for_wheel[@["&amp;FINI_grouping_for_wheel[[#This Row],[Selected PV]]&amp;"]]"),"")</f>
        <v>69</v>
      </c>
      <c r="AJ11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25.3</v>
      </c>
      <c r="AL118" s="4"/>
      <c r="AM11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69</v>
      </c>
      <c r="AN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1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18" t="str">
        <f>_xlfn.CONCAT(FINI_grouping_for_wheel[[#This Row],[Recipe Combination]],FINI_grouping_for_wheel[[#This Row],[Subgroup]])</f>
        <v>%9</v>
      </c>
    </row>
    <row r="119" spans="1:55" hidden="1">
      <c r="A119" t="s">
        <v>10</v>
      </c>
      <c r="B119">
        <v>4620507</v>
      </c>
      <c r="C119" t="s">
        <v>677</v>
      </c>
      <c r="D119">
        <v>8455.29520307</v>
      </c>
      <c r="E119">
        <v>168</v>
      </c>
      <c r="F119">
        <v>3.36</v>
      </c>
      <c r="G119" t="s">
        <v>682</v>
      </c>
      <c r="H119" t="s">
        <v>683</v>
      </c>
      <c r="I119">
        <v>375</v>
      </c>
      <c r="J119" t="s">
        <v>90</v>
      </c>
      <c r="K119" t="s">
        <v>684</v>
      </c>
      <c r="L119" t="s">
        <v>685</v>
      </c>
      <c r="M119">
        <v>2514.61422</v>
      </c>
      <c r="N119">
        <v>10.05845688</v>
      </c>
      <c r="O119">
        <v>2514.61422</v>
      </c>
      <c r="P119">
        <v>1419228.61294</v>
      </c>
      <c r="Q119">
        <v>1</v>
      </c>
      <c r="R119">
        <v>8455.29520307</v>
      </c>
      <c r="S119" t="s">
        <v>104</v>
      </c>
      <c r="T119" t="s">
        <v>93</v>
      </c>
      <c r="U119">
        <v>2.5</v>
      </c>
      <c r="V119" t="s">
        <v>105</v>
      </c>
      <c r="W119" t="s">
        <v>95</v>
      </c>
      <c r="X119" t="s">
        <v>106</v>
      </c>
      <c r="Y119" s="23" t="s">
        <v>107</v>
      </c>
      <c r="AA119">
        <v>841</v>
      </c>
      <c r="AB119" t="s">
        <v>686</v>
      </c>
      <c r="AC119" t="s">
        <v>681</v>
      </c>
      <c r="AD119" s="2">
        <v>8</v>
      </c>
      <c r="AE119" s="2" t="s">
        <v>70</v>
      </c>
      <c r="AF119" t="str">
        <f>_xlfn.CONCAT(FINI_grouping_for_wheel[[#This Row],[SEFI/Plant]],"/",IF(FINI_grouping_for_wheel[[#This Row],[RESET recipe combination]]&lt;&gt;"",FINI_grouping_for_wheel[[#This Row],[RESET recipe combination]],FINI_grouping_for_wheel[[#This Row],[Recipe Combination]]),"/",FINI_grouping_for_wheel[[#This Row],[Subgroup]])</f>
        <v>4620507/THDP/x/8</v>
      </c>
      <c r="AG1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0.07477293529536014</v>
      </c>
      <c r="AH119">
        <f>_xlfn.LET(_xlpm.pct, FINI_grouping_for_wheel[[#This Row],[% forecast within subgroup]], _xlpm.lote, FINI_grouping_for_wheel[[#This Row],[Lot size considered]], _xlpm.pct*_xlpm.lote)</f>
        <v>632.2272411223221</v>
      </c>
      <c r="AI119" cm="1">
        <f t="array" aca="1" ref="AI119" ca="1">IFERROR(INDIRECT("FINI_grouping_for_wheel[@["&amp;FINI_grouping_for_wheel[[#This Row],[Selected PV]]&amp;"]]"),"")</f>
        <v>56</v>
      </c>
      <c r="AJ11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v>
      </c>
      <c r="AL119" s="4"/>
      <c r="AM11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56</v>
      </c>
      <c r="AN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1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19" t="str">
        <f>_xlfn.CONCAT(FINI_grouping_for_wheel[[#This Row],[Recipe Combination]],FINI_grouping_for_wheel[[#This Row],[Subgroup]])</f>
        <v>08</v>
      </c>
    </row>
    <row r="120" spans="1:55" hidden="1">
      <c r="A120" t="s">
        <v>10</v>
      </c>
      <c r="B120">
        <v>4620507</v>
      </c>
      <c r="C120" t="s">
        <v>677</v>
      </c>
      <c r="D120">
        <v>8455.29520307</v>
      </c>
      <c r="E120">
        <v>168</v>
      </c>
      <c r="F120">
        <v>3.36</v>
      </c>
      <c r="G120" t="s">
        <v>687</v>
      </c>
      <c r="H120" t="s">
        <v>688</v>
      </c>
      <c r="I120">
        <v>240</v>
      </c>
      <c r="J120" t="s">
        <v>90</v>
      </c>
      <c r="K120" t="s">
        <v>277</v>
      </c>
      <c r="L120" t="s">
        <v>278</v>
      </c>
      <c r="M120">
        <v>31083.425775</v>
      </c>
      <c r="N120">
        <v>124.3337031</v>
      </c>
      <c r="O120">
        <v>31083.425775</v>
      </c>
      <c r="P120">
        <v>1419228.61294</v>
      </c>
      <c r="Q120">
        <v>1</v>
      </c>
      <c r="R120">
        <v>8455.29520307</v>
      </c>
      <c r="S120" t="s">
        <v>273</v>
      </c>
      <c r="T120" t="s">
        <v>93</v>
      </c>
      <c r="U120">
        <v>5</v>
      </c>
      <c r="V120" t="s">
        <v>196</v>
      </c>
      <c r="W120" t="s">
        <v>95</v>
      </c>
      <c r="X120" t="s">
        <v>106</v>
      </c>
      <c r="Y120" s="23" t="s">
        <v>107</v>
      </c>
      <c r="AA120">
        <v>68</v>
      </c>
      <c r="AB120" t="s">
        <v>689</v>
      </c>
      <c r="AC120" t="s">
        <v>681</v>
      </c>
      <c r="AD120" s="2">
        <v>7</v>
      </c>
      <c r="AE120" s="2" t="s">
        <v>70</v>
      </c>
      <c r="AF120" t="str">
        <f>_xlfn.CONCAT(FINI_grouping_for_wheel[[#This Row],[SEFI/Plant]],"/",IF(FINI_grouping_for_wheel[[#This Row],[RESET recipe combination]]&lt;&gt;"",FINI_grouping_for_wheel[[#This Row],[RESET recipe combination]],FINI_grouping_for_wheel[[#This Row],[Recipe Combination]]),"/",FINI_grouping_for_wheel[[#This Row],[Subgroup]])</f>
        <v>4620507/THDP/x/7</v>
      </c>
      <c r="AG1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0.8620916105729765</v>
      </c>
      <c r="AH120">
        <f>_xlfn.LET(_xlpm.pct, FINI_grouping_for_wheel[[#This Row],[% forecast within subgroup]], _xlpm.lote, FINI_grouping_for_wheel[[#This Row],[Lot size considered]], _xlpm.pct*_xlpm.lote)</f>
        <v>7289.239059484578</v>
      </c>
      <c r="AI120" cm="1">
        <f t="array" aca="1" ref="AI120" ca="1">IFERROR(INDIRECT("FINI_grouping_for_wheel[@["&amp;FINI_grouping_for_wheel[[#This Row],[Selected PV]]&amp;"]]"),"")</f>
        <v>52</v>
      </c>
      <c r="AJ12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31.9</v>
      </c>
      <c r="AL120" s="4"/>
      <c r="AM12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52</v>
      </c>
      <c r="AN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2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20" t="str">
        <f>_xlfn.CONCAT(FINI_grouping_for_wheel[[#This Row],[Recipe Combination]],FINI_grouping_for_wheel[[#This Row],[Subgroup]])</f>
        <v>?7</v>
      </c>
    </row>
    <row r="121" spans="1:55" hidden="1">
      <c r="A121" t="s">
        <v>10</v>
      </c>
      <c r="B121">
        <v>4620507</v>
      </c>
      <c r="C121" t="s">
        <v>677</v>
      </c>
      <c r="D121">
        <v>8455.29520307</v>
      </c>
      <c r="E121">
        <v>168</v>
      </c>
      <c r="F121">
        <v>3.36</v>
      </c>
      <c r="G121" t="s">
        <v>690</v>
      </c>
      <c r="H121" t="s">
        <v>691</v>
      </c>
      <c r="I121">
        <v>462</v>
      </c>
      <c r="J121" t="s">
        <v>90</v>
      </c>
      <c r="K121" t="s">
        <v>312</v>
      </c>
      <c r="L121" t="s">
        <v>313</v>
      </c>
      <c r="M121">
        <v>1745.07597</v>
      </c>
      <c r="N121">
        <v>6.98030388</v>
      </c>
      <c r="O121">
        <v>9511.49277</v>
      </c>
      <c r="P121">
        <v>1419228.61294</v>
      </c>
      <c r="Q121">
        <v>0.18347025143141649</v>
      </c>
      <c r="R121">
        <v>1551.29513683</v>
      </c>
      <c r="S121" t="s">
        <v>314</v>
      </c>
      <c r="T121" t="s">
        <v>93</v>
      </c>
      <c r="U121">
        <v>1</v>
      </c>
      <c r="V121" t="s">
        <v>315</v>
      </c>
      <c r="W121" t="s">
        <v>142</v>
      </c>
      <c r="X121" t="s">
        <v>150</v>
      </c>
      <c r="Y121" s="23" t="s">
        <v>151</v>
      </c>
      <c r="AA121">
        <v>1211</v>
      </c>
      <c r="AB121" t="s">
        <v>692</v>
      </c>
      <c r="AC121" t="s">
        <v>681</v>
      </c>
      <c r="AD121" s="2">
        <v>6</v>
      </c>
      <c r="AE121" s="2" t="s">
        <v>70</v>
      </c>
      <c r="AF121" t="str">
        <f>_xlfn.CONCAT(FINI_grouping_for_wheel[[#This Row],[SEFI/Plant]],"/",IF(FINI_grouping_for_wheel[[#This Row],[RESET recipe combination]]&lt;&gt;"",FINI_grouping_for_wheel[[#This Row],[RESET recipe combination]],FINI_grouping_for_wheel[[#This Row],[Recipe Combination]]),"/",FINI_grouping_for_wheel[[#This Row],[Subgroup]])</f>
        <v>4620507/THDP/x/6</v>
      </c>
      <c r="AG1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0.1505003063099857</v>
      </c>
      <c r="AH121">
        <f>_xlfn.LET(_xlpm.pct, FINI_grouping_for_wheel[[#This Row],[% forecast within subgroup]], _xlpm.lote, FINI_grouping_for_wheel[[#This Row],[Lot size considered]], _xlpm.pct*_xlpm.lote)</f>
        <v>1272.5245180033878</v>
      </c>
      <c r="AI121" cm="1">
        <f t="array" aca="1" ref="AI121" ca="1">IFERROR(INDIRECT("FINI_grouping_for_wheel[@["&amp;FINI_grouping_for_wheel[[#This Row],[Selected PV]]&amp;"]]"),"")</f>
        <v>163</v>
      </c>
      <c r="AJ12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v>
      </c>
      <c r="AL121" s="4"/>
      <c r="AM12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163</v>
      </c>
      <c r="AN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2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21" t="str">
        <f>_xlfn.CONCAT(FINI_grouping_for_wheel[[#This Row],[Recipe Combination]],FINI_grouping_for_wheel[[#This Row],[Subgroup]])</f>
        <v>K6</v>
      </c>
    </row>
    <row r="122" spans="1:55" hidden="1">
      <c r="A122" t="s">
        <v>10</v>
      </c>
      <c r="B122">
        <v>4620507</v>
      </c>
      <c r="C122" t="s">
        <v>677</v>
      </c>
      <c r="D122">
        <v>8455.29520307</v>
      </c>
      <c r="E122">
        <v>168</v>
      </c>
      <c r="F122">
        <v>3.36</v>
      </c>
      <c r="G122" t="s">
        <v>693</v>
      </c>
      <c r="H122" t="s">
        <v>694</v>
      </c>
      <c r="I122">
        <v>483</v>
      </c>
      <c r="J122" t="s">
        <v>90</v>
      </c>
      <c r="K122" t="s">
        <v>312</v>
      </c>
      <c r="L122" t="s">
        <v>313</v>
      </c>
      <c r="M122">
        <v>335.045115</v>
      </c>
      <c r="N122">
        <v>1.34018046</v>
      </c>
      <c r="O122">
        <v>9511.49277</v>
      </c>
      <c r="P122">
        <v>1419228.61294</v>
      </c>
      <c r="Q122">
        <v>3.5225292506845904E-2</v>
      </c>
      <c r="R122">
        <v>297.84024676</v>
      </c>
      <c r="S122" t="s">
        <v>314</v>
      </c>
      <c r="T122" t="s">
        <v>93</v>
      </c>
      <c r="U122">
        <v>1</v>
      </c>
      <c r="V122" t="s">
        <v>315</v>
      </c>
      <c r="W122" t="s">
        <v>142</v>
      </c>
      <c r="X122" t="s">
        <v>150</v>
      </c>
      <c r="Y122" s="23" t="s">
        <v>151</v>
      </c>
      <c r="AA122">
        <v>6309</v>
      </c>
      <c r="AB122" t="s">
        <v>695</v>
      </c>
      <c r="AC122" t="s">
        <v>681</v>
      </c>
      <c r="AD122" s="2">
        <v>6</v>
      </c>
      <c r="AE122" s="2" t="s">
        <v>70</v>
      </c>
      <c r="AF122" t="str">
        <f>_xlfn.CONCAT(FINI_grouping_for_wheel[[#This Row],[SEFI/Plant]],"/",IF(FINI_grouping_for_wheel[[#This Row],[RESET recipe combination]]&lt;&gt;"",FINI_grouping_for_wheel[[#This Row],[RESET recipe combination]],FINI_grouping_for_wheel[[#This Row],[Recipe Combination]]),"/",FINI_grouping_for_wheel[[#This Row],[Subgroup]])</f>
        <v>4620507/THDP/x/6</v>
      </c>
      <c r="AG1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0.028895241984888707</v>
      </c>
      <c r="AH122">
        <f>_xlfn.LET(_xlpm.pct, FINI_grouping_for_wheel[[#This Row],[% forecast within subgroup]], _xlpm.lote, FINI_grouping_for_wheel[[#This Row],[Lot size considered]], _xlpm.pct*_xlpm.lote)</f>
        <v>244.31780094637634</v>
      </c>
      <c r="AI122" cm="1">
        <f t="array" aca="1" ref="AI122" ca="1">IFERROR(INDIRECT("FINI_grouping_for_wheel[@["&amp;FINI_grouping_for_wheel[[#This Row],[Selected PV]]&amp;"]]"),"")</f>
        <v>163</v>
      </c>
      <c r="AJ12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0.5</v>
      </c>
      <c r="AL122" s="4"/>
      <c r="AM12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163</v>
      </c>
      <c r="AN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2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22" t="str">
        <f>_xlfn.CONCAT(FINI_grouping_for_wheel[[#This Row],[Recipe Combination]],FINI_grouping_for_wheel[[#This Row],[Subgroup]])</f>
        <v>K6</v>
      </c>
    </row>
    <row r="123" spans="1:55" hidden="1">
      <c r="A123" t="s">
        <v>10</v>
      </c>
      <c r="B123">
        <v>4620507</v>
      </c>
      <c r="C123" t="s">
        <v>677</v>
      </c>
      <c r="D123">
        <v>8455.29520307</v>
      </c>
      <c r="E123">
        <v>168</v>
      </c>
      <c r="F123">
        <v>3.36</v>
      </c>
      <c r="G123" t="s">
        <v>696</v>
      </c>
      <c r="H123" t="s">
        <v>697</v>
      </c>
      <c r="I123">
        <v>462</v>
      </c>
      <c r="J123" t="s">
        <v>90</v>
      </c>
      <c r="K123" t="s">
        <v>312</v>
      </c>
      <c r="L123" t="s">
        <v>313</v>
      </c>
      <c r="M123">
        <v>7431.371685</v>
      </c>
      <c r="N123">
        <v>29.72548674</v>
      </c>
      <c r="O123">
        <v>9511.49277</v>
      </c>
      <c r="P123">
        <v>1419228.61294</v>
      </c>
      <c r="Q123">
        <v>0.7813044560617376</v>
      </c>
      <c r="R123">
        <v>6606.15981947</v>
      </c>
      <c r="S123" t="s">
        <v>314</v>
      </c>
      <c r="T123" t="s">
        <v>93</v>
      </c>
      <c r="U123">
        <v>1</v>
      </c>
      <c r="V123" t="s">
        <v>315</v>
      </c>
      <c r="W123" t="s">
        <v>142</v>
      </c>
      <c r="X123" t="s">
        <v>150</v>
      </c>
      <c r="Y123" s="23" t="s">
        <v>151</v>
      </c>
      <c r="AA123">
        <v>284</v>
      </c>
      <c r="AB123" t="s">
        <v>698</v>
      </c>
      <c r="AC123" t="s">
        <v>681</v>
      </c>
      <c r="AD123" s="2">
        <v>6</v>
      </c>
      <c r="AE123" s="2" t="s">
        <v>70</v>
      </c>
      <c r="AF123" t="str">
        <f>_xlfn.CONCAT(FINI_grouping_for_wheel[[#This Row],[SEFI/Plant]],"/",IF(FINI_grouping_for_wheel[[#This Row],[RESET recipe combination]]&lt;&gt;"",FINI_grouping_for_wheel[[#This Row],[RESET recipe combination]],FINI_grouping_for_wheel[[#This Row],[Recipe Combination]]),"/",FINI_grouping_for_wheel[[#This Row],[Subgroup]])</f>
        <v>4620507/THDP/x/6</v>
      </c>
      <c r="AG1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0.6409025934245456</v>
      </c>
      <c r="AH123">
        <f>_xlfn.LET(_xlpm.pct, FINI_grouping_for_wheel[[#This Row],[% forecast within subgroup]], _xlpm.lote, FINI_grouping_for_wheel[[#This Row],[Lot size considered]], _xlpm.pct*_xlpm.lote)</f>
        <v>5419.0206238176825</v>
      </c>
      <c r="AI123" cm="1">
        <f t="array" aca="1" ref="AI123" ca="1">IFERROR(INDIRECT("FINI_grouping_for_wheel[@["&amp;FINI_grouping_for_wheel[[#This Row],[Selected PV]]&amp;"]]"),"")</f>
        <v>163</v>
      </c>
      <c r="AJ12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12.3</v>
      </c>
      <c r="AL123" s="4"/>
      <c r="AM12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163</v>
      </c>
      <c r="AN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2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23" t="str">
        <f>_xlfn.CONCAT(FINI_grouping_for_wheel[[#This Row],[Recipe Combination]],FINI_grouping_for_wheel[[#This Row],[Subgroup]])</f>
        <v>K6</v>
      </c>
    </row>
    <row r="124" spans="1:55" hidden="1">
      <c r="A124" t="s">
        <v>10</v>
      </c>
      <c r="B124">
        <v>4620507</v>
      </c>
      <c r="C124" t="s">
        <v>677</v>
      </c>
      <c r="D124">
        <v>8455.29520307</v>
      </c>
      <c r="E124">
        <v>168</v>
      </c>
      <c r="F124">
        <v>3.36</v>
      </c>
      <c r="G124" t="s">
        <v>699</v>
      </c>
      <c r="H124" t="s">
        <v>700</v>
      </c>
      <c r="I124">
        <v>330</v>
      </c>
      <c r="J124" t="s">
        <v>90</v>
      </c>
      <c r="K124" t="s">
        <v>701</v>
      </c>
      <c r="L124" t="s">
        <v>702</v>
      </c>
      <c r="M124">
        <v>5457.80205</v>
      </c>
      <c r="N124">
        <v>21.8312082</v>
      </c>
      <c r="O124">
        <v>5457.80205</v>
      </c>
      <c r="P124">
        <v>1419228.61294</v>
      </c>
      <c r="Q124">
        <v>1</v>
      </c>
      <c r="R124">
        <v>8455.29520307</v>
      </c>
      <c r="S124" t="s">
        <v>157</v>
      </c>
      <c r="T124" t="s">
        <v>93</v>
      </c>
      <c r="U124">
        <v>10</v>
      </c>
      <c r="V124" t="s">
        <v>94</v>
      </c>
      <c r="W124" t="s">
        <v>95</v>
      </c>
      <c r="X124" t="s">
        <v>96</v>
      </c>
      <c r="Y124" s="23" t="s">
        <v>97</v>
      </c>
      <c r="AA124">
        <v>387</v>
      </c>
      <c r="AB124" t="s">
        <v>703</v>
      </c>
      <c r="AC124" t="s">
        <v>681</v>
      </c>
      <c r="AD124" s="2">
        <v>5</v>
      </c>
      <c r="AE124" s="2" t="s">
        <v>70</v>
      </c>
      <c r="AF124" t="str">
        <f>_xlfn.CONCAT(FINI_grouping_for_wheel[[#This Row],[SEFI/Plant]],"/",IF(FINI_grouping_for_wheel[[#This Row],[RESET recipe combination]]&lt;&gt;"",FINI_grouping_for_wheel[[#This Row],[RESET recipe combination]],FINI_grouping_for_wheel[[#This Row],[Recipe Combination]]),"/",FINI_grouping_for_wheel[[#This Row],[Subgroup]])</f>
        <v>4620507/THDP/x/5</v>
      </c>
      <c r="AG1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0.10034828036569439</v>
      </c>
      <c r="AH124">
        <f>_xlfn.LET(_xlpm.pct, FINI_grouping_for_wheel[[#This Row],[% forecast within subgroup]], _xlpm.lote, FINI_grouping_for_wheel[[#This Row],[Lot size considered]], _xlpm.pct*_xlpm.lote)</f>
        <v>848.4743336123793</v>
      </c>
      <c r="AI124" cm="1">
        <f t="array" aca="1" ref="AI124" ca="1">IFERROR(INDIRECT("FINI_grouping_for_wheel[@["&amp;FINI_grouping_for_wheel[[#This Row],[Selected PV]]&amp;"]]"),"")</f>
        <v>35</v>
      </c>
      <c r="AJ12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v>
      </c>
      <c r="AL124" s="4"/>
      <c r="AM12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35</v>
      </c>
      <c r="AN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2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24" t="str">
        <f>_xlfn.CONCAT(FINI_grouping_for_wheel[[#This Row],[Recipe Combination]],FINI_grouping_for_wheel[[#This Row],[Subgroup]])</f>
        <v>M5</v>
      </c>
    </row>
    <row r="125" spans="1:55" hidden="1">
      <c r="A125" t="s">
        <v>10</v>
      </c>
      <c r="B125">
        <v>4620507</v>
      </c>
      <c r="C125" t="s">
        <v>677</v>
      </c>
      <c r="D125">
        <v>8455.29520307</v>
      </c>
      <c r="E125">
        <v>168</v>
      </c>
      <c r="F125">
        <v>3.36</v>
      </c>
      <c r="G125" t="s">
        <v>704</v>
      </c>
      <c r="H125" t="s">
        <v>705</v>
      </c>
      <c r="I125">
        <v>300</v>
      </c>
      <c r="J125" t="s">
        <v>90</v>
      </c>
      <c r="K125" t="s">
        <v>188</v>
      </c>
      <c r="L125" t="s">
        <v>189</v>
      </c>
      <c r="M125">
        <v>3989.75985</v>
      </c>
      <c r="N125">
        <v>15.9590394</v>
      </c>
      <c r="O125">
        <v>25542.750375</v>
      </c>
      <c r="P125">
        <v>1419228.61294</v>
      </c>
      <c r="Q125">
        <v>0.15619930475086907</v>
      </c>
      <c r="R125">
        <v>1320.71123218</v>
      </c>
      <c r="S125" t="s">
        <v>173</v>
      </c>
      <c r="T125" t="s">
        <v>93</v>
      </c>
      <c r="U125">
        <v>5</v>
      </c>
      <c r="V125" t="s">
        <v>119</v>
      </c>
      <c r="W125" t="s">
        <v>142</v>
      </c>
      <c r="X125" t="s">
        <v>96</v>
      </c>
      <c r="Y125" s="23" t="s">
        <v>120</v>
      </c>
      <c r="AA125">
        <v>530</v>
      </c>
      <c r="AB125" t="s">
        <v>706</v>
      </c>
      <c r="AC125" t="s">
        <v>681</v>
      </c>
      <c r="AD125" s="2">
        <v>9</v>
      </c>
      <c r="AE125" s="2" t="s">
        <v>70</v>
      </c>
      <c r="AF125" t="str">
        <f>_xlfn.CONCAT(FINI_grouping_for_wheel[[#This Row],[SEFI/Plant]],"/",IF(FINI_grouping_for_wheel[[#This Row],[RESET recipe combination]]&lt;&gt;"",FINI_grouping_for_wheel[[#This Row],[RESET recipe combination]],FINI_grouping_for_wheel[[#This Row],[Recipe Combination]]),"/",FINI_grouping_for_wheel[[#This Row],[Subgroup]])</f>
        <v>4620507/THDP/x/9</v>
      </c>
      <c r="AG1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0.14519603619129684</v>
      </c>
      <c r="AH125">
        <f>_xlfn.LET(_xlpm.pct, FINI_grouping_for_wheel[[#This Row],[% forecast within subgroup]], _xlpm.lote, FINI_grouping_for_wheel[[#This Row],[Lot size considered]], _xlpm.pct*_xlpm.lote)</f>
        <v>1227.6753483130503</v>
      </c>
      <c r="AI125" cm="1">
        <f t="array" aca="1" ref="AI125" ca="1">IFERROR(INDIRECT("FINI_grouping_for_wheel[@["&amp;FINI_grouping_for_wheel[[#This Row],[Selected PV]]&amp;"]]"),"")</f>
        <v>69</v>
      </c>
      <c r="AJ12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4.3</v>
      </c>
      <c r="AL125" s="4"/>
      <c r="AM12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69</v>
      </c>
      <c r="AN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2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25" t="str">
        <f>_xlfn.CONCAT(FINI_grouping_for_wheel[[#This Row],[Recipe Combination]],FINI_grouping_for_wheel[[#This Row],[Subgroup]])</f>
        <v>P9</v>
      </c>
    </row>
    <row r="126" spans="1:55" hidden="1">
      <c r="A126" t="s">
        <v>10</v>
      </c>
      <c r="B126">
        <v>4620507</v>
      </c>
      <c r="C126" t="s">
        <v>677</v>
      </c>
      <c r="D126">
        <v>8455.29520307</v>
      </c>
      <c r="E126">
        <v>168</v>
      </c>
      <c r="F126">
        <v>3.36</v>
      </c>
      <c r="G126" t="s">
        <v>707</v>
      </c>
      <c r="H126" t="s">
        <v>708</v>
      </c>
      <c r="I126">
        <v>300</v>
      </c>
      <c r="J126" t="s">
        <v>90</v>
      </c>
      <c r="K126" t="s">
        <v>188</v>
      </c>
      <c r="L126" t="s">
        <v>189</v>
      </c>
      <c r="M126">
        <v>8583.31125</v>
      </c>
      <c r="N126">
        <v>34.333245</v>
      </c>
      <c r="O126">
        <v>25542.750375</v>
      </c>
      <c r="P126">
        <v>1419228.61294</v>
      </c>
      <c r="Q126">
        <v>0.33603707995365006</v>
      </c>
      <c r="R126">
        <v>2841.29271018</v>
      </c>
      <c r="S126" t="s">
        <v>173</v>
      </c>
      <c r="T126" t="s">
        <v>93</v>
      </c>
      <c r="U126">
        <v>5</v>
      </c>
      <c r="V126" t="s">
        <v>119</v>
      </c>
      <c r="W126" t="s">
        <v>142</v>
      </c>
      <c r="X126" t="s">
        <v>96</v>
      </c>
      <c r="Y126" s="23" t="s">
        <v>120</v>
      </c>
      <c r="AA126">
        <v>246</v>
      </c>
      <c r="AB126" t="s">
        <v>709</v>
      </c>
      <c r="AC126" t="s">
        <v>681</v>
      </c>
      <c r="AD126" s="2">
        <v>10</v>
      </c>
      <c r="AE126" s="2" t="s">
        <v>70</v>
      </c>
      <c r="AF126" t="str">
        <f>_xlfn.CONCAT(FINI_grouping_for_wheel[[#This Row],[SEFI/Plant]],"/",IF(FINI_grouping_for_wheel[[#This Row],[RESET recipe combination]]&lt;&gt;"",FINI_grouping_for_wheel[[#This Row],[RESET recipe combination]],FINI_grouping_for_wheel[[#This Row],[Recipe Combination]]),"/",FINI_grouping_for_wheel[[#This Row],[Subgroup]])</f>
        <v>4620507/THDP/x/10</v>
      </c>
      <c r="AG1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0.39824224114254325</v>
      </c>
      <c r="AH126">
        <f>_xlfn.LET(_xlpm.pct, FINI_grouping_for_wheel[[#This Row],[% forecast within subgroup]], _xlpm.lote, FINI_grouping_for_wheel[[#This Row],[Lot size considered]], _xlpm.pct*_xlpm.lote)</f>
        <v>3367.255711192392</v>
      </c>
      <c r="AI126" cm="1">
        <f t="array" aca="1" ref="AI126" ca="1">IFERROR(INDIRECT("FINI_grouping_for_wheel[@["&amp;FINI_grouping_for_wheel[[#This Row],[Selected PV]]&amp;"]]"),"")</f>
        <v>88</v>
      </c>
      <c r="AJ12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11.8</v>
      </c>
      <c r="AL126" s="4"/>
      <c r="AM12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88</v>
      </c>
      <c r="AN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2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26" t="str">
        <f>_xlfn.CONCAT(FINI_grouping_for_wheel[[#This Row],[Recipe Combination]],FINI_grouping_for_wheel[[#This Row],[Subgroup]])</f>
        <v>P10</v>
      </c>
    </row>
    <row r="127" spans="1:55" hidden="1">
      <c r="A127" t="s">
        <v>10</v>
      </c>
      <c r="B127">
        <v>4620507</v>
      </c>
      <c r="C127" t="s">
        <v>677</v>
      </c>
      <c r="D127">
        <v>8455.29520307</v>
      </c>
      <c r="E127">
        <v>168</v>
      </c>
      <c r="F127">
        <v>3.36</v>
      </c>
      <c r="G127" t="s">
        <v>710</v>
      </c>
      <c r="H127" t="s">
        <v>711</v>
      </c>
      <c r="I127">
        <v>300</v>
      </c>
      <c r="J127" t="s">
        <v>90</v>
      </c>
      <c r="K127" t="s">
        <v>254</v>
      </c>
      <c r="L127" t="s">
        <v>255</v>
      </c>
      <c r="M127">
        <v>12969.679275</v>
      </c>
      <c r="N127">
        <v>51.8787171</v>
      </c>
      <c r="O127">
        <v>25542.750375</v>
      </c>
      <c r="P127">
        <v>1419228.61294</v>
      </c>
      <c r="Q127">
        <v>0.50776361529548086</v>
      </c>
      <c r="R127">
        <v>4293.2912607</v>
      </c>
      <c r="S127" t="s">
        <v>173</v>
      </c>
      <c r="T127" t="s">
        <v>93</v>
      </c>
      <c r="U127">
        <v>5</v>
      </c>
      <c r="V127" t="s">
        <v>119</v>
      </c>
      <c r="W127" t="s">
        <v>95</v>
      </c>
      <c r="X127" t="s">
        <v>96</v>
      </c>
      <c r="Y127" s="23" t="s">
        <v>120</v>
      </c>
      <c r="AA127">
        <v>163</v>
      </c>
      <c r="AB127" t="s">
        <v>712</v>
      </c>
      <c r="AC127" t="s">
        <v>681</v>
      </c>
      <c r="AD127" s="2">
        <v>10</v>
      </c>
      <c r="AE127" s="2" t="s">
        <v>70</v>
      </c>
      <c r="AF127" t="str">
        <f>_xlfn.CONCAT(FINI_grouping_for_wheel[[#This Row],[SEFI/Plant]],"/",IF(FINI_grouping_for_wheel[[#This Row],[RESET recipe combination]]&lt;&gt;"",FINI_grouping_for_wheel[[#This Row],[RESET recipe combination]],FINI_grouping_for_wheel[[#This Row],[Recipe Combination]]),"/",FINI_grouping_for_wheel[[#This Row],[Subgroup]])</f>
        <v>4620507/THDP/x/10</v>
      </c>
      <c r="AG1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0.6017577588574567</v>
      </c>
      <c r="AH127">
        <f>_xlfn.LET(_xlpm.pct, FINI_grouping_for_wheel[[#This Row],[% forecast within subgroup]], _xlpm.lote, FINI_grouping_for_wheel[[#This Row],[Lot size considered]], _xlpm.pct*_xlpm.lote)</f>
        <v>5088.039491877607</v>
      </c>
      <c r="AI127" cm="1">
        <f t="array" aca="1" ref="AI127" ca="1">IFERROR(INDIRECT("FINI_grouping_for_wheel[@["&amp;FINI_grouping_for_wheel[[#This Row],[Selected PV]]&amp;"]]"),"")</f>
        <v>88</v>
      </c>
      <c r="AJ12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17.8</v>
      </c>
      <c r="AL127" s="4"/>
      <c r="AM12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88</v>
      </c>
      <c r="AN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2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27" t="str">
        <f>_xlfn.CONCAT(FINI_grouping_for_wheel[[#This Row],[Recipe Combination]],FINI_grouping_for_wheel[[#This Row],[Subgroup]])</f>
        <v>P10</v>
      </c>
    </row>
    <row r="128" spans="1:55" hidden="1">
      <c r="A128" t="s">
        <v>10</v>
      </c>
      <c r="B128">
        <v>4620507</v>
      </c>
      <c r="C128" t="s">
        <v>677</v>
      </c>
      <c r="D128">
        <v>8455.29520307</v>
      </c>
      <c r="E128">
        <v>168</v>
      </c>
      <c r="F128">
        <v>3.36</v>
      </c>
      <c r="G128" t="s">
        <v>713</v>
      </c>
      <c r="H128" t="s">
        <v>714</v>
      </c>
      <c r="I128">
        <v>288</v>
      </c>
      <c r="J128" t="s">
        <v>90</v>
      </c>
      <c r="K128" t="s">
        <v>344</v>
      </c>
      <c r="L128" t="s">
        <v>345</v>
      </c>
      <c r="M128">
        <v>19832.77656</v>
      </c>
      <c r="N128">
        <v>79.33110624</v>
      </c>
      <c r="O128">
        <v>19832.77656</v>
      </c>
      <c r="P128">
        <v>1419228.61294</v>
      </c>
      <c r="Q128">
        <v>1</v>
      </c>
      <c r="R128">
        <v>8455.29520307</v>
      </c>
      <c r="S128" t="s">
        <v>346</v>
      </c>
      <c r="T128" t="s">
        <v>93</v>
      </c>
      <c r="U128">
        <v>3</v>
      </c>
      <c r="V128" t="s">
        <v>347</v>
      </c>
      <c r="W128" t="s">
        <v>142</v>
      </c>
      <c r="X128" t="s">
        <v>96</v>
      </c>
      <c r="Y128" s="23" t="s">
        <v>107</v>
      </c>
      <c r="AA128">
        <v>107</v>
      </c>
      <c r="AB128" t="s">
        <v>715</v>
      </c>
      <c r="AC128" t="s">
        <v>681</v>
      </c>
      <c r="AD128" s="2">
        <v>8</v>
      </c>
      <c r="AE128" s="2" t="s">
        <v>70</v>
      </c>
      <c r="AF128" t="str">
        <f>_xlfn.CONCAT(FINI_grouping_for_wheel[[#This Row],[SEFI/Plant]],"/",IF(FINI_grouping_for_wheel[[#This Row],[RESET recipe combination]]&lt;&gt;"",FINI_grouping_for_wheel[[#This Row],[RESET recipe combination]],FINI_grouping_for_wheel[[#This Row],[Recipe Combination]]),"/",FINI_grouping_for_wheel[[#This Row],[Subgroup]])</f>
        <v>4620507/THDP/x/8</v>
      </c>
      <c r="AG1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0.5897345631204675</v>
      </c>
      <c r="AH128">
        <f>_xlfn.LET(_xlpm.pct, FINI_grouping_for_wheel[[#This Row],[% forecast within subgroup]], _xlpm.lote, FINI_grouping_for_wheel[[#This Row],[Lot size considered]], _xlpm.pct*_xlpm.lote)</f>
        <v>4986.379822637071</v>
      </c>
      <c r="AI128" cm="1">
        <f t="array" aca="1" ref="AI128" ca="1">IFERROR(INDIRECT("FINI_grouping_for_wheel[@["&amp;FINI_grouping_for_wheel[[#This Row],[Selected PV]]&amp;"]]"),"")</f>
        <v>56</v>
      </c>
      <c r="AJ12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18.2</v>
      </c>
      <c r="AL128" s="4"/>
      <c r="AM12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56</v>
      </c>
      <c r="AN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2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28" t="str">
        <f>_xlfn.CONCAT(FINI_grouping_for_wheel[[#This Row],[Recipe Combination]],FINI_grouping_for_wheel[[#This Row],[Subgroup]])</f>
        <v>Q8</v>
      </c>
    </row>
    <row r="129" spans="1:55" hidden="1">
      <c r="A129" t="s">
        <v>10</v>
      </c>
      <c r="B129">
        <v>4620507</v>
      </c>
      <c r="C129" t="s">
        <v>677</v>
      </c>
      <c r="D129">
        <v>8455.29520307</v>
      </c>
      <c r="E129">
        <v>168</v>
      </c>
      <c r="F129">
        <v>3.36</v>
      </c>
      <c r="G129" t="s">
        <v>716</v>
      </c>
      <c r="H129" t="s">
        <v>717</v>
      </c>
      <c r="I129">
        <v>264</v>
      </c>
      <c r="J129" t="s">
        <v>90</v>
      </c>
      <c r="K129" t="s">
        <v>360</v>
      </c>
      <c r="L129" t="s">
        <v>361</v>
      </c>
      <c r="M129">
        <v>1119.97413</v>
      </c>
      <c r="N129">
        <v>4.47989652</v>
      </c>
      <c r="O129">
        <v>2083.6728</v>
      </c>
      <c r="P129">
        <v>1419228.61294</v>
      </c>
      <c r="Q129">
        <v>0.53749999999999998</v>
      </c>
      <c r="R129">
        <v>4544.72117165</v>
      </c>
      <c r="S129" t="s">
        <v>356</v>
      </c>
      <c r="T129" t="s">
        <v>93</v>
      </c>
      <c r="U129">
        <v>0.5</v>
      </c>
      <c r="V129" t="s">
        <v>149</v>
      </c>
      <c r="W129" t="s">
        <v>142</v>
      </c>
      <c r="X129" t="s">
        <v>150</v>
      </c>
      <c r="Y129" s="23" t="s">
        <v>151</v>
      </c>
      <c r="AA129">
        <v>1887</v>
      </c>
      <c r="AB129" t="s">
        <v>718</v>
      </c>
      <c r="AC129" t="s">
        <v>681</v>
      </c>
      <c r="AD129" s="2">
        <v>6</v>
      </c>
      <c r="AE129" s="2" t="s">
        <v>70</v>
      </c>
      <c r="AF129" t="str">
        <f>_xlfn.CONCAT(FINI_grouping_for_wheel[[#This Row],[SEFI/Plant]],"/",IF(FINI_grouping_for_wheel[[#This Row],[RESET recipe combination]]&lt;&gt;"",FINI_grouping_for_wheel[[#This Row],[RESET recipe combination]],FINI_grouping_for_wheel[[#This Row],[Recipe Combination]]),"/",FINI_grouping_for_wheel[[#This Row],[Subgroup]])</f>
        <v>4620507/THDP/x/6</v>
      </c>
      <c r="AG1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0.09658974882581171</v>
      </c>
      <c r="AH129">
        <f>_xlfn.LET(_xlpm.pct, FINI_grouping_for_wheel[[#This Row],[% forecast within subgroup]], _xlpm.lote, FINI_grouping_for_wheel[[#This Row],[Lot size considered]], _xlpm.pct*_xlpm.lote)</f>
        <v>816.6948399126219</v>
      </c>
      <c r="AI129" cm="1">
        <f t="array" aca="1" ref="AI129" ca="1">IFERROR(INDIRECT("FINI_grouping_for_wheel[@["&amp;FINI_grouping_for_wheel[[#This Row],[Selected PV]]&amp;"]]"),"")</f>
        <v>163</v>
      </c>
      <c r="AJ12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3.2</v>
      </c>
      <c r="AL129" s="4"/>
      <c r="AM12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163</v>
      </c>
      <c r="AN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2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29" t="str">
        <f>_xlfn.CONCAT(FINI_grouping_for_wheel[[#This Row],[Recipe Combination]],FINI_grouping_for_wheel[[#This Row],[Subgroup]])</f>
        <v>R6</v>
      </c>
    </row>
    <row r="130" spans="1:55" hidden="1">
      <c r="A130" t="s">
        <v>10</v>
      </c>
      <c r="B130">
        <v>4620507</v>
      </c>
      <c r="C130" t="s">
        <v>677</v>
      </c>
      <c r="D130">
        <v>8455.29520307</v>
      </c>
      <c r="E130">
        <v>168</v>
      </c>
      <c r="F130">
        <v>3.36</v>
      </c>
      <c r="G130" t="s">
        <v>719</v>
      </c>
      <c r="H130" t="s">
        <v>720</v>
      </c>
      <c r="I130">
        <v>420</v>
      </c>
      <c r="J130" t="s">
        <v>90</v>
      </c>
      <c r="K130" t="s">
        <v>305</v>
      </c>
      <c r="L130" t="s">
        <v>306</v>
      </c>
      <c r="M130">
        <v>963.69867</v>
      </c>
      <c r="N130">
        <v>3.85479468</v>
      </c>
      <c r="O130">
        <v>2083.6728</v>
      </c>
      <c r="P130">
        <v>1419228.61294</v>
      </c>
      <c r="Q130">
        <v>0.46250000000000002</v>
      </c>
      <c r="R130">
        <v>3910.57403142</v>
      </c>
      <c r="S130" t="s">
        <v>356</v>
      </c>
      <c r="T130" t="s">
        <v>93</v>
      </c>
      <c r="U130">
        <v>1</v>
      </c>
      <c r="V130" t="s">
        <v>308</v>
      </c>
      <c r="W130" t="s">
        <v>142</v>
      </c>
      <c r="X130" t="s">
        <v>150</v>
      </c>
      <c r="Y130" s="23" t="s">
        <v>151</v>
      </c>
      <c r="AA130">
        <v>2193</v>
      </c>
      <c r="AB130" t="s">
        <v>721</v>
      </c>
      <c r="AC130" t="s">
        <v>681</v>
      </c>
      <c r="AD130" s="2">
        <v>6</v>
      </c>
      <c r="AE130" s="2" t="s">
        <v>70</v>
      </c>
      <c r="AF130" t="str">
        <f>_xlfn.CONCAT(FINI_grouping_for_wheel[[#This Row],[SEFI/Plant]],"/",IF(FINI_grouping_for_wheel[[#This Row],[RESET recipe combination]]&lt;&gt;"",FINI_grouping_for_wheel[[#This Row],[RESET recipe combination]],FINI_grouping_for_wheel[[#This Row],[Recipe Combination]]),"/",FINI_grouping_for_wheel[[#This Row],[Subgroup]])</f>
        <v>4620507/THDP/x/6</v>
      </c>
      <c r="AG1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0.08311210945476821</v>
      </c>
      <c r="AH130">
        <f>_xlfn.LET(_xlpm.pct, FINI_grouping_for_wheel[[#This Row],[% forecast within subgroup]], _xlpm.lote, FINI_grouping_for_wheel[[#This Row],[Lot size considered]], _xlpm.pct*_xlpm.lote)</f>
        <v>702.7374203899304</v>
      </c>
      <c r="AI130" cm="1">
        <f t="array" aca="1" ref="AI130" ca="1">IFERROR(INDIRECT("FINI_grouping_for_wheel[@["&amp;FINI_grouping_for_wheel[[#This Row],[Selected PV]]&amp;"]]"),"")</f>
        <v>163</v>
      </c>
      <c r="AJ13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v>
      </c>
      <c r="AL130" s="4"/>
      <c r="AM13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163</v>
      </c>
      <c r="AN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3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30" t="str">
        <f>_xlfn.CONCAT(FINI_grouping_for_wheel[[#This Row],[Recipe Combination]],FINI_grouping_for_wheel[[#This Row],[Subgroup]])</f>
        <v>R6</v>
      </c>
    </row>
    <row r="131" spans="1:55" hidden="1">
      <c r="A131" t="s">
        <v>10</v>
      </c>
      <c r="B131">
        <v>4620507</v>
      </c>
      <c r="C131" t="s">
        <v>677</v>
      </c>
      <c r="D131">
        <v>8455.29520307</v>
      </c>
      <c r="E131">
        <v>168</v>
      </c>
      <c r="F131">
        <v>3.36</v>
      </c>
      <c r="G131" t="s">
        <v>722</v>
      </c>
      <c r="H131" t="s">
        <v>723</v>
      </c>
      <c r="I131">
        <v>375</v>
      </c>
      <c r="J131" t="s">
        <v>90</v>
      </c>
      <c r="K131" t="s">
        <v>724</v>
      </c>
      <c r="L131" t="s">
        <v>725</v>
      </c>
      <c r="M131">
        <v>134.96517</v>
      </c>
      <c r="N131">
        <v>0.53986068</v>
      </c>
      <c r="O131">
        <v>16255.01565</v>
      </c>
      <c r="P131">
        <v>1419228.61294</v>
      </c>
      <c r="Q131">
        <v>8.3029861616897311E-3</v>
      </c>
      <c r="R131">
        <v>70.2041990641</v>
      </c>
      <c r="S131" t="s">
        <v>195</v>
      </c>
      <c r="T131" t="s">
        <v>93</v>
      </c>
      <c r="U131">
        <v>2.5</v>
      </c>
      <c r="V131" t="s">
        <v>105</v>
      </c>
      <c r="W131" t="s">
        <v>95</v>
      </c>
      <c r="X131" t="s">
        <v>106</v>
      </c>
      <c r="Y131" s="23" t="s">
        <v>107</v>
      </c>
      <c r="AA131">
        <v>15662</v>
      </c>
      <c r="AB131" t="s">
        <v>726</v>
      </c>
      <c r="AC131" t="s">
        <v>681</v>
      </c>
      <c r="AD131" s="2">
        <v>8</v>
      </c>
      <c r="AE131" s="2" t="s">
        <v>70</v>
      </c>
      <c r="AF131" t="str">
        <f>_xlfn.CONCAT(FINI_grouping_for_wheel[[#This Row],[SEFI/Plant]],"/",IF(FINI_grouping_for_wheel[[#This Row],[RESET recipe combination]]&lt;&gt;"",FINI_grouping_for_wheel[[#This Row],[RESET recipe combination]],FINI_grouping_for_wheel[[#This Row],[Recipe Combination]]),"/",FINI_grouping_for_wheel[[#This Row],[Subgroup]])</f>
        <v>4620507/THDP/x/8</v>
      </c>
      <c r="AG1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0.004013236640146448</v>
      </c>
      <c r="AH131">
        <f>_xlfn.LET(_xlpm.pct, FINI_grouping_for_wheel[[#This Row],[% forecast within subgroup]], _xlpm.lote, FINI_grouping_for_wheel[[#This Row],[Lot size considered]], _xlpm.pct*_xlpm.lote)</f>
        <v>33.93310051221503</v>
      </c>
      <c r="AI131" cm="1">
        <f t="array" aca="1" ref="AI131" ca="1">IFERROR(INDIRECT("FINI_grouping_for_wheel[@["&amp;FINI_grouping_for_wheel[[#This Row],[Selected PV]]&amp;"]]"),"")</f>
        <v>56</v>
      </c>
      <c r="AJ13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131" s="4"/>
      <c r="AM13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56</v>
      </c>
      <c r="AN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3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31" t="str">
        <f>_xlfn.CONCAT(FINI_grouping_for_wheel[[#This Row],[Recipe Combination]],FINI_grouping_for_wheel[[#This Row],[Subgroup]])</f>
        <v>S8</v>
      </c>
    </row>
    <row r="132" spans="1:55" hidden="1">
      <c r="A132" t="s">
        <v>10</v>
      </c>
      <c r="B132">
        <v>4620507</v>
      </c>
      <c r="C132" t="s">
        <v>677</v>
      </c>
      <c r="D132">
        <v>8455.29520307</v>
      </c>
      <c r="E132">
        <v>168</v>
      </c>
      <c r="F132">
        <v>3.36</v>
      </c>
      <c r="G132" t="s">
        <v>727</v>
      </c>
      <c r="H132" t="s">
        <v>728</v>
      </c>
      <c r="I132">
        <v>240</v>
      </c>
      <c r="J132" t="s">
        <v>90</v>
      </c>
      <c r="K132" t="s">
        <v>729</v>
      </c>
      <c r="L132" t="s">
        <v>730</v>
      </c>
      <c r="M132">
        <v>4972.401</v>
      </c>
      <c r="N132">
        <v>19.889604</v>
      </c>
      <c r="O132">
        <v>16255.01565</v>
      </c>
      <c r="P132">
        <v>1419228.61294</v>
      </c>
      <c r="Q132">
        <v>0.30589949016751639</v>
      </c>
      <c r="R132">
        <v>2586.47049183</v>
      </c>
      <c r="S132" t="s">
        <v>195</v>
      </c>
      <c r="T132" t="s">
        <v>93</v>
      </c>
      <c r="U132">
        <v>5</v>
      </c>
      <c r="V132" t="s">
        <v>196</v>
      </c>
      <c r="W132" t="s">
        <v>95</v>
      </c>
      <c r="X132" t="s">
        <v>106</v>
      </c>
      <c r="Y132" s="23" t="s">
        <v>107</v>
      </c>
      <c r="AA132">
        <v>425</v>
      </c>
      <c r="AB132" t="s">
        <v>731</v>
      </c>
      <c r="AC132" t="s">
        <v>681</v>
      </c>
      <c r="AD132" s="2">
        <v>7</v>
      </c>
      <c r="AE132" s="2" t="s">
        <v>70</v>
      </c>
      <c r="AF132" t="str">
        <f>_xlfn.CONCAT(FINI_grouping_for_wheel[[#This Row],[SEFI/Plant]],"/",IF(FINI_grouping_for_wheel[[#This Row],[RESET recipe combination]]&lt;&gt;"",FINI_grouping_for_wheel[[#This Row],[RESET recipe combination]],FINI_grouping_for_wheel[[#This Row],[Recipe Combination]]),"/",FINI_grouping_for_wheel[[#This Row],[Subgroup]])</f>
        <v>4620507/THDP/x/7</v>
      </c>
      <c r="AG1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0.13790838942702346</v>
      </c>
      <c r="AH132">
        <f>_xlfn.LET(_xlpm.pct, FINI_grouping_for_wheel[[#This Row],[% forecast within subgroup]], _xlpm.lote, FINI_grouping_for_wheel[[#This Row],[Lot size considered]], _xlpm.pct*_xlpm.lote)</f>
        <v>1166.056143585421</v>
      </c>
      <c r="AI132" cm="1">
        <f t="array" aca="1" ref="AI132" ca="1">IFERROR(INDIRECT("FINI_grouping_for_wheel[@["&amp;FINI_grouping_for_wheel[[#This Row],[Selected PV]]&amp;"]]"),"")</f>
        <v>52</v>
      </c>
      <c r="AJ13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5.1</v>
      </c>
      <c r="AL132" s="4"/>
      <c r="AM13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52</v>
      </c>
      <c r="AN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3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32" t="str">
        <f>_xlfn.CONCAT(FINI_grouping_for_wheel[[#This Row],[Recipe Combination]],FINI_grouping_for_wheel[[#This Row],[Subgroup]])</f>
        <v>S7</v>
      </c>
    </row>
    <row r="133" spans="1:55" hidden="1">
      <c r="A133" t="s">
        <v>10</v>
      </c>
      <c r="B133">
        <v>4620507</v>
      </c>
      <c r="C133" t="s">
        <v>677</v>
      </c>
      <c r="D133">
        <v>8455.29520307</v>
      </c>
      <c r="E133">
        <v>168</v>
      </c>
      <c r="F133">
        <v>3.36</v>
      </c>
      <c r="G133" t="s">
        <v>732</v>
      </c>
      <c r="H133" t="s">
        <v>733</v>
      </c>
      <c r="I133">
        <v>375</v>
      </c>
      <c r="J133" t="s">
        <v>90</v>
      </c>
      <c r="K133" t="s">
        <v>365</v>
      </c>
      <c r="L133" t="s">
        <v>366</v>
      </c>
      <c r="M133">
        <v>11147.64948</v>
      </c>
      <c r="N133">
        <v>44.59059792</v>
      </c>
      <c r="O133">
        <v>16255.01565</v>
      </c>
      <c r="P133">
        <v>1419228.61294</v>
      </c>
      <c r="Q133">
        <v>0.68579752367079383</v>
      </c>
      <c r="R133">
        <v>5798.62051217</v>
      </c>
      <c r="S133" t="s">
        <v>195</v>
      </c>
      <c r="T133" t="s">
        <v>93</v>
      </c>
      <c r="U133">
        <v>2.5</v>
      </c>
      <c r="V133" t="s">
        <v>105</v>
      </c>
      <c r="W133" t="s">
        <v>95</v>
      </c>
      <c r="X133" t="s">
        <v>106</v>
      </c>
      <c r="Y133" s="23" t="s">
        <v>107</v>
      </c>
      <c r="AA133">
        <v>190</v>
      </c>
      <c r="AB133" t="s">
        <v>734</v>
      </c>
      <c r="AC133" t="s">
        <v>681</v>
      </c>
      <c r="AD133" s="2">
        <v>8</v>
      </c>
      <c r="AE133" s="2" t="s">
        <v>70</v>
      </c>
      <c r="AF133" t="str">
        <f>_xlfn.CONCAT(FINI_grouping_for_wheel[[#This Row],[SEFI/Plant]],"/",IF(FINI_grouping_for_wheel[[#This Row],[RESET recipe combination]]&lt;&gt;"",FINI_grouping_for_wheel[[#This Row],[RESET recipe combination]],FINI_grouping_for_wheel[[#This Row],[Recipe Combination]]),"/",FINI_grouping_for_wheel[[#This Row],[Subgroup]])</f>
        <v>4620507/THDP/x/8</v>
      </c>
      <c r="AG1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0.33147926494402596</v>
      </c>
      <c r="AH133">
        <f>_xlfn.LET(_xlpm.pct, FINI_grouping_for_wheel[[#This Row],[% forecast within subgroup]], _xlpm.lote, FINI_grouping_for_wheel[[#This Row],[Lot size considered]], _xlpm.pct*_xlpm.lote)</f>
        <v>2802.7550387983924</v>
      </c>
      <c r="AI133" cm="1">
        <f t="array" aca="1" ref="AI133" ca="1">IFERROR(INDIRECT("FINI_grouping_for_wheel[@["&amp;FINI_grouping_for_wheel[[#This Row],[Selected PV]]&amp;"]]"),"")</f>
        <v>56</v>
      </c>
      <c r="AJ13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7.8</v>
      </c>
      <c r="AL133" s="4"/>
      <c r="AM13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56</v>
      </c>
      <c r="AN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3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33" t="str">
        <f>_xlfn.CONCAT(FINI_grouping_for_wheel[[#This Row],[Recipe Combination]],FINI_grouping_for_wheel[[#This Row],[Subgroup]])</f>
        <v>S8</v>
      </c>
    </row>
    <row r="134" spans="1:55" hidden="1">
      <c r="A134" t="s">
        <v>10</v>
      </c>
      <c r="B134">
        <v>4620507</v>
      </c>
      <c r="C134" t="s">
        <v>677</v>
      </c>
      <c r="D134">
        <v>8455.29520307</v>
      </c>
      <c r="E134">
        <v>168</v>
      </c>
      <c r="F134">
        <v>3.36</v>
      </c>
      <c r="G134" t="s">
        <v>735</v>
      </c>
      <c r="H134" t="s">
        <v>736</v>
      </c>
      <c r="I134">
        <v>495</v>
      </c>
      <c r="J134" t="s">
        <v>90</v>
      </c>
      <c r="K134" t="s">
        <v>412</v>
      </c>
      <c r="L134" t="s">
        <v>413</v>
      </c>
      <c r="M134">
        <v>424589.769675</v>
      </c>
      <c r="N134">
        <v>1698.3590787</v>
      </c>
      <c r="O134">
        <v>424589.769675</v>
      </c>
      <c r="P134">
        <v>1419228.61294</v>
      </c>
      <c r="Q134">
        <v>1</v>
      </c>
      <c r="R134">
        <v>8455.29520307</v>
      </c>
      <c r="S134" t="s">
        <v>224</v>
      </c>
      <c r="T134" t="s">
        <v>93</v>
      </c>
      <c r="U134">
        <v>15</v>
      </c>
      <c r="V134" t="s">
        <v>408</v>
      </c>
      <c r="W134" t="s">
        <v>95</v>
      </c>
      <c r="X134" t="s">
        <v>96</v>
      </c>
      <c r="Y134" s="23" t="s">
        <v>97</v>
      </c>
      <c r="AA134">
        <v>5</v>
      </c>
      <c r="AB134" t="s">
        <v>737</v>
      </c>
      <c r="AC134" t="s">
        <v>681</v>
      </c>
      <c r="AD134" s="2">
        <v>1</v>
      </c>
      <c r="AE134" s="2" t="s">
        <v>70</v>
      </c>
      <c r="AF134" t="str">
        <f>_xlfn.CONCAT(FINI_grouping_for_wheel[[#This Row],[SEFI/Plant]],"/",IF(FINI_grouping_for_wheel[[#This Row],[RESET recipe combination]]&lt;&gt;"",FINI_grouping_for_wheel[[#This Row],[RESET recipe combination]],FINI_grouping_for_wheel[[#This Row],[Recipe Combination]]),"/",FINI_grouping_for_wheel[[#This Row],[Subgroup]])</f>
        <v>4620507/THDP/x/1</v>
      </c>
      <c r="AG1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34">
        <f>_xlfn.LET(_xlpm.pct, FINI_grouping_for_wheel[[#This Row],[% forecast within subgroup]], _xlpm.lote, FINI_grouping_for_wheel[[#This Row],[Lot size considered]], _xlpm.pct*_xlpm.lote)</f>
        <v>8455.29520307</v>
      </c>
      <c r="AI134" cm="1">
        <f t="array" aca="1" ref="AI134" ca="1">IFERROR(INDIRECT("FINI_grouping_for_wheel[@["&amp;FINI_grouping_for_wheel[[#This Row],[Selected PV]]&amp;"]]"),"")</f>
        <v>4</v>
      </c>
      <c r="AJ13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17.9</v>
      </c>
      <c r="AL134" s="4"/>
      <c r="AM13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v>
      </c>
      <c r="AN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3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34" t="str">
        <f>_xlfn.CONCAT(FINI_grouping_for_wheel[[#This Row],[Recipe Combination]],FINI_grouping_for_wheel[[#This Row],[Subgroup]])</f>
        <v>V1</v>
      </c>
    </row>
    <row r="135" spans="1:55" hidden="1">
      <c r="A135" t="s">
        <v>10</v>
      </c>
      <c r="B135">
        <v>4620507</v>
      </c>
      <c r="C135" t="s">
        <v>677</v>
      </c>
      <c r="D135">
        <v>8455.29520307</v>
      </c>
      <c r="E135">
        <v>168</v>
      </c>
      <c r="F135">
        <v>3.36</v>
      </c>
      <c r="G135" t="s">
        <v>738</v>
      </c>
      <c r="H135" t="s">
        <v>739</v>
      </c>
      <c r="I135">
        <v>396</v>
      </c>
      <c r="J135" t="s">
        <v>90</v>
      </c>
      <c r="K135" t="s">
        <v>740</v>
      </c>
      <c r="L135" t="s">
        <v>741</v>
      </c>
      <c r="M135">
        <v>253620.86472</v>
      </c>
      <c r="N135">
        <v>1014.48345888</v>
      </c>
      <c r="O135">
        <v>253620.86472</v>
      </c>
      <c r="P135">
        <v>1419228.61294</v>
      </c>
      <c r="Q135">
        <v>1</v>
      </c>
      <c r="R135">
        <v>8455.29520307</v>
      </c>
      <c r="S135" t="s">
        <v>230</v>
      </c>
      <c r="T135" t="s">
        <v>93</v>
      </c>
      <c r="U135">
        <v>12</v>
      </c>
      <c r="V135" t="s">
        <v>238</v>
      </c>
      <c r="W135" t="s">
        <v>95</v>
      </c>
      <c r="X135" t="s">
        <v>96</v>
      </c>
      <c r="Y135" s="23" t="s">
        <v>97</v>
      </c>
      <c r="AA135">
        <v>8</v>
      </c>
      <c r="AB135" t="s">
        <v>742</v>
      </c>
      <c r="AC135" t="s">
        <v>681</v>
      </c>
      <c r="AD135" s="2">
        <v>2</v>
      </c>
      <c r="AE135" s="2" t="s">
        <v>70</v>
      </c>
      <c r="AF135" t="str">
        <f>_xlfn.CONCAT(FINI_grouping_for_wheel[[#This Row],[SEFI/Plant]],"/",IF(FINI_grouping_for_wheel[[#This Row],[RESET recipe combination]]&lt;&gt;"",FINI_grouping_for_wheel[[#This Row],[RESET recipe combination]],FINI_grouping_for_wheel[[#This Row],[Recipe Combination]]),"/",FINI_grouping_for_wheel[[#This Row],[Subgroup]])</f>
        <v>4620507/THDP/x/2</v>
      </c>
      <c r="AG1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0.4986661824885823</v>
      </c>
      <c r="AH135">
        <f>_xlfn.LET(_xlpm.pct, FINI_grouping_for_wheel[[#This Row],[% forecast within subgroup]], _xlpm.lote, FINI_grouping_for_wheel[[#This Row],[Lot size considered]], _xlpm.pct*_xlpm.lote)</f>
        <v>4216.369780728939</v>
      </c>
      <c r="AI135" cm="1">
        <f t="array" aca="1" ref="AI135" ca="1">IFERROR(INDIRECT("FINI_grouping_for_wheel[@["&amp;FINI_grouping_for_wheel[[#This Row],[Selected PV]]&amp;"]]"),"")</f>
        <v>4</v>
      </c>
      <c r="AJ13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11.2</v>
      </c>
      <c r="AL135" s="4"/>
      <c r="AM13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v>
      </c>
      <c r="AN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3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35" t="str">
        <f>_xlfn.CONCAT(FINI_grouping_for_wheel[[#This Row],[Recipe Combination]],FINI_grouping_for_wheel[[#This Row],[Subgroup]])</f>
        <v>W2</v>
      </c>
    </row>
    <row r="136" spans="1:55" hidden="1">
      <c r="A136" t="s">
        <v>10</v>
      </c>
      <c r="B136">
        <v>4620507</v>
      </c>
      <c r="C136" t="s">
        <v>677</v>
      </c>
      <c r="D136">
        <v>8455.29520307</v>
      </c>
      <c r="E136">
        <v>168</v>
      </c>
      <c r="F136">
        <v>3.36</v>
      </c>
      <c r="G136" t="s">
        <v>743</v>
      </c>
      <c r="H136" t="s">
        <v>744</v>
      </c>
      <c r="I136">
        <v>285</v>
      </c>
      <c r="J136" t="s">
        <v>90</v>
      </c>
      <c r="K136" t="s">
        <v>396</v>
      </c>
      <c r="L136" t="s">
        <v>397</v>
      </c>
      <c r="M136">
        <v>254977.61985</v>
      </c>
      <c r="N136">
        <v>1019.9104794</v>
      </c>
      <c r="O136">
        <v>605247.75315</v>
      </c>
      <c r="P136">
        <v>1419228.61294</v>
      </c>
      <c r="Q136">
        <v>0.42127809400856758</v>
      </c>
      <c r="R136">
        <v>3562.03064743</v>
      </c>
      <c r="S136" t="s">
        <v>387</v>
      </c>
      <c r="T136" t="s">
        <v>93</v>
      </c>
      <c r="U136">
        <v>10</v>
      </c>
      <c r="V136" t="s">
        <v>238</v>
      </c>
      <c r="W136" t="s">
        <v>142</v>
      </c>
      <c r="X136" t="s">
        <v>96</v>
      </c>
      <c r="Y136" s="23" t="s">
        <v>97</v>
      </c>
      <c r="AA136">
        <v>8</v>
      </c>
      <c r="AB136" t="s">
        <v>745</v>
      </c>
      <c r="AC136" t="s">
        <v>681</v>
      </c>
      <c r="AD136" s="2">
        <v>2</v>
      </c>
      <c r="AE136" s="2" t="s">
        <v>70</v>
      </c>
      <c r="AF136" t="str">
        <f>_xlfn.CONCAT(FINI_grouping_for_wheel[[#This Row],[SEFI/Plant]],"/",IF(FINI_grouping_for_wheel[[#This Row],[RESET recipe combination]]&lt;&gt;"",FINI_grouping_for_wheel[[#This Row],[RESET recipe combination]],FINI_grouping_for_wheel[[#This Row],[Recipe Combination]]),"/",FINI_grouping_for_wheel[[#This Row],[Subgroup]])</f>
        <v>4620507/THDP/x/2</v>
      </c>
      <c r="AG1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0.5013338175114178</v>
      </c>
      <c r="AH136">
        <f>_xlfn.LET(_xlpm.pct, FINI_grouping_for_wheel[[#This Row],[% forecast within subgroup]], _xlpm.lote, FINI_grouping_for_wheel[[#This Row],[Lot size considered]], _xlpm.pct*_xlpm.lote)</f>
        <v>4238.925422341062</v>
      </c>
      <c r="AI136" cm="1">
        <f t="array" aca="1" ref="AI136" ca="1">IFERROR(INDIRECT("FINI_grouping_for_wheel[@["&amp;FINI_grouping_for_wheel[[#This Row],[Selected PV]]&amp;"]]"),"")</f>
        <v>4</v>
      </c>
      <c r="AJ13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15.6</v>
      </c>
      <c r="AL136" s="4"/>
      <c r="AM13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v>
      </c>
      <c r="AN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3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36" t="str">
        <f>_xlfn.CONCAT(FINI_grouping_for_wheel[[#This Row],[Recipe Combination]],FINI_grouping_for_wheel[[#This Row],[Subgroup]])</f>
        <v>X2</v>
      </c>
    </row>
    <row r="137" spans="1:55" hidden="1">
      <c r="A137" t="s">
        <v>10</v>
      </c>
      <c r="B137">
        <v>4620507</v>
      </c>
      <c r="C137" t="s">
        <v>677</v>
      </c>
      <c r="D137">
        <v>8455.29520307</v>
      </c>
      <c r="E137">
        <v>168</v>
      </c>
      <c r="F137">
        <v>3.36</v>
      </c>
      <c r="G137" t="s">
        <v>746</v>
      </c>
      <c r="H137" t="s">
        <v>747</v>
      </c>
      <c r="I137">
        <v>495</v>
      </c>
      <c r="J137" t="s">
        <v>90</v>
      </c>
      <c r="K137" t="s">
        <v>406</v>
      </c>
      <c r="L137" t="s">
        <v>407</v>
      </c>
      <c r="M137">
        <v>97459.0596</v>
      </c>
      <c r="N137">
        <v>389.8362384</v>
      </c>
      <c r="O137">
        <v>605247.75315</v>
      </c>
      <c r="P137">
        <v>1419228.61294</v>
      </c>
      <c r="Q137">
        <v>0.16102341411888973</v>
      </c>
      <c r="R137">
        <v>1361.50050098</v>
      </c>
      <c r="S137" t="s">
        <v>387</v>
      </c>
      <c r="T137" t="s">
        <v>93</v>
      </c>
      <c r="U137">
        <v>15</v>
      </c>
      <c r="V137" t="s">
        <v>408</v>
      </c>
      <c r="W137" t="s">
        <v>142</v>
      </c>
      <c r="X137" t="s">
        <v>96</v>
      </c>
      <c r="Y137" s="23" t="s">
        <v>97</v>
      </c>
      <c r="AA137">
        <v>22</v>
      </c>
      <c r="AB137" t="s">
        <v>748</v>
      </c>
      <c r="AC137" t="s">
        <v>681</v>
      </c>
      <c r="AD137" s="2">
        <v>4</v>
      </c>
      <c r="AE137" s="2" t="s">
        <v>70</v>
      </c>
      <c r="AF137" t="str">
        <f>_xlfn.CONCAT(FINI_grouping_for_wheel[[#This Row],[SEFI/Plant]],"/",IF(FINI_grouping_for_wheel[[#This Row],[RESET recipe combination]]&lt;&gt;"",FINI_grouping_for_wheel[[#This Row],[RESET recipe combination]],FINI_grouping_for_wheel[[#This Row],[Recipe Combination]]),"/",FINI_grouping_for_wheel[[#This Row],[Subgroup]])</f>
        <v>4620507/THDP/x/4</v>
      </c>
      <c r="AG1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0.5059929928084086</v>
      </c>
      <c r="AH137">
        <f>_xlfn.LET(_xlpm.pct, FINI_grouping_for_wheel[[#This Row],[% forecast within subgroup]], _xlpm.lote, FINI_grouping_for_wheel[[#This Row],[Lot size considered]], _xlpm.pct*_xlpm.lote)</f>
        <v>4278.3201248799705</v>
      </c>
      <c r="AI137" cm="1">
        <f t="array" aca="1" ref="AI137" ca="1">IFERROR(INDIRECT("FINI_grouping_for_wheel[@["&amp;FINI_grouping_for_wheel[[#This Row],[Selected PV]]&amp;"]]"),"")</f>
        <v>10</v>
      </c>
      <c r="AJ13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9.1</v>
      </c>
      <c r="AL137" s="4"/>
      <c r="AM13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v>
      </c>
      <c r="AN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3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37" t="str">
        <f>_xlfn.CONCAT(FINI_grouping_for_wheel[[#This Row],[Recipe Combination]],FINI_grouping_for_wheel[[#This Row],[Subgroup]])</f>
        <v>X4</v>
      </c>
    </row>
    <row r="138" spans="1:55" hidden="1">
      <c r="A138" t="s">
        <v>10</v>
      </c>
      <c r="B138">
        <v>4620507</v>
      </c>
      <c r="C138" t="s">
        <v>677</v>
      </c>
      <c r="D138">
        <v>8455.29520307</v>
      </c>
      <c r="E138">
        <v>168</v>
      </c>
      <c r="F138">
        <v>3.36</v>
      </c>
      <c r="G138" t="s">
        <v>749</v>
      </c>
      <c r="H138" t="s">
        <v>750</v>
      </c>
      <c r="I138">
        <v>385</v>
      </c>
      <c r="J138" t="s">
        <v>90</v>
      </c>
      <c r="K138" t="s">
        <v>385</v>
      </c>
      <c r="L138" t="s">
        <v>386</v>
      </c>
      <c r="M138">
        <v>108729.8352</v>
      </c>
      <c r="N138">
        <v>434.9193408</v>
      </c>
      <c r="O138">
        <v>605247.75315</v>
      </c>
      <c r="P138">
        <v>1419228.61294</v>
      </c>
      <c r="Q138">
        <v>0.1796451694931831</v>
      </c>
      <c r="R138">
        <v>1518.95293987</v>
      </c>
      <c r="S138" t="s">
        <v>387</v>
      </c>
      <c r="T138" t="s">
        <v>93</v>
      </c>
      <c r="U138">
        <v>10</v>
      </c>
      <c r="V138" t="s">
        <v>94</v>
      </c>
      <c r="W138" t="s">
        <v>95</v>
      </c>
      <c r="X138" t="s">
        <v>96</v>
      </c>
      <c r="Y138" s="23" t="s">
        <v>97</v>
      </c>
      <c r="AA138">
        <v>19</v>
      </c>
      <c r="AB138" t="s">
        <v>751</v>
      </c>
      <c r="AC138" t="s">
        <v>681</v>
      </c>
      <c r="AD138" s="2">
        <v>3</v>
      </c>
      <c r="AE138" s="2" t="s">
        <v>70</v>
      </c>
      <c r="AF138" t="str">
        <f>_xlfn.CONCAT(FINI_grouping_for_wheel[[#This Row],[SEFI/Plant]],"/",IF(FINI_grouping_for_wheel[[#This Row],[RESET recipe combination]]&lt;&gt;"",FINI_grouping_for_wheel[[#This Row],[RESET recipe combination]],FINI_grouping_for_wheel[[#This Row],[Recipe Combination]]),"/",FINI_grouping_for_wheel[[#This Row],[Subgroup]])</f>
        <v>4620507/THDP/x/3</v>
      </c>
      <c r="AG1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38">
        <f>_xlfn.LET(_xlpm.pct, FINI_grouping_for_wheel[[#This Row],[% forecast within subgroup]], _xlpm.lote, FINI_grouping_for_wheel[[#This Row],[Lot size considered]], _xlpm.pct*_xlpm.lote)</f>
        <v>8455.29520307</v>
      </c>
      <c r="AI138" cm="1">
        <f t="array" aca="1" ref="AI138" ca="1">IFERROR(INDIRECT("FINI_grouping_for_wheel[@["&amp;FINI_grouping_for_wheel[[#This Row],[Selected PV]]&amp;"]]"),"")</f>
        <v>17</v>
      </c>
      <c r="AJ13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23.1</v>
      </c>
      <c r="AL138" s="4"/>
      <c r="AM13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v>
      </c>
      <c r="AN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3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38" t="str">
        <f>_xlfn.CONCAT(FINI_grouping_for_wheel[[#This Row],[Recipe Combination]],FINI_grouping_for_wheel[[#This Row],[Subgroup]])</f>
        <v>X3</v>
      </c>
    </row>
    <row r="139" spans="1:55" hidden="1">
      <c r="A139" t="s">
        <v>10</v>
      </c>
      <c r="B139">
        <v>4620507</v>
      </c>
      <c r="C139" t="s">
        <v>677</v>
      </c>
      <c r="D139">
        <v>8455.29520307</v>
      </c>
      <c r="E139">
        <v>168</v>
      </c>
      <c r="F139">
        <v>3.36</v>
      </c>
      <c r="G139" t="s">
        <v>752</v>
      </c>
      <c r="H139" t="s">
        <v>753</v>
      </c>
      <c r="I139">
        <v>385</v>
      </c>
      <c r="J139" t="s">
        <v>90</v>
      </c>
      <c r="K139" t="s">
        <v>754</v>
      </c>
      <c r="L139" t="s">
        <v>755</v>
      </c>
      <c r="M139">
        <v>48930.79365</v>
      </c>
      <c r="N139">
        <v>195.7231746</v>
      </c>
      <c r="O139">
        <v>605247.75315</v>
      </c>
      <c r="P139">
        <v>1419228.61294</v>
      </c>
      <c r="Q139">
        <v>8.0844238405414395E-2</v>
      </c>
      <c r="R139">
        <v>683.561901185</v>
      </c>
      <c r="S139" t="s">
        <v>387</v>
      </c>
      <c r="T139" t="s">
        <v>93</v>
      </c>
      <c r="U139">
        <v>10</v>
      </c>
      <c r="V139" t="s">
        <v>94</v>
      </c>
      <c r="W139" t="s">
        <v>95</v>
      </c>
      <c r="X139" t="s">
        <v>96</v>
      </c>
      <c r="Y139" s="23" t="s">
        <v>97</v>
      </c>
      <c r="AA139">
        <v>43</v>
      </c>
      <c r="AB139" t="s">
        <v>756</v>
      </c>
      <c r="AC139" t="s">
        <v>681</v>
      </c>
      <c r="AD139" s="2">
        <v>5</v>
      </c>
      <c r="AE139" s="2" t="s">
        <v>70</v>
      </c>
      <c r="AF139" t="str">
        <f>_xlfn.CONCAT(FINI_grouping_for_wheel[[#This Row],[SEFI/Plant]],"/",IF(FINI_grouping_for_wheel[[#This Row],[RESET recipe combination]]&lt;&gt;"",FINI_grouping_for_wheel[[#This Row],[RESET recipe combination]],FINI_grouping_for_wheel[[#This Row],[Recipe Combination]]),"/",FINI_grouping_for_wheel[[#This Row],[Subgroup]])</f>
        <v>4620507/THDP/x/5</v>
      </c>
      <c r="AG1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0.8996517196343057</v>
      </c>
      <c r="AH139">
        <f>_xlfn.LET(_xlpm.pct, FINI_grouping_for_wheel[[#This Row],[% forecast within subgroup]], _xlpm.lote, FINI_grouping_for_wheel[[#This Row],[Lot size considered]], _xlpm.pct*_xlpm.lote)</f>
        <v>7606.8208694576215</v>
      </c>
      <c r="AI139" cm="1">
        <f t="array" aca="1" ref="AI139" ca="1">IFERROR(INDIRECT("FINI_grouping_for_wheel[@["&amp;FINI_grouping_for_wheel[[#This Row],[Selected PV]]&amp;"]]"),"")</f>
        <v>35</v>
      </c>
      <c r="AJ13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20.7</v>
      </c>
      <c r="AL139" s="4"/>
      <c r="AM13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35</v>
      </c>
      <c r="AN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3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39" t="str">
        <f>_xlfn.CONCAT(FINI_grouping_for_wheel[[#This Row],[Recipe Combination]],FINI_grouping_for_wheel[[#This Row],[Subgroup]])</f>
        <v>X5</v>
      </c>
    </row>
    <row r="140" spans="1:55" hidden="1">
      <c r="A140" t="s">
        <v>10</v>
      </c>
      <c r="B140">
        <v>4620507</v>
      </c>
      <c r="C140" t="s">
        <v>677</v>
      </c>
      <c r="D140">
        <v>8455.29520307</v>
      </c>
      <c r="E140">
        <v>168</v>
      </c>
      <c r="F140">
        <v>3.36</v>
      </c>
      <c r="G140" t="s">
        <v>757</v>
      </c>
      <c r="H140" t="s">
        <v>758</v>
      </c>
      <c r="I140">
        <v>495</v>
      </c>
      <c r="J140" t="s">
        <v>90</v>
      </c>
      <c r="K140" t="s">
        <v>406</v>
      </c>
      <c r="L140" t="s">
        <v>407</v>
      </c>
      <c r="M140">
        <v>95150.44485</v>
      </c>
      <c r="N140">
        <v>380.6017794</v>
      </c>
      <c r="O140">
        <v>605247.75315</v>
      </c>
      <c r="P140">
        <v>1419228.61294</v>
      </c>
      <c r="Q140">
        <v>0.1572090839739452</v>
      </c>
      <c r="R140">
        <v>1329.2492136</v>
      </c>
      <c r="S140" t="s">
        <v>387</v>
      </c>
      <c r="T140" t="s">
        <v>93</v>
      </c>
      <c r="U140">
        <v>15</v>
      </c>
      <c r="V140" t="s">
        <v>408</v>
      </c>
      <c r="W140" t="s">
        <v>142</v>
      </c>
      <c r="X140" t="s">
        <v>96</v>
      </c>
      <c r="Y140" s="23" t="s">
        <v>97</v>
      </c>
      <c r="AA140">
        <v>22</v>
      </c>
      <c r="AB140" t="s">
        <v>759</v>
      </c>
      <c r="AC140" t="s">
        <v>681</v>
      </c>
      <c r="AD140" s="2">
        <v>4</v>
      </c>
      <c r="AE140" s="2" t="s">
        <v>70</v>
      </c>
      <c r="AF140" t="str">
        <f>_xlfn.CONCAT(FINI_grouping_for_wheel[[#This Row],[SEFI/Plant]],"/",IF(FINI_grouping_for_wheel[[#This Row],[RESET recipe combination]]&lt;&gt;"",FINI_grouping_for_wheel[[#This Row],[RESET recipe combination]],FINI_grouping_for_wheel[[#This Row],[Recipe Combination]]),"/",FINI_grouping_for_wheel[[#This Row],[Subgroup]])</f>
        <v>4620507/THDP/x/4</v>
      </c>
      <c r="AG1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0.49400700719159135</v>
      </c>
      <c r="AH140">
        <f>_xlfn.LET(_xlpm.pct, FINI_grouping_for_wheel[[#This Row],[% forecast within subgroup]], _xlpm.lote, FINI_grouping_for_wheel[[#This Row],[Lot size considered]], _xlpm.pct*_xlpm.lote)</f>
        <v>4176.975078190029</v>
      </c>
      <c r="AI140" cm="1">
        <f t="array" aca="1" ref="AI140" ca="1">IFERROR(INDIRECT("FINI_grouping_for_wheel[@["&amp;FINI_grouping_for_wheel[[#This Row],[Selected PV]]&amp;"]]"),"")</f>
        <v>10</v>
      </c>
      <c r="AJ14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1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8.9</v>
      </c>
      <c r="AL140" s="4"/>
      <c r="AM14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v>
      </c>
      <c r="AN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4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40" t="str">
        <f>_xlfn.CONCAT(FINI_grouping_for_wheel[[#This Row],[Recipe Combination]],FINI_grouping_for_wheel[[#This Row],[Subgroup]])</f>
        <v>X4</v>
      </c>
    </row>
    <row r="141" spans="1:55" hidden="1">
      <c r="A141" t="s">
        <v>10</v>
      </c>
      <c r="B141" s="23">
        <v>4558617</v>
      </c>
      <c r="C141" t="s">
        <v>760</v>
      </c>
      <c r="D141">
        <v>8713.75670048</v>
      </c>
      <c r="E141">
        <v>161</v>
      </c>
      <c r="F141">
        <v>3.22</v>
      </c>
      <c r="G141" s="23" t="s">
        <v>761</v>
      </c>
      <c r="H141" s="23" t="s">
        <v>762</v>
      </c>
      <c r="J141" t="s">
        <v>90</v>
      </c>
      <c r="K141" t="s">
        <v>312</v>
      </c>
      <c r="L141" t="s">
        <v>313</v>
      </c>
      <c r="M141">
        <v>3050.923185</v>
      </c>
      <c r="N141">
        <v>12.20369274</v>
      </c>
      <c r="O141">
        <v>273512.83653</v>
      </c>
      <c r="P141">
        <v>1394706.38868</v>
      </c>
      <c r="Q141">
        <v>1.1154588661016509E-2</v>
      </c>
      <c r="R141">
        <v>97.1983716861</v>
      </c>
      <c r="S141" t="s">
        <v>471</v>
      </c>
      <c r="T141" t="s">
        <v>93</v>
      </c>
      <c r="U141">
        <v>1</v>
      </c>
      <c r="V141" t="s">
        <v>315</v>
      </c>
      <c r="W141" t="s">
        <v>142</v>
      </c>
      <c r="X141" t="s">
        <v>150</v>
      </c>
      <c r="Y141" s="23" t="s">
        <v>151</v>
      </c>
      <c r="AA141">
        <v>714</v>
      </c>
      <c r="AB141" t="s">
        <v>763</v>
      </c>
      <c r="AC141" t="s">
        <v>764</v>
      </c>
      <c r="AD141" s="2">
        <v>11</v>
      </c>
      <c r="AE141" s="2" t="s">
        <v>70</v>
      </c>
      <c r="AF141" t="str">
        <f>_xlfn.CONCAT(FINI_grouping_for_wheel[[#This Row],[SEFI/Plant]],"/",IF(FINI_grouping_for_wheel[[#This Row],[RESET recipe combination]]&lt;&gt;"",FINI_grouping_for_wheel[[#This Row],[RESET recipe combination]],FINI_grouping_for_wheel[[#This Row],[Recipe Combination]]),"/",FINI_grouping_for_wheel[[#This Row],[Subgroup]])</f>
        <v>4558617/THDP/x/11</v>
      </c>
      <c r="AG1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0.19107288500037073</v>
      </c>
      <c r="AH141">
        <f>_xlfn.LET(_xlpm.pct, FINI_grouping_for_wheel[[#This Row],[% forecast within subgroup]], _xlpm.lote, FINI_grouping_for_wheel[[#This Row],[Lot size considered]], _xlpm.pct*_xlpm.lote)</f>
        <v>1664.962631952025</v>
      </c>
      <c r="AI141" cm="1">
        <f t="array" aca="1" ref="AI141" ca="1">IFERROR(INDIRECT("FINI_grouping_for_wheel[@["&amp;FINI_grouping_for_wheel[[#This Row],[Selected PV]]&amp;"]]"),"")</f>
        <v>119</v>
      </c>
      <c r="AJ14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4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141" s="4"/>
      <c r="AM14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119</v>
      </c>
      <c r="AN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4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41" t="str">
        <f>_xlfn.CONCAT(FINI_grouping_for_wheel[[#This Row],[Recipe Combination]],FINI_grouping_for_wheel[[#This Row],[Subgroup]])</f>
        <v>11</v>
      </c>
    </row>
    <row r="142" spans="1:55" hidden="1">
      <c r="A142" t="s">
        <v>10</v>
      </c>
      <c r="B142" s="23">
        <v>4558617</v>
      </c>
      <c r="C142" t="s">
        <v>760</v>
      </c>
      <c r="D142">
        <v>8713.75670048</v>
      </c>
      <c r="E142">
        <v>161</v>
      </c>
      <c r="F142">
        <v>3.22</v>
      </c>
      <c r="G142" s="23" t="s">
        <v>765</v>
      </c>
      <c r="H142" s="23" t="s">
        <v>766</v>
      </c>
      <c r="J142" t="s">
        <v>90</v>
      </c>
      <c r="K142" t="s">
        <v>312</v>
      </c>
      <c r="L142" t="s">
        <v>313</v>
      </c>
      <c r="M142">
        <v>7687.095165</v>
      </c>
      <c r="N142">
        <v>30.74838066</v>
      </c>
      <c r="O142">
        <v>273512.83653</v>
      </c>
      <c r="P142">
        <v>1394706.38868</v>
      </c>
      <c r="Q142">
        <v>2.8105061767939539E-2</v>
      </c>
      <c r="R142">
        <v>244.900670298</v>
      </c>
      <c r="S142" t="s">
        <v>471</v>
      </c>
      <c r="T142" t="s">
        <v>93</v>
      </c>
      <c r="U142">
        <v>1</v>
      </c>
      <c r="V142" t="s">
        <v>315</v>
      </c>
      <c r="W142" t="s">
        <v>142</v>
      </c>
      <c r="X142" t="s">
        <v>150</v>
      </c>
      <c r="Y142" s="23" t="s">
        <v>151</v>
      </c>
      <c r="AA142">
        <v>283</v>
      </c>
      <c r="AB142" t="s">
        <v>767</v>
      </c>
      <c r="AC142" t="s">
        <v>764</v>
      </c>
      <c r="AD142" s="2">
        <v>11</v>
      </c>
      <c r="AE142" s="2" t="s">
        <v>70</v>
      </c>
      <c r="AF142" t="str">
        <f>_xlfn.CONCAT(FINI_grouping_for_wheel[[#This Row],[SEFI/Plant]],"/",IF(FINI_grouping_for_wheel[[#This Row],[RESET recipe combination]]&lt;&gt;"",FINI_grouping_for_wheel[[#This Row],[RESET recipe combination]],FINI_grouping_for_wheel[[#This Row],[Recipe Combination]]),"/",FINI_grouping_for_wheel[[#This Row],[Subgroup]])</f>
        <v>4558617/THDP/x/11</v>
      </c>
      <c r="AG1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0.4814265589085786</v>
      </c>
      <c r="AH142">
        <f>_xlfn.LET(_xlpm.pct, FINI_grouping_for_wheel[[#This Row],[% forecast within subgroup]], _xlpm.lote, FINI_grouping_for_wheel[[#This Row],[Lot size considered]], _xlpm.pct*_xlpm.lote)</f>
        <v>4195.033903478657</v>
      </c>
      <c r="AI142" cm="1">
        <f t="array" aca="1" ref="AI142" ca="1">IFERROR(INDIRECT("FINI_grouping_for_wheel[@["&amp;FINI_grouping_for_wheel[[#This Row],[Selected PV]]&amp;"]]"),"")</f>
        <v>119</v>
      </c>
      <c r="AJ14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42"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142" s="4"/>
      <c r="AM14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119</v>
      </c>
      <c r="AN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4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42" t="str">
        <f>_xlfn.CONCAT(FINI_grouping_for_wheel[[#This Row],[Recipe Combination]],FINI_grouping_for_wheel[[#This Row],[Subgroup]])</f>
        <v>11</v>
      </c>
    </row>
    <row r="143" spans="1:55" hidden="1">
      <c r="A143" t="s">
        <v>10</v>
      </c>
      <c r="B143" s="23">
        <v>4558617</v>
      </c>
      <c r="C143" t="s">
        <v>760</v>
      </c>
      <c r="D143">
        <v>8713.75670048</v>
      </c>
      <c r="E143">
        <v>161</v>
      </c>
      <c r="F143">
        <v>3.22</v>
      </c>
      <c r="G143" s="23" t="s">
        <v>768</v>
      </c>
      <c r="H143" s="23" t="s">
        <v>769</v>
      </c>
      <c r="J143" t="s">
        <v>90</v>
      </c>
      <c r="K143" t="s">
        <v>264</v>
      </c>
      <c r="L143" t="s">
        <v>265</v>
      </c>
      <c r="M143">
        <v>13578.206445</v>
      </c>
      <c r="N143">
        <v>54.31282578</v>
      </c>
      <c r="O143">
        <v>273512.83653</v>
      </c>
      <c r="P143">
        <v>1394706.38868</v>
      </c>
      <c r="Q143">
        <v>4.9643763039657875E-2</v>
      </c>
      <c r="R143">
        <v>432.583672824</v>
      </c>
      <c r="S143" t="s">
        <v>471</v>
      </c>
      <c r="T143" t="s">
        <v>93</v>
      </c>
      <c r="U143">
        <v>2.5</v>
      </c>
      <c r="V143" t="s">
        <v>267</v>
      </c>
      <c r="W143" t="s">
        <v>142</v>
      </c>
      <c r="X143" t="s">
        <v>150</v>
      </c>
      <c r="Y143" s="23" t="s">
        <v>151</v>
      </c>
      <c r="AA143">
        <v>160</v>
      </c>
      <c r="AB143" t="s">
        <v>770</v>
      </c>
      <c r="AC143" t="s">
        <v>764</v>
      </c>
      <c r="AD143" s="2">
        <v>9</v>
      </c>
      <c r="AE143" s="2" t="s">
        <v>70</v>
      </c>
      <c r="AF143" t="str">
        <f>_xlfn.CONCAT(FINI_grouping_for_wheel[[#This Row],[SEFI/Plant]],"/",IF(FINI_grouping_for_wheel[[#This Row],[RESET recipe combination]]&lt;&gt;"",FINI_grouping_for_wheel[[#This Row],[RESET recipe combination]],FINI_grouping_for_wheel[[#This Row],[Recipe Combination]]),"/",FINI_grouping_for_wheel[[#This Row],[Subgroup]])</f>
        <v>4558617/THDP/x/9</v>
      </c>
      <c r="AG1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0.3565898703479153</v>
      </c>
      <c r="AH143">
        <f>_xlfn.LET(_xlpm.pct, FINI_grouping_for_wheel[[#This Row],[% forecast within subgroup]], _xlpm.lote, FINI_grouping_for_wheel[[#This Row],[Lot size considered]], _xlpm.pct*_xlpm.lote)</f>
        <v>3107.2373720674414</v>
      </c>
      <c r="AI143" cm="1">
        <f t="array" aca="1" ref="AI143" ca="1">IFERROR(INDIRECT("FINI_grouping_for_wheel[@["&amp;FINI_grouping_for_wheel[[#This Row],[Selected PV]]&amp;"]]"),"")</f>
        <v>50</v>
      </c>
      <c r="AJ14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4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143" s="4"/>
      <c r="AM14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50</v>
      </c>
      <c r="AN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4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43" t="str">
        <f>_xlfn.CONCAT(FINI_grouping_for_wheel[[#This Row],[Recipe Combination]],FINI_grouping_for_wheel[[#This Row],[Subgroup]])</f>
        <v>9</v>
      </c>
    </row>
    <row r="144" spans="1:55" hidden="1">
      <c r="A144" t="s">
        <v>10</v>
      </c>
      <c r="B144" s="23">
        <v>4558617</v>
      </c>
      <c r="C144" t="s">
        <v>760</v>
      </c>
      <c r="D144">
        <v>8713.75670048</v>
      </c>
      <c r="E144">
        <v>161</v>
      </c>
      <c r="F144">
        <v>3.22</v>
      </c>
      <c r="G144" s="23" t="s">
        <v>771</v>
      </c>
      <c r="H144" s="23" t="s">
        <v>772</v>
      </c>
      <c r="J144" t="s">
        <v>90</v>
      </c>
      <c r="K144" t="s">
        <v>312</v>
      </c>
      <c r="L144" t="s">
        <v>313</v>
      </c>
      <c r="M144">
        <v>5229.308385</v>
      </c>
      <c r="N144">
        <v>20.91723354</v>
      </c>
      <c r="O144">
        <v>273512.83653</v>
      </c>
      <c r="P144">
        <v>1394706.38868</v>
      </c>
      <c r="Q144">
        <v>1.9119060192359302E-2</v>
      </c>
      <c r="R144">
        <v>166.598838858</v>
      </c>
      <c r="S144" t="s">
        <v>471</v>
      </c>
      <c r="T144" t="s">
        <v>93</v>
      </c>
      <c r="U144">
        <v>1</v>
      </c>
      <c r="V144" t="s">
        <v>315</v>
      </c>
      <c r="W144" t="s">
        <v>142</v>
      </c>
      <c r="X144" t="s">
        <v>150</v>
      </c>
      <c r="Y144" s="23" t="s">
        <v>151</v>
      </c>
      <c r="AA144">
        <v>417</v>
      </c>
      <c r="AB144" t="s">
        <v>773</v>
      </c>
      <c r="AC144" t="s">
        <v>764</v>
      </c>
      <c r="AD144" s="2">
        <v>11</v>
      </c>
      <c r="AE144" s="2" t="s">
        <v>70</v>
      </c>
      <c r="AF144" t="str">
        <f>_xlfn.CONCAT(FINI_grouping_for_wheel[[#This Row],[SEFI/Plant]],"/",IF(FINI_grouping_for_wheel[[#This Row],[RESET recipe combination]]&lt;&gt;"",FINI_grouping_for_wheel[[#This Row],[RESET recipe combination]],FINI_grouping_for_wheel[[#This Row],[Recipe Combination]]),"/",FINI_grouping_for_wheel[[#This Row],[Subgroup]])</f>
        <v>4558617/THDP/x/11</v>
      </c>
      <c r="AG1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0.32750055609105067</v>
      </c>
      <c r="AH144">
        <f>_xlfn.LET(_xlpm.pct, FINI_grouping_for_wheel[[#This Row],[% forecast within subgroup]], _xlpm.lote, FINI_grouping_for_wheel[[#This Row],[Lot size considered]], _xlpm.pct*_xlpm.lote)</f>
        <v>2853.760165049319</v>
      </c>
      <c r="AI144" cm="1">
        <f t="array" aca="1" ref="AI144" ca="1">IFERROR(INDIRECT("FINI_grouping_for_wheel[@["&amp;FINI_grouping_for_wheel[[#This Row],[Selected PV]]&amp;"]]"),"")</f>
        <v>119</v>
      </c>
      <c r="AJ14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4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144" s="4"/>
      <c r="AM14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119</v>
      </c>
      <c r="AN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4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44" t="str">
        <f>_xlfn.CONCAT(FINI_grouping_for_wheel[[#This Row],[Recipe Combination]],FINI_grouping_for_wheel[[#This Row],[Subgroup]])</f>
        <v>11</v>
      </c>
    </row>
    <row r="145" spans="1:55" hidden="1">
      <c r="A145" t="s">
        <v>10</v>
      </c>
      <c r="B145" s="23">
        <v>4558617</v>
      </c>
      <c r="C145" t="s">
        <v>760</v>
      </c>
      <c r="D145">
        <v>8713.75670048</v>
      </c>
      <c r="E145">
        <v>161</v>
      </c>
      <c r="F145">
        <v>3.22</v>
      </c>
      <c r="G145" s="23" t="s">
        <v>774</v>
      </c>
      <c r="H145" s="23" t="s">
        <v>775</v>
      </c>
      <c r="J145" t="s">
        <v>90</v>
      </c>
      <c r="K145" t="s">
        <v>515</v>
      </c>
      <c r="L145" t="s">
        <v>516</v>
      </c>
      <c r="M145">
        <v>28899.12105</v>
      </c>
      <c r="N145">
        <v>115.5964842</v>
      </c>
      <c r="O145">
        <v>273512.83653</v>
      </c>
      <c r="P145">
        <v>1394706.38868</v>
      </c>
      <c r="Q145">
        <v>0.10565910330438998</v>
      </c>
      <c r="R145">
        <v>920.687719386</v>
      </c>
      <c r="S145" t="s">
        <v>471</v>
      </c>
      <c r="T145" t="s">
        <v>93</v>
      </c>
      <c r="U145">
        <v>5</v>
      </c>
      <c r="V145" t="s">
        <v>518</v>
      </c>
      <c r="W145" t="s">
        <v>142</v>
      </c>
      <c r="X145" t="s">
        <v>150</v>
      </c>
      <c r="Y145" s="23" t="s">
        <v>151</v>
      </c>
      <c r="AA145">
        <v>75</v>
      </c>
      <c r="AB145" t="s">
        <v>776</v>
      </c>
      <c r="AC145" t="s">
        <v>764</v>
      </c>
      <c r="AD145" s="2">
        <v>7</v>
      </c>
      <c r="AE145" s="2" t="s">
        <v>70</v>
      </c>
      <c r="AF145" t="str">
        <f>_xlfn.CONCAT(FINI_grouping_for_wheel[[#This Row],[SEFI/Plant]],"/",IF(FINI_grouping_for_wheel[[#This Row],[RESET recipe combination]]&lt;&gt;"",FINI_grouping_for_wheel[[#This Row],[RESET recipe combination]],FINI_grouping_for_wheel[[#This Row],[Recipe Combination]]),"/",FINI_grouping_for_wheel[[#This Row],[Subgroup]])</f>
        <v>4558617/THDP/x/7</v>
      </c>
      <c r="AG1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0.6640369967355821</v>
      </c>
      <c r="AH145">
        <f>_xlfn.LET(_xlpm.pct, FINI_grouping_for_wheel[[#This Row],[% forecast within subgroup]], _xlpm.lote, FINI_grouping_for_wheel[[#This Row],[Lot size considered]], _xlpm.pct*_xlpm.lote)</f>
        <v>5786.256829671295</v>
      </c>
      <c r="AI145" cm="1">
        <f t="array" aca="1" ref="AI145" ca="1">IFERROR(INDIRECT("FINI_grouping_for_wheel[@["&amp;FINI_grouping_for_wheel[[#This Row],[Selected PV]]&amp;"]]"),"")</f>
        <v>44</v>
      </c>
      <c r="AJ14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4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145" s="4"/>
      <c r="AM14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44</v>
      </c>
      <c r="AN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4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45" t="str">
        <f>_xlfn.CONCAT(FINI_grouping_for_wheel[[#This Row],[Recipe Combination]],FINI_grouping_for_wheel[[#This Row],[Subgroup]])</f>
        <v>7</v>
      </c>
    </row>
    <row r="146" spans="1:55" hidden="1">
      <c r="A146" t="s">
        <v>10</v>
      </c>
      <c r="B146" s="23">
        <v>4558617</v>
      </c>
      <c r="C146" t="s">
        <v>760</v>
      </c>
      <c r="D146">
        <v>8713.75670048</v>
      </c>
      <c r="E146">
        <v>161</v>
      </c>
      <c r="F146">
        <v>3.22</v>
      </c>
      <c r="G146" s="23" t="s">
        <v>777</v>
      </c>
      <c r="H146" s="23" t="s">
        <v>778</v>
      </c>
      <c r="I146">
        <v>462</v>
      </c>
      <c r="J146" t="s">
        <v>90</v>
      </c>
      <c r="K146" t="s">
        <v>312</v>
      </c>
      <c r="L146" t="s">
        <v>313</v>
      </c>
      <c r="M146">
        <v>672.45804</v>
      </c>
      <c r="N146">
        <v>2.68983216</v>
      </c>
      <c r="O146">
        <v>273512.83653</v>
      </c>
      <c r="P146">
        <v>1394706.38868</v>
      </c>
      <c r="Q146">
        <v>2.4585977335884273E-3</v>
      </c>
      <c r="R146">
        <v>21.4236224749</v>
      </c>
      <c r="S146" t="s">
        <v>471</v>
      </c>
      <c r="T146" t="s">
        <v>93</v>
      </c>
      <c r="U146">
        <v>1</v>
      </c>
      <c r="V146" t="s">
        <v>315</v>
      </c>
      <c r="W146" t="s">
        <v>142</v>
      </c>
      <c r="X146" t="s">
        <v>150</v>
      </c>
      <c r="Y146" s="23" t="s">
        <v>151</v>
      </c>
      <c r="AA146">
        <v>3240</v>
      </c>
      <c r="AB146" t="s">
        <v>779</v>
      </c>
      <c r="AC146" t="s">
        <v>764</v>
      </c>
      <c r="AD146" s="2">
        <v>10</v>
      </c>
      <c r="AE146" s="2" t="s">
        <v>70</v>
      </c>
      <c r="AF146" t="str">
        <f>_xlfn.CONCAT(FINI_grouping_for_wheel[[#This Row],[SEFI/Plant]],"/",IF(FINI_grouping_for_wheel[[#This Row],[RESET recipe combination]]&lt;&gt;"",FINI_grouping_for_wheel[[#This Row],[RESET recipe combination]],FINI_grouping_for_wheel[[#This Row],[Recipe Combination]]),"/",FINI_grouping_for_wheel[[#This Row],[Subgroup]])</f>
        <v>4558617/THDP/x/10</v>
      </c>
      <c r="AG1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0.033627375525427744</v>
      </c>
      <c r="AH146">
        <f>_xlfn.LET(_xlpm.pct, FINI_grouping_for_wheel[[#This Row],[% forecast within subgroup]], _xlpm.lote, FINI_grouping_for_wheel[[#This Row],[Lot size considered]], _xlpm.pct*_xlpm.lote)</f>
        <v>293.0207688042532</v>
      </c>
      <c r="AI146" cm="1">
        <f t="array" aca="1" ref="AI146" ca="1">IFERROR(INDIRECT("FINI_grouping_for_wheel[@["&amp;FINI_grouping_for_wheel[[#This Row],[Selected PV]]&amp;"]]"),"")</f>
        <v>95</v>
      </c>
      <c r="AJ14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146" s="4"/>
      <c r="AM14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95</v>
      </c>
      <c r="AN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4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46" t="str">
        <f>_xlfn.CONCAT(FINI_grouping_for_wheel[[#This Row],[Recipe Combination]],FINI_grouping_for_wheel[[#This Row],[Subgroup]])</f>
        <v>10</v>
      </c>
    </row>
    <row r="147" spans="1:55" hidden="1">
      <c r="A147" t="s">
        <v>10</v>
      </c>
      <c r="B147" s="23">
        <v>4558617</v>
      </c>
      <c r="C147" t="s">
        <v>760</v>
      </c>
      <c r="D147">
        <v>8713.75670048</v>
      </c>
      <c r="E147">
        <v>161</v>
      </c>
      <c r="F147">
        <v>3.22</v>
      </c>
      <c r="G147" s="23" t="s">
        <v>780</v>
      </c>
      <c r="H147" s="23" t="s">
        <v>781</v>
      </c>
      <c r="I147">
        <v>330</v>
      </c>
      <c r="J147" t="s">
        <v>90</v>
      </c>
      <c r="K147" t="s">
        <v>312</v>
      </c>
      <c r="L147" t="s">
        <v>313</v>
      </c>
      <c r="M147">
        <v>18477.205335</v>
      </c>
      <c r="N147">
        <v>73.90882134</v>
      </c>
      <c r="O147">
        <v>273512.83653</v>
      </c>
      <c r="P147">
        <v>1394706.38868</v>
      </c>
      <c r="Q147">
        <v>6.7555166950905965E-2</v>
      </c>
      <c r="R147">
        <v>588.659288671</v>
      </c>
      <c r="S147" t="s">
        <v>471</v>
      </c>
      <c r="T147" t="s">
        <v>93</v>
      </c>
      <c r="U147">
        <v>1</v>
      </c>
      <c r="V147" t="s">
        <v>315</v>
      </c>
      <c r="W147" t="s">
        <v>142</v>
      </c>
      <c r="X147" t="s">
        <v>150</v>
      </c>
      <c r="Y147" s="23" t="s">
        <v>151</v>
      </c>
      <c r="AA147">
        <v>118</v>
      </c>
      <c r="AB147" t="s">
        <v>782</v>
      </c>
      <c r="AC147" t="s">
        <v>764</v>
      </c>
      <c r="AD147" s="2">
        <v>10</v>
      </c>
      <c r="AE147" s="2" t="s">
        <v>70</v>
      </c>
      <c r="AF147" t="str">
        <f>_xlfn.CONCAT(FINI_grouping_for_wheel[[#This Row],[SEFI/Plant]],"/",IF(FINI_grouping_for_wheel[[#This Row],[RESET recipe combination]]&lt;&gt;"",FINI_grouping_for_wheel[[#This Row],[RESET recipe combination]],FINI_grouping_for_wheel[[#This Row],[Recipe Combination]]),"/",FINI_grouping_for_wheel[[#This Row],[Subgroup]])</f>
        <v>4558617/THDP/x/10</v>
      </c>
      <c r="AG1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0.9239831863122372</v>
      </c>
      <c r="AH147">
        <f>_xlfn.LET(_xlpm.pct, FINI_grouping_for_wheel[[#This Row],[% forecast within subgroup]], _xlpm.lote, FINI_grouping_for_wheel[[#This Row],[Lot size considered]], _xlpm.pct*_xlpm.lote)</f>
        <v>8051.3646808591175</v>
      </c>
      <c r="AI147" cm="1">
        <f t="array" aca="1" ref="AI147" ca="1">IFERROR(INDIRECT("FINI_grouping_for_wheel[@["&amp;FINI_grouping_for_wheel[[#This Row],[Selected PV]]&amp;"]]"),"")</f>
        <v>95</v>
      </c>
      <c r="AJ14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25</v>
      </c>
      <c r="AL147" s="4"/>
      <c r="AM14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95</v>
      </c>
      <c r="AN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4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47" t="str">
        <f>_xlfn.CONCAT(FINI_grouping_for_wheel[[#This Row],[Recipe Combination]],FINI_grouping_for_wheel[[#This Row],[Subgroup]])</f>
        <v>10</v>
      </c>
    </row>
    <row r="148" spans="1:55" hidden="1">
      <c r="A148" t="s">
        <v>10</v>
      </c>
      <c r="B148" s="23">
        <v>4558617</v>
      </c>
      <c r="C148" t="s">
        <v>760</v>
      </c>
      <c r="D148">
        <v>8713.75670048</v>
      </c>
      <c r="E148">
        <v>161</v>
      </c>
      <c r="F148">
        <v>3.22</v>
      </c>
      <c r="G148" s="23" t="s">
        <v>783</v>
      </c>
      <c r="H148" s="23" t="s">
        <v>784</v>
      </c>
      <c r="I148">
        <v>450</v>
      </c>
      <c r="J148" t="s">
        <v>90</v>
      </c>
      <c r="K148" t="s">
        <v>264</v>
      </c>
      <c r="L148" t="s">
        <v>265</v>
      </c>
      <c r="M148">
        <v>44499.437235</v>
      </c>
      <c r="N148">
        <v>177.99774894</v>
      </c>
      <c r="O148">
        <v>273512.83653</v>
      </c>
      <c r="P148">
        <v>1394706.38868</v>
      </c>
      <c r="Q148">
        <v>0.16269597361335952</v>
      </c>
      <c r="R148">
        <v>1417.69313022</v>
      </c>
      <c r="S148" t="s">
        <v>471</v>
      </c>
      <c r="T148" t="s">
        <v>93</v>
      </c>
      <c r="U148">
        <v>2.5</v>
      </c>
      <c r="V148" t="s">
        <v>267</v>
      </c>
      <c r="W148" t="s">
        <v>142</v>
      </c>
      <c r="X148" t="s">
        <v>150</v>
      </c>
      <c r="Y148" s="23" t="s">
        <v>151</v>
      </c>
      <c r="AA148">
        <v>49</v>
      </c>
      <c r="AB148" t="s">
        <v>785</v>
      </c>
      <c r="AC148" t="s">
        <v>764</v>
      </c>
      <c r="AD148" s="2">
        <v>8</v>
      </c>
      <c r="AE148" s="2" t="s">
        <v>70</v>
      </c>
      <c r="AF148" t="str">
        <f>_xlfn.CONCAT(FINI_grouping_for_wheel[[#This Row],[SEFI/Plant]],"/",IF(FINI_grouping_for_wheel[[#This Row],[RESET recipe combination]]&lt;&gt;"",FINI_grouping_for_wheel[[#This Row],[RESET recipe combination]],FINI_grouping_for_wheel[[#This Row],[Recipe Combination]]),"/",FINI_grouping_for_wheel[[#This Row],[Subgroup]])</f>
        <v>4558617/THDP/x/8</v>
      </c>
      <c r="AG1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0.9344188937228093</v>
      </c>
      <c r="AH148">
        <f>_xlfn.LET(_xlpm.pct, FINI_grouping_for_wheel[[#This Row],[% forecast within subgroup]], _xlpm.lote, FINI_grouping_for_wheel[[#This Row],[Lot size considered]], _xlpm.pct*_xlpm.lote)</f>
        <v>8142.298896232239</v>
      </c>
      <c r="AI148" cm="1">
        <f t="array" aca="1" ref="AI148" ca="1">IFERROR(INDIRECT("FINI_grouping_for_wheel[@["&amp;FINI_grouping_for_wheel[[#This Row],[Selected PV]]&amp;"]]"),"")</f>
        <v>40</v>
      </c>
      <c r="AJ14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18.5</v>
      </c>
      <c r="AL148" s="4"/>
      <c r="AM14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40</v>
      </c>
      <c r="AN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4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48" t="str">
        <f>_xlfn.CONCAT(FINI_grouping_for_wheel[[#This Row],[Recipe Combination]],FINI_grouping_for_wheel[[#This Row],[Subgroup]])</f>
        <v>8</v>
      </c>
    </row>
    <row r="149" spans="1:55" hidden="1">
      <c r="A149" t="s">
        <v>10</v>
      </c>
      <c r="B149" s="23">
        <v>4558617</v>
      </c>
      <c r="C149" t="s">
        <v>760</v>
      </c>
      <c r="D149">
        <v>8713.75670048</v>
      </c>
      <c r="E149">
        <v>161</v>
      </c>
      <c r="F149">
        <v>3.22</v>
      </c>
      <c r="G149" s="23" t="s">
        <v>786</v>
      </c>
      <c r="H149" s="23" t="s">
        <v>787</v>
      </c>
      <c r="I149">
        <v>480</v>
      </c>
      <c r="J149" t="s">
        <v>90</v>
      </c>
      <c r="K149" t="s">
        <v>515</v>
      </c>
      <c r="L149" t="s">
        <v>516</v>
      </c>
      <c r="M149">
        <v>108327.3075</v>
      </c>
      <c r="N149">
        <v>433.30923</v>
      </c>
      <c r="O149">
        <v>273512.83653</v>
      </c>
      <c r="P149">
        <v>1394706.38868</v>
      </c>
      <c r="Q149">
        <v>0.39605931799883998</v>
      </c>
      <c r="R149">
        <v>3451.164536</v>
      </c>
      <c r="S149" t="s">
        <v>471</v>
      </c>
      <c r="T149" t="s">
        <v>93</v>
      </c>
      <c r="U149">
        <v>5</v>
      </c>
      <c r="V149" t="s">
        <v>518</v>
      </c>
      <c r="W149" t="s">
        <v>142</v>
      </c>
      <c r="X149" t="s">
        <v>150</v>
      </c>
      <c r="Y149" s="23" t="s">
        <v>151</v>
      </c>
      <c r="AA149">
        <v>20</v>
      </c>
      <c r="AB149" t="s">
        <v>788</v>
      </c>
      <c r="AC149" t="s">
        <v>764</v>
      </c>
      <c r="AD149" s="2">
        <v>6</v>
      </c>
      <c r="AE149" s="2" t="s">
        <v>70</v>
      </c>
      <c r="AF149" t="str">
        <f>_xlfn.CONCAT(FINI_grouping_for_wheel[[#This Row],[SEFI/Plant]],"/",IF(FINI_grouping_for_wheel[[#This Row],[RESET recipe combination]]&lt;&gt;"",FINI_grouping_for_wheel[[#This Row],[RESET recipe combination]],FINI_grouping_for_wheel[[#This Row],[Recipe Combination]]),"/",FINI_grouping_for_wheel[[#This Row],[Subgroup]])</f>
        <v>4558617/THDP/x/6</v>
      </c>
      <c r="AG1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49">
        <f>_xlfn.LET(_xlpm.pct, FINI_grouping_for_wheel[[#This Row],[% forecast within subgroup]], _xlpm.lote, FINI_grouping_for_wheel[[#This Row],[Lot size considered]], _xlpm.pct*_xlpm.lote)</f>
        <v>8713.75670048</v>
      </c>
      <c r="AI149" cm="1">
        <f t="array" aca="1" ref="AI149" ca="1">IFERROR(INDIRECT("FINI_grouping_for_wheel[@["&amp;FINI_grouping_for_wheel[[#This Row],[Selected PV]]&amp;"]]"),"")</f>
        <v>18</v>
      </c>
      <c r="AJ14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18.6</v>
      </c>
      <c r="AL149" s="4"/>
      <c r="AM14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v>
      </c>
      <c r="AN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4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49" t="str">
        <f>_xlfn.CONCAT(FINI_grouping_for_wheel[[#This Row],[Recipe Combination]],FINI_grouping_for_wheel[[#This Row],[Subgroup]])</f>
        <v>6</v>
      </c>
    </row>
    <row r="150" spans="1:55" hidden="1">
      <c r="A150" t="s">
        <v>10</v>
      </c>
      <c r="B150" s="23">
        <v>4558617</v>
      </c>
      <c r="C150" t="s">
        <v>760</v>
      </c>
      <c r="D150">
        <v>8713.75670048</v>
      </c>
      <c r="E150">
        <v>161</v>
      </c>
      <c r="F150">
        <v>3.22</v>
      </c>
      <c r="G150" s="23" t="s">
        <v>789</v>
      </c>
      <c r="H150" s="23" t="s">
        <v>790</v>
      </c>
      <c r="J150" t="s">
        <v>90</v>
      </c>
      <c r="K150" t="s">
        <v>515</v>
      </c>
      <c r="L150" t="s">
        <v>516</v>
      </c>
      <c r="M150">
        <v>1935.684675</v>
      </c>
      <c r="N150">
        <v>7.7427387</v>
      </c>
      <c r="O150">
        <v>273512.83653</v>
      </c>
      <c r="P150">
        <v>1394706.38868</v>
      </c>
      <c r="Q150">
        <v>7.0771255183399275E-3</v>
      </c>
      <c r="R150">
        <v>61.6683499056</v>
      </c>
      <c r="S150" t="s">
        <v>471</v>
      </c>
      <c r="T150" t="s">
        <v>93</v>
      </c>
      <c r="U150">
        <v>5</v>
      </c>
      <c r="V150" t="s">
        <v>518</v>
      </c>
      <c r="W150" t="s">
        <v>142</v>
      </c>
      <c r="X150" t="s">
        <v>150</v>
      </c>
      <c r="Y150" s="23" t="s">
        <v>151</v>
      </c>
      <c r="AA150">
        <v>1125</v>
      </c>
      <c r="AB150" t="s">
        <v>791</v>
      </c>
      <c r="AC150" t="s">
        <v>764</v>
      </c>
      <c r="AD150" s="2">
        <v>7</v>
      </c>
      <c r="AE150" s="2" t="s">
        <v>70</v>
      </c>
      <c r="AF150" t="str">
        <f>_xlfn.CONCAT(FINI_grouping_for_wheel[[#This Row],[SEFI/Plant]],"/",IF(FINI_grouping_for_wheel[[#This Row],[RESET recipe combination]]&lt;&gt;"",FINI_grouping_for_wheel[[#This Row],[RESET recipe combination]],FINI_grouping_for_wheel[[#This Row],[Recipe Combination]]),"/",FINI_grouping_for_wheel[[#This Row],[Subgroup]])</f>
        <v>4558617/THDP/x/7</v>
      </c>
      <c r="AG1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0.04447769314472252</v>
      </c>
      <c r="AH150">
        <f>_xlfn.LET(_xlpm.pct, FINI_grouping_for_wheel[[#This Row],[% forecast within subgroup]], _xlpm.lote, FINI_grouping_for_wheel[[#This Row],[Lot size considered]], _xlpm.pct*_xlpm.lote)</f>
        <v>387.5677966617192</v>
      </c>
      <c r="AI150" cm="1">
        <f t="array" aca="1" ref="AI150" ca="1">IFERROR(INDIRECT("FINI_grouping_for_wheel[@["&amp;FINI_grouping_for_wheel[[#This Row],[Selected PV]]&amp;"]]"),"")</f>
        <v>44</v>
      </c>
      <c r="AJ15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5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150" s="4"/>
      <c r="AM15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44</v>
      </c>
      <c r="AN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5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50" t="str">
        <f>_xlfn.CONCAT(FINI_grouping_for_wheel[[#This Row],[Recipe Combination]],FINI_grouping_for_wheel[[#This Row],[Subgroup]])</f>
        <v>7</v>
      </c>
    </row>
    <row r="151" spans="1:55" hidden="1">
      <c r="A151" t="s">
        <v>10</v>
      </c>
      <c r="B151" s="23">
        <v>4558617</v>
      </c>
      <c r="C151" t="s">
        <v>760</v>
      </c>
      <c r="D151">
        <v>8713.75670048</v>
      </c>
      <c r="E151">
        <v>161</v>
      </c>
      <c r="F151">
        <v>3.22</v>
      </c>
      <c r="G151" s="23" t="s">
        <v>792</v>
      </c>
      <c r="H151" s="23" t="s">
        <v>793</v>
      </c>
      <c r="J151" t="s">
        <v>90</v>
      </c>
      <c r="K151" t="s">
        <v>264</v>
      </c>
      <c r="L151" t="s">
        <v>265</v>
      </c>
      <c r="M151">
        <v>14554.92807</v>
      </c>
      <c r="N151">
        <v>58.21971228</v>
      </c>
      <c r="O151">
        <v>273512.83653</v>
      </c>
      <c r="P151">
        <v>1394706.38868</v>
      </c>
      <c r="Q151">
        <v>5.3214789677352332E-2</v>
      </c>
      <c r="R151">
        <v>463.700730116</v>
      </c>
      <c r="S151" t="s">
        <v>471</v>
      </c>
      <c r="T151" t="s">
        <v>93</v>
      </c>
      <c r="U151">
        <v>2.5</v>
      </c>
      <c r="V151" t="s">
        <v>267</v>
      </c>
      <c r="W151" t="s">
        <v>142</v>
      </c>
      <c r="X151" t="s">
        <v>150</v>
      </c>
      <c r="Y151" s="23" t="s">
        <v>151</v>
      </c>
      <c r="AA151">
        <v>150</v>
      </c>
      <c r="AB151" t="s">
        <v>794</v>
      </c>
      <c r="AC151" t="s">
        <v>764</v>
      </c>
      <c r="AD151" s="2">
        <v>9</v>
      </c>
      <c r="AE151" s="2" t="s">
        <v>70</v>
      </c>
      <c r="AF151" t="str">
        <f>_xlfn.CONCAT(FINI_grouping_for_wheel[[#This Row],[SEFI/Plant]],"/",IF(FINI_grouping_for_wheel[[#This Row],[RESET recipe combination]]&lt;&gt;"",FINI_grouping_for_wheel[[#This Row],[RESET recipe combination]],FINI_grouping_for_wheel[[#This Row],[Recipe Combination]]),"/",FINI_grouping_for_wheel[[#This Row],[Subgroup]])</f>
        <v>4558617/THDP/x/9</v>
      </c>
      <c r="AG1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0.3822404626434101</v>
      </c>
      <c r="AH151">
        <f>_xlfn.LET(_xlpm.pct, FINI_grouping_for_wheel[[#This Row],[% forecast within subgroup]], _xlpm.lote, FINI_grouping_for_wheel[[#This Row],[Lot size considered]], _xlpm.pct*_xlpm.lote)</f>
        <v>3330.7503925535902</v>
      </c>
      <c r="AI151" cm="1">
        <f t="array" aca="1" ref="AI151" ca="1">IFERROR(INDIRECT("FINI_grouping_for_wheel[@["&amp;FINI_grouping_for_wheel[[#This Row],[Selected PV]]&amp;"]]"),"")</f>
        <v>50</v>
      </c>
      <c r="AJ15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5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151" s="4"/>
      <c r="AM15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50</v>
      </c>
      <c r="AN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5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51" t="str">
        <f>_xlfn.CONCAT(FINI_grouping_for_wheel[[#This Row],[Recipe Combination]],FINI_grouping_for_wheel[[#This Row],[Subgroup]])</f>
        <v>9</v>
      </c>
    </row>
    <row r="152" spans="1:55" hidden="1">
      <c r="A152" t="s">
        <v>10</v>
      </c>
      <c r="B152" s="23">
        <v>4558617</v>
      </c>
      <c r="C152" t="s">
        <v>760</v>
      </c>
      <c r="D152">
        <v>8713.75670048</v>
      </c>
      <c r="E152">
        <v>161</v>
      </c>
      <c r="F152">
        <v>3.22</v>
      </c>
      <c r="G152" s="23" t="s">
        <v>795</v>
      </c>
      <c r="H152" s="23" t="s">
        <v>796</v>
      </c>
      <c r="J152" t="s">
        <v>90</v>
      </c>
      <c r="K152" t="s">
        <v>312</v>
      </c>
      <c r="L152" t="s">
        <v>313</v>
      </c>
      <c r="M152">
        <v>847.67598</v>
      </c>
      <c r="N152">
        <v>3.39070392</v>
      </c>
      <c r="O152">
        <v>273512.83653</v>
      </c>
      <c r="P152">
        <v>1394706.38868</v>
      </c>
      <c r="Q152">
        <v>3.09921826980513E-3</v>
      </c>
      <c r="R152">
        <v>27.0058339648</v>
      </c>
      <c r="S152" t="s">
        <v>471</v>
      </c>
      <c r="T152" t="s">
        <v>93</v>
      </c>
      <c r="U152">
        <v>1</v>
      </c>
      <c r="V152" t="s">
        <v>315</v>
      </c>
      <c r="W152" t="s">
        <v>142</v>
      </c>
      <c r="X152" t="s">
        <v>150</v>
      </c>
      <c r="Y152" s="23" t="s">
        <v>151</v>
      </c>
      <c r="AA152">
        <v>2570</v>
      </c>
      <c r="AB152" t="s">
        <v>797</v>
      </c>
      <c r="AC152" t="s">
        <v>764</v>
      </c>
      <c r="AD152" s="2">
        <v>10</v>
      </c>
      <c r="AE152" s="2" t="s">
        <v>70</v>
      </c>
      <c r="AF152" t="str">
        <f>_xlfn.CONCAT(FINI_grouping_for_wheel[[#This Row],[SEFI/Plant]],"/",IF(FINI_grouping_for_wheel[[#This Row],[RESET recipe combination]]&lt;&gt;"",FINI_grouping_for_wheel[[#This Row],[RESET recipe combination]],FINI_grouping_for_wheel[[#This Row],[Recipe Combination]]),"/",FINI_grouping_for_wheel[[#This Row],[Subgroup]])</f>
        <v>4558617/THDP/x/10</v>
      </c>
      <c r="AG1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0.04238943816233497</v>
      </c>
      <c r="AH152">
        <f>_xlfn.LET(_xlpm.pct, FINI_grouping_for_wheel[[#This Row],[% forecast within subgroup]], _xlpm.lote, FINI_grouping_for_wheel[[#This Row],[Lot size considered]], _xlpm.pct*_xlpm.lote)</f>
        <v>369.371250816629</v>
      </c>
      <c r="AI152" cm="1">
        <f t="array" aca="1" ref="AI152" ca="1">IFERROR(INDIRECT("FINI_grouping_for_wheel[@["&amp;FINI_grouping_for_wheel[[#This Row],[Selected PV]]&amp;"]]"),"")</f>
        <v>95</v>
      </c>
      <c r="AJ15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52"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152" s="4"/>
      <c r="AM15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95</v>
      </c>
      <c r="AN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5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52" t="str">
        <f>_xlfn.CONCAT(FINI_grouping_for_wheel[[#This Row],[Recipe Combination]],FINI_grouping_for_wheel[[#This Row],[Subgroup]])</f>
        <v>10</v>
      </c>
    </row>
    <row r="153" spans="1:55" hidden="1">
      <c r="A153" t="s">
        <v>10</v>
      </c>
      <c r="B153" s="23">
        <v>4558617</v>
      </c>
      <c r="C153" t="s">
        <v>760</v>
      </c>
      <c r="D153">
        <v>8713.75670048</v>
      </c>
      <c r="E153">
        <v>161</v>
      </c>
      <c r="F153">
        <v>3.22</v>
      </c>
      <c r="G153" s="23" t="s">
        <v>798</v>
      </c>
      <c r="H153" s="23" t="s">
        <v>799</v>
      </c>
      <c r="J153" t="s">
        <v>90</v>
      </c>
      <c r="K153" t="s">
        <v>515</v>
      </c>
      <c r="L153" t="s">
        <v>516</v>
      </c>
      <c r="M153">
        <v>12685.542075</v>
      </c>
      <c r="N153">
        <v>50.7421683</v>
      </c>
      <c r="O153">
        <v>273512.83653</v>
      </c>
      <c r="P153">
        <v>1394706.38868</v>
      </c>
      <c r="Q153">
        <v>4.6380061118661969E-2</v>
      </c>
      <c r="R153">
        <v>404.144568342</v>
      </c>
      <c r="S153" t="s">
        <v>471</v>
      </c>
      <c r="T153" t="s">
        <v>93</v>
      </c>
      <c r="U153">
        <v>5</v>
      </c>
      <c r="V153" t="s">
        <v>518</v>
      </c>
      <c r="W153" t="s">
        <v>142</v>
      </c>
      <c r="X153" t="s">
        <v>150</v>
      </c>
      <c r="Y153" s="23" t="s">
        <v>151</v>
      </c>
      <c r="AA153">
        <v>172</v>
      </c>
      <c r="AB153" t="s">
        <v>800</v>
      </c>
      <c r="AC153" t="s">
        <v>764</v>
      </c>
      <c r="AD153" s="2">
        <v>7</v>
      </c>
      <c r="AE153" s="2" t="s">
        <v>70</v>
      </c>
      <c r="AF153" t="str">
        <f>_xlfn.CONCAT(FINI_grouping_for_wheel[[#This Row],[SEFI/Plant]],"/",IF(FINI_grouping_for_wheel[[#This Row],[RESET recipe combination]]&lt;&gt;"",FINI_grouping_for_wheel[[#This Row],[RESET recipe combination]],FINI_grouping_for_wheel[[#This Row],[Recipe Combination]]),"/",FINI_grouping_for_wheel[[#This Row],[Subgroup]])</f>
        <v>4558617/THDP/x/7</v>
      </c>
      <c r="AG1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0.2914853101196953</v>
      </c>
      <c r="AH153">
        <f>_xlfn.LET(_xlpm.pct, FINI_grouping_for_wheel[[#This Row],[% forecast within subgroup]], _xlpm.lote, FINI_grouping_for_wheel[[#This Row],[Lot size considered]], _xlpm.pct*_xlpm.lote)</f>
        <v>2539.932074146986</v>
      </c>
      <c r="AI153" cm="1">
        <f t="array" aca="1" ref="AI153" ca="1">IFERROR(INDIRECT("FINI_grouping_for_wheel[@["&amp;FINI_grouping_for_wheel[[#This Row],[Selected PV]]&amp;"]]"),"")</f>
        <v>44</v>
      </c>
      <c r="AJ15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5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153" s="4"/>
      <c r="AM15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44</v>
      </c>
      <c r="AN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5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53" t="str">
        <f>_xlfn.CONCAT(FINI_grouping_for_wheel[[#This Row],[Recipe Combination]],FINI_grouping_for_wheel[[#This Row],[Subgroup]])</f>
        <v>7</v>
      </c>
    </row>
    <row r="154" spans="1:55" hidden="1">
      <c r="A154" t="s">
        <v>10</v>
      </c>
      <c r="B154" s="23">
        <v>4558617</v>
      </c>
      <c r="C154" t="s">
        <v>760</v>
      </c>
      <c r="D154">
        <v>8713.75670048</v>
      </c>
      <c r="E154">
        <v>161</v>
      </c>
      <c r="F154">
        <v>3.22</v>
      </c>
      <c r="G154" s="23" t="s">
        <v>801</v>
      </c>
      <c r="H154" s="23" t="s">
        <v>802</v>
      </c>
      <c r="I154">
        <v>450</v>
      </c>
      <c r="J154" t="s">
        <v>90</v>
      </c>
      <c r="K154" t="s">
        <v>264</v>
      </c>
      <c r="L154" t="s">
        <v>265</v>
      </c>
      <c r="M154">
        <v>9944.802</v>
      </c>
      <c r="N154">
        <v>39.779208</v>
      </c>
      <c r="O154">
        <v>273512.83653</v>
      </c>
      <c r="P154">
        <v>1394706.38868</v>
      </c>
      <c r="Q154">
        <v>3.6359543947434486E-2</v>
      </c>
      <c r="R154">
        <v>316.828219698</v>
      </c>
      <c r="S154" t="s">
        <v>471</v>
      </c>
      <c r="T154" t="s">
        <v>93</v>
      </c>
      <c r="U154">
        <v>2.5</v>
      </c>
      <c r="V154" t="s">
        <v>267</v>
      </c>
      <c r="W154" t="s">
        <v>142</v>
      </c>
      <c r="X154" t="s">
        <v>150</v>
      </c>
      <c r="Y154" s="23" t="s">
        <v>151</v>
      </c>
      <c r="AA154">
        <v>219</v>
      </c>
      <c r="AB154" t="s">
        <v>803</v>
      </c>
      <c r="AC154" t="s">
        <v>764</v>
      </c>
      <c r="AD154" s="2">
        <v>9</v>
      </c>
      <c r="AE154" s="2" t="s">
        <v>70</v>
      </c>
      <c r="AF154" t="str">
        <f>_xlfn.CONCAT(FINI_grouping_for_wheel[[#This Row],[SEFI/Plant]],"/",IF(FINI_grouping_for_wheel[[#This Row],[RESET recipe combination]]&lt;&gt;"",FINI_grouping_for_wheel[[#This Row],[RESET recipe combination]],FINI_grouping_for_wheel[[#This Row],[Recipe Combination]]),"/",FINI_grouping_for_wheel[[#This Row],[Subgroup]])</f>
        <v>4558617/THDP/x/9</v>
      </c>
      <c r="AG1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0.26116966700867456</v>
      </c>
      <c r="AH154">
        <f>_xlfn.LET(_xlpm.pct, FINI_grouping_for_wheel[[#This Row],[% forecast within subgroup]], _xlpm.lote, FINI_grouping_for_wheel[[#This Row],[Lot size considered]], _xlpm.pct*_xlpm.lote)</f>
        <v>2275.7689358589682</v>
      </c>
      <c r="AI154" cm="1">
        <f t="array" aca="1" ref="AI154" ca="1">IFERROR(INDIRECT("FINI_grouping_for_wheel[@["&amp;FINI_grouping_for_wheel[[#This Row],[Selected PV]]&amp;"]]"),"")</f>
        <v>50</v>
      </c>
      <c r="AJ15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5.2</v>
      </c>
      <c r="AL154" s="4"/>
      <c r="AM15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50</v>
      </c>
      <c r="AN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5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54" t="str">
        <f>_xlfn.CONCAT(FINI_grouping_for_wheel[[#This Row],[Recipe Combination]],FINI_grouping_for_wheel[[#This Row],[Subgroup]])</f>
        <v>9</v>
      </c>
    </row>
    <row r="155" spans="1:55" hidden="1">
      <c r="A155" t="s">
        <v>10</v>
      </c>
      <c r="B155" s="23">
        <v>4558617</v>
      </c>
      <c r="C155" t="s">
        <v>760</v>
      </c>
      <c r="D155">
        <v>8713.75670048</v>
      </c>
      <c r="E155">
        <v>161</v>
      </c>
      <c r="F155">
        <v>3.22</v>
      </c>
      <c r="G155" s="23" t="s">
        <v>804</v>
      </c>
      <c r="H155" s="23" t="s">
        <v>805</v>
      </c>
      <c r="J155" t="s">
        <v>90</v>
      </c>
      <c r="K155" t="s">
        <v>264</v>
      </c>
      <c r="L155" t="s">
        <v>265</v>
      </c>
      <c r="M155">
        <v>3123.14139</v>
      </c>
      <c r="N155">
        <v>12.49256556</v>
      </c>
      <c r="O155">
        <v>273512.83653</v>
      </c>
      <c r="P155">
        <v>1394706.38868</v>
      </c>
      <c r="Q155">
        <v>1.1418628206349068E-2</v>
      </c>
      <c r="R155">
        <v>99.4991480434</v>
      </c>
      <c r="S155" t="s">
        <v>471</v>
      </c>
      <c r="T155" t="s">
        <v>93</v>
      </c>
      <c r="U155">
        <v>2.5</v>
      </c>
      <c r="V155" t="s">
        <v>267</v>
      </c>
      <c r="W155" t="s">
        <v>142</v>
      </c>
      <c r="X155" t="s">
        <v>150</v>
      </c>
      <c r="Y155" s="23" t="s">
        <v>151</v>
      </c>
      <c r="AA155">
        <v>698</v>
      </c>
      <c r="AB155" t="s">
        <v>806</v>
      </c>
      <c r="AC155" t="s">
        <v>764</v>
      </c>
      <c r="AD155" s="2">
        <v>8</v>
      </c>
      <c r="AE155" s="2" t="s">
        <v>70</v>
      </c>
      <c r="AF155" t="str">
        <f>_xlfn.CONCAT(FINI_grouping_for_wheel[[#This Row],[SEFI/Plant]],"/",IF(FINI_grouping_for_wheel[[#This Row],[RESET recipe combination]]&lt;&gt;"",FINI_grouping_for_wheel[[#This Row],[RESET recipe combination]],FINI_grouping_for_wheel[[#This Row],[Recipe Combination]]),"/",FINI_grouping_for_wheel[[#This Row],[Subgroup]])</f>
        <v>4558617/THDP/x/8</v>
      </c>
      <c r="AG1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0.0655811062771908</v>
      </c>
      <c r="AH155">
        <f>_xlfn.LET(_xlpm.pct, FINI_grouping_for_wheel[[#This Row],[% forecast within subgroup]], _xlpm.lote, FINI_grouping_for_wheel[[#This Row],[Lot size considered]], _xlpm.pct*_xlpm.lote)</f>
        <v>571.4578042477623</v>
      </c>
      <c r="AI155" cm="1">
        <f t="array" aca="1" ref="AI155" ca="1">IFERROR(INDIRECT("FINI_grouping_for_wheel[@["&amp;FINI_grouping_for_wheel[[#This Row],[Selected PV]]&amp;"]]"),"")</f>
        <v>40</v>
      </c>
      <c r="AJ15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5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155" s="4"/>
      <c r="AM15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40</v>
      </c>
      <c r="AN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5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55" t="str">
        <f>_xlfn.CONCAT(FINI_grouping_for_wheel[[#This Row],[Recipe Combination]],FINI_grouping_for_wheel[[#This Row],[Subgroup]])</f>
        <v>8</v>
      </c>
    </row>
    <row r="156" spans="1:55">
      <c r="A156" t="s">
        <v>10</v>
      </c>
      <c r="B156" s="23">
        <v>4558617</v>
      </c>
      <c r="C156" t="s">
        <v>760</v>
      </c>
      <c r="D156">
        <v>8713.75670048</v>
      </c>
      <c r="E156">
        <v>161</v>
      </c>
      <c r="F156">
        <v>3.22</v>
      </c>
      <c r="G156" s="23" t="s">
        <v>807</v>
      </c>
      <c r="H156" s="23" t="s">
        <v>808</v>
      </c>
      <c r="I156">
        <v>360</v>
      </c>
      <c r="J156" t="s">
        <v>90</v>
      </c>
      <c r="K156" t="s">
        <v>809</v>
      </c>
      <c r="L156" t="s">
        <v>810</v>
      </c>
      <c r="M156">
        <v>684474.67575</v>
      </c>
      <c r="N156">
        <v>2737.898703</v>
      </c>
      <c r="O156">
        <v>684474.67575</v>
      </c>
      <c r="P156">
        <v>1394706.38868</v>
      </c>
      <c r="Q156">
        <v>1</v>
      </c>
      <c r="R156">
        <v>8713.75670048</v>
      </c>
      <c r="S156" t="s">
        <v>157</v>
      </c>
      <c r="T156" t="s">
        <v>93</v>
      </c>
      <c r="U156">
        <v>10</v>
      </c>
      <c r="V156" t="s">
        <v>482</v>
      </c>
      <c r="W156" t="s">
        <v>159</v>
      </c>
      <c r="X156" t="s">
        <v>96</v>
      </c>
      <c r="Y156" s="23" t="s">
        <v>483</v>
      </c>
      <c r="AA156">
        <v>3</v>
      </c>
      <c r="AB156" t="s">
        <v>811</v>
      </c>
      <c r="AC156" t="s">
        <v>764</v>
      </c>
      <c r="AD156" s="2">
        <v>1</v>
      </c>
      <c r="AE156" s="2" t="s">
        <v>70</v>
      </c>
      <c r="AF156" t="str">
        <f>_xlfn.CONCAT(FINI_grouping_for_wheel[[#This Row],[SEFI/Plant]],"/",IF(FINI_grouping_for_wheel[[#This Row],[RESET recipe combination]]&lt;&gt;"",FINI_grouping_for_wheel[[#This Row],[RESET recipe combination]],FINI_grouping_for_wheel[[#This Row],[Recipe Combination]]),"/",FINI_grouping_for_wheel[[#This Row],[Subgroup]])</f>
        <v>4558617/THDP/x/1</v>
      </c>
      <c r="AG1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56">
        <f>_xlfn.LET(_xlpm.pct, FINI_grouping_for_wheel[[#This Row],[% forecast within subgroup]], _xlpm.lote, FINI_grouping_for_wheel[[#This Row],[Lot size considered]], _xlpm.pct*_xlpm.lote)</f>
        <v>8713.75670048</v>
      </c>
      <c r="AI156" cm="1">
        <f t="array" aca="1" ref="AI156" ca="1">IFERROR(INDIRECT("FINI_grouping_for_wheel[@["&amp;FINI_grouping_for_wheel[[#This Row],[Selected PV]]&amp;"]]"),"")</f>
        <v>3</v>
      </c>
      <c r="AJ15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24.8</v>
      </c>
      <c r="AL156" s="4"/>
      <c r="AM15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v>
      </c>
      <c r="AN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5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56" t="str">
        <f>_xlfn.CONCAT(FINI_grouping_for_wheel[[#This Row],[Recipe Combination]],FINI_grouping_for_wheel[[#This Row],[Subgroup]])</f>
        <v>M1</v>
      </c>
    </row>
    <row r="157" spans="1:55">
      <c r="A157" t="s">
        <v>10</v>
      </c>
      <c r="B157" s="23">
        <v>4558617</v>
      </c>
      <c r="C157" t="s">
        <v>760</v>
      </c>
      <c r="D157">
        <v>8713.75670048</v>
      </c>
      <c r="E157">
        <v>161</v>
      </c>
      <c r="F157">
        <v>3.22</v>
      </c>
      <c r="G157" s="23" t="s">
        <v>812</v>
      </c>
      <c r="H157" s="23" t="s">
        <v>813</v>
      </c>
      <c r="I157">
        <v>360</v>
      </c>
      <c r="J157" t="s">
        <v>90</v>
      </c>
      <c r="K157" t="s">
        <v>814</v>
      </c>
      <c r="L157" t="s">
        <v>815</v>
      </c>
      <c r="M157">
        <v>23950.39815</v>
      </c>
      <c r="N157">
        <v>95.8015926</v>
      </c>
      <c r="O157">
        <v>436718.8764</v>
      </c>
      <c r="P157">
        <v>1394706.38868</v>
      </c>
      <c r="Q157">
        <v>5.4841682932118843E-2</v>
      </c>
      <c r="R157">
        <v>477.877082116</v>
      </c>
      <c r="S157" t="s">
        <v>387</v>
      </c>
      <c r="T157" t="s">
        <v>93</v>
      </c>
      <c r="U157">
        <v>10</v>
      </c>
      <c r="V157" t="s">
        <v>482</v>
      </c>
      <c r="W157" t="s">
        <v>142</v>
      </c>
      <c r="X157" t="s">
        <v>96</v>
      </c>
      <c r="Y157" s="23" t="s">
        <v>483</v>
      </c>
      <c r="AA157">
        <v>91</v>
      </c>
      <c r="AB157" t="s">
        <v>816</v>
      </c>
      <c r="AC157" t="s">
        <v>764</v>
      </c>
      <c r="AD157" s="2">
        <v>5</v>
      </c>
      <c r="AE157" s="2" t="s">
        <v>70</v>
      </c>
      <c r="AF157" t="str">
        <f>_xlfn.CONCAT(FINI_grouping_for_wheel[[#This Row],[SEFI/Plant]],"/",IF(FINI_grouping_for_wheel[[#This Row],[RESET recipe combination]]&lt;&gt;"",FINI_grouping_for_wheel[[#This Row],[RESET recipe combination]],FINI_grouping_for_wheel[[#This Row],[Recipe Combination]]),"/",FINI_grouping_for_wheel[[#This Row],[Subgroup]])</f>
        <v>4558617/THDP/x/5</v>
      </c>
      <c r="AG1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0.7123239436619718</v>
      </c>
      <c r="AH157">
        <f>_xlfn.LET(_xlpm.pct, FINI_grouping_for_wheel[[#This Row],[% forecast within subgroup]], _xlpm.lote, FINI_grouping_for_wheel[[#This Row],[Lot size considered]], _xlpm.pct*_xlpm.lote)</f>
        <v>6207.017536996846</v>
      </c>
      <c r="AI157" cm="1">
        <f t="array" aca="1" ref="AI157" ca="1">IFERROR(INDIRECT("FINI_grouping_for_wheel[@["&amp;FINI_grouping_for_wheel[[#This Row],[Selected PV]]&amp;"]]"),"")</f>
        <v>56</v>
      </c>
      <c r="AJ15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17.7</v>
      </c>
      <c r="AL157" s="4"/>
      <c r="AM15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56</v>
      </c>
      <c r="AN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5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57" t="str">
        <f>_xlfn.CONCAT(FINI_grouping_for_wheel[[#This Row],[Recipe Combination]],FINI_grouping_for_wheel[[#This Row],[Subgroup]])</f>
        <v>X5</v>
      </c>
    </row>
    <row r="158" spans="1:55">
      <c r="A158" t="s">
        <v>10</v>
      </c>
      <c r="B158" s="23">
        <v>4558617</v>
      </c>
      <c r="C158" t="s">
        <v>760</v>
      </c>
      <c r="D158">
        <v>8713.75670048</v>
      </c>
      <c r="E158">
        <v>161</v>
      </c>
      <c r="F158">
        <v>3.22</v>
      </c>
      <c r="G158" s="23" t="s">
        <v>817</v>
      </c>
      <c r="H158" s="23" t="s">
        <v>818</v>
      </c>
      <c r="I158">
        <v>360</v>
      </c>
      <c r="J158" t="s">
        <v>90</v>
      </c>
      <c r="K158" t="s">
        <v>577</v>
      </c>
      <c r="L158" t="s">
        <v>578</v>
      </c>
      <c r="M158">
        <v>8180.78355</v>
      </c>
      <c r="N158">
        <v>32.7231342</v>
      </c>
      <c r="O158">
        <v>436718.8764</v>
      </c>
      <c r="P158">
        <v>1394706.38868</v>
      </c>
      <c r="Q158">
        <v>1.8732379093472133E-2</v>
      </c>
      <c r="R158">
        <v>163.229393842</v>
      </c>
      <c r="S158" t="s">
        <v>387</v>
      </c>
      <c r="T158" t="s">
        <v>93</v>
      </c>
      <c r="U158">
        <v>10</v>
      </c>
      <c r="V158" t="s">
        <v>482</v>
      </c>
      <c r="W158" t="s">
        <v>142</v>
      </c>
      <c r="X158" t="s">
        <v>96</v>
      </c>
      <c r="Y158" s="23" t="s">
        <v>483</v>
      </c>
      <c r="AA158">
        <v>266</v>
      </c>
      <c r="AB158" t="s">
        <v>819</v>
      </c>
      <c r="AC158" t="s">
        <v>764</v>
      </c>
      <c r="AD158" s="2">
        <v>5</v>
      </c>
      <c r="AE158" s="2" t="s">
        <v>70</v>
      </c>
      <c r="AF158" t="str">
        <f>_xlfn.CONCAT(FINI_grouping_for_wheel[[#This Row],[SEFI/Plant]],"/",IF(FINI_grouping_for_wheel[[#This Row],[RESET recipe combination]]&lt;&gt;"",FINI_grouping_for_wheel[[#This Row],[RESET recipe combination]],FINI_grouping_for_wheel[[#This Row],[Recipe Combination]]),"/",FINI_grouping_for_wheel[[#This Row],[Subgroup]])</f>
        <v>4558617/THDP/x/5</v>
      </c>
      <c r="AG1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0.24330985915492956</v>
      </c>
      <c r="AH158">
        <f>_xlfn.LET(_xlpm.pct, FINI_grouping_for_wheel[[#This Row],[% forecast within subgroup]], _xlpm.lote, FINI_grouping_for_wheel[[#This Row],[Lot size considered]], _xlpm.pct*_xlpm.lote)</f>
        <v>2120.142915504113</v>
      </c>
      <c r="AI158" cm="1">
        <f t="array" aca="1" ref="AI158" ca="1">IFERROR(INDIRECT("FINI_grouping_for_wheel[@["&amp;FINI_grouping_for_wheel[[#This Row],[Selected PV]]&amp;"]]"),"")</f>
        <v>56</v>
      </c>
      <c r="AJ15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v>
      </c>
      <c r="AL158" s="4"/>
      <c r="AM15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56</v>
      </c>
      <c r="AN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5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58" t="str">
        <f>_xlfn.CONCAT(FINI_grouping_for_wheel[[#This Row],[Recipe Combination]],FINI_grouping_for_wheel[[#This Row],[Subgroup]])</f>
        <v>X5</v>
      </c>
    </row>
    <row r="159" spans="1:55">
      <c r="A159" t="s">
        <v>10</v>
      </c>
      <c r="B159" s="23">
        <v>4558617</v>
      </c>
      <c r="C159" t="s">
        <v>760</v>
      </c>
      <c r="D159">
        <v>8713.75670048</v>
      </c>
      <c r="E159">
        <v>161</v>
      </c>
      <c r="F159">
        <v>3.22</v>
      </c>
      <c r="G159" s="23" t="s">
        <v>820</v>
      </c>
      <c r="H159" s="23" t="s">
        <v>821</v>
      </c>
      <c r="I159">
        <v>360</v>
      </c>
      <c r="J159" t="s">
        <v>90</v>
      </c>
      <c r="K159" t="s">
        <v>822</v>
      </c>
      <c r="L159" t="s">
        <v>823</v>
      </c>
      <c r="M159">
        <v>142589.5182</v>
      </c>
      <c r="N159">
        <v>570.3580728</v>
      </c>
      <c r="O159">
        <v>436718.8764</v>
      </c>
      <c r="P159">
        <v>1394706.38868</v>
      </c>
      <c r="Q159">
        <v>0.32650184341791366</v>
      </c>
      <c r="R159">
        <v>2845.0576258</v>
      </c>
      <c r="S159" t="s">
        <v>387</v>
      </c>
      <c r="T159" t="s">
        <v>93</v>
      </c>
      <c r="U159">
        <v>10</v>
      </c>
      <c r="V159" t="s">
        <v>482</v>
      </c>
      <c r="W159" t="s">
        <v>159</v>
      </c>
      <c r="X159" t="s">
        <v>96</v>
      </c>
      <c r="Y159" s="23" t="s">
        <v>483</v>
      </c>
      <c r="AA159">
        <v>15</v>
      </c>
      <c r="AB159" t="s">
        <v>824</v>
      </c>
      <c r="AC159" t="s">
        <v>764</v>
      </c>
      <c r="AD159" s="2">
        <v>2</v>
      </c>
      <c r="AE159" s="2" t="s">
        <v>70</v>
      </c>
      <c r="AF159" t="str">
        <f>_xlfn.CONCAT(FINI_grouping_for_wheel[[#This Row],[SEFI/Plant]],"/",IF(FINI_grouping_for_wheel[[#This Row],[RESET recipe combination]]&lt;&gt;"",FINI_grouping_for_wheel[[#This Row],[RESET recipe combination]],FINI_grouping_for_wheel[[#This Row],[Recipe Combination]]),"/",FINI_grouping_for_wheel[[#This Row],[Subgroup]])</f>
        <v>4558617/THDP/x/2</v>
      </c>
      <c r="AG1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59">
        <f>_xlfn.LET(_xlpm.pct, FINI_grouping_for_wheel[[#This Row],[% forecast within subgroup]], _xlpm.lote, FINI_grouping_for_wheel[[#This Row],[Lot size considered]], _xlpm.pct*_xlpm.lote)</f>
        <v>8713.75670048</v>
      </c>
      <c r="AI159" cm="1">
        <f t="array" aca="1" ref="AI159" ca="1">IFERROR(INDIRECT("FINI_grouping_for_wheel[@["&amp;FINI_grouping_for_wheel[[#This Row],[Selected PV]]&amp;"]]"),"")</f>
        <v>13</v>
      </c>
      <c r="AJ15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24.8</v>
      </c>
      <c r="AL159" s="4"/>
      <c r="AM15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v>
      </c>
      <c r="AN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5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59" t="str">
        <f>_xlfn.CONCAT(FINI_grouping_for_wheel[[#This Row],[Recipe Combination]],FINI_grouping_for_wheel[[#This Row],[Subgroup]])</f>
        <v>X2</v>
      </c>
    </row>
    <row r="160" spans="1:55">
      <c r="A160" t="s">
        <v>10</v>
      </c>
      <c r="B160" s="23">
        <v>4558617</v>
      </c>
      <c r="C160" t="s">
        <v>760</v>
      </c>
      <c r="D160">
        <v>8713.75670048</v>
      </c>
      <c r="E160">
        <v>161</v>
      </c>
      <c r="F160">
        <v>3.22</v>
      </c>
      <c r="G160" s="23" t="s">
        <v>825</v>
      </c>
      <c r="H160" s="23" t="s">
        <v>826</v>
      </c>
      <c r="I160">
        <v>360</v>
      </c>
      <c r="J160" t="s">
        <v>90</v>
      </c>
      <c r="K160" t="s">
        <v>827</v>
      </c>
      <c r="L160" t="s">
        <v>828</v>
      </c>
      <c r="M160">
        <v>148864.2147</v>
      </c>
      <c r="N160">
        <v>595.4568588</v>
      </c>
      <c r="O160">
        <v>436718.8764</v>
      </c>
      <c r="P160">
        <v>1394706.38868</v>
      </c>
      <c r="Q160">
        <v>0.3408696595098677</v>
      </c>
      <c r="R160">
        <v>2970.25527955</v>
      </c>
      <c r="S160" t="s">
        <v>387</v>
      </c>
      <c r="T160" t="s">
        <v>93</v>
      </c>
      <c r="U160">
        <v>10</v>
      </c>
      <c r="V160" t="s">
        <v>482</v>
      </c>
      <c r="W160" t="s">
        <v>159</v>
      </c>
      <c r="X160" t="s">
        <v>96</v>
      </c>
      <c r="Y160" s="23" t="s">
        <v>483</v>
      </c>
      <c r="AA160">
        <v>15</v>
      </c>
      <c r="AB160" t="s">
        <v>829</v>
      </c>
      <c r="AC160" t="s">
        <v>764</v>
      </c>
      <c r="AD160" s="2">
        <v>3</v>
      </c>
      <c r="AE160" s="2" t="s">
        <v>70</v>
      </c>
      <c r="AF160" t="str">
        <f>_xlfn.CONCAT(FINI_grouping_for_wheel[[#This Row],[SEFI/Plant]],"/",IF(FINI_grouping_for_wheel[[#This Row],[RESET recipe combination]]&lt;&gt;"",FINI_grouping_for_wheel[[#This Row],[RESET recipe combination]],FINI_grouping_for_wheel[[#This Row],[Recipe Combination]]),"/",FINI_grouping_for_wheel[[#This Row],[Subgroup]])</f>
        <v>4558617/THDP/x/3</v>
      </c>
      <c r="AG1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60">
        <f>_xlfn.LET(_xlpm.pct, FINI_grouping_for_wheel[[#This Row],[% forecast within subgroup]], _xlpm.lote, FINI_grouping_for_wheel[[#This Row],[Lot size considered]], _xlpm.pct*_xlpm.lote)</f>
        <v>8713.75670048</v>
      </c>
      <c r="AI160" cm="1">
        <f t="array" aca="1" ref="AI160" ca="1">IFERROR(INDIRECT("FINI_grouping_for_wheel[@["&amp;FINI_grouping_for_wheel[[#This Row],[Selected PV]]&amp;"]]"),"")</f>
        <v>13</v>
      </c>
      <c r="AJ16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24.8</v>
      </c>
      <c r="AL160" s="4"/>
      <c r="AM16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v>
      </c>
      <c r="AN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6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60" t="str">
        <f>_xlfn.CONCAT(FINI_grouping_for_wheel[[#This Row],[Recipe Combination]],FINI_grouping_for_wheel[[#This Row],[Subgroup]])</f>
        <v>X3</v>
      </c>
    </row>
    <row r="161" spans="1:55">
      <c r="A161" t="s">
        <v>10</v>
      </c>
      <c r="B161" s="23">
        <v>4558617</v>
      </c>
      <c r="C161" t="s">
        <v>760</v>
      </c>
      <c r="D161">
        <v>8713.75670048</v>
      </c>
      <c r="E161">
        <v>161</v>
      </c>
      <c r="F161">
        <v>3.22</v>
      </c>
      <c r="G161" s="23" t="s">
        <v>830</v>
      </c>
      <c r="H161" s="23" t="s">
        <v>831</v>
      </c>
      <c r="I161">
        <v>360</v>
      </c>
      <c r="J161" t="s">
        <v>90</v>
      </c>
      <c r="K161" t="s">
        <v>577</v>
      </c>
      <c r="L161" t="s">
        <v>578</v>
      </c>
      <c r="M161">
        <v>1491.7203</v>
      </c>
      <c r="N161">
        <v>5.9668812</v>
      </c>
      <c r="O161">
        <v>436718.8764</v>
      </c>
      <c r="P161">
        <v>1394706.38868</v>
      </c>
      <c r="Q161">
        <v>3.4157449577098243E-3</v>
      </c>
      <c r="R161">
        <v>29.7639705124</v>
      </c>
      <c r="S161" t="s">
        <v>387</v>
      </c>
      <c r="T161" t="s">
        <v>93</v>
      </c>
      <c r="U161">
        <v>10</v>
      </c>
      <c r="V161" t="s">
        <v>482</v>
      </c>
      <c r="W161" t="s">
        <v>142</v>
      </c>
      <c r="X161" t="s">
        <v>96</v>
      </c>
      <c r="Y161" s="23" t="s">
        <v>483</v>
      </c>
      <c r="AA161">
        <v>1460</v>
      </c>
      <c r="AB161" t="s">
        <v>832</v>
      </c>
      <c r="AC161" t="s">
        <v>764</v>
      </c>
      <c r="AD161" s="2">
        <v>5</v>
      </c>
      <c r="AE161" s="2" t="s">
        <v>70</v>
      </c>
      <c r="AF161" t="str">
        <f>_xlfn.CONCAT(FINI_grouping_for_wheel[[#This Row],[SEFI/Plant]],"/",IF(FINI_grouping_for_wheel[[#This Row],[RESET recipe combination]]&lt;&gt;"",FINI_grouping_for_wheel[[#This Row],[RESET recipe combination]],FINI_grouping_for_wheel[[#This Row],[Recipe Combination]]),"/",FINI_grouping_for_wheel[[#This Row],[Subgroup]])</f>
        <v>4558617/THDP/x/5</v>
      </c>
      <c r="AG1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0.04436619718309859</v>
      </c>
      <c r="AH161">
        <f>_xlfn.LET(_xlpm.pct, FINI_grouping_for_wheel[[#This Row],[% forecast within subgroup]], _xlpm.lote, FINI_grouping_for_wheel[[#This Row],[Lot size considered]], _xlpm.pct*_xlpm.lote)</f>
        <v>386.59624797904223</v>
      </c>
      <c r="AI161" cm="1">
        <f t="array" aca="1" ref="AI161" ca="1">IFERROR(INDIRECT("FINI_grouping_for_wheel[@["&amp;FINI_grouping_for_wheel[[#This Row],[Selected PV]]&amp;"]]"),"")</f>
        <v>56</v>
      </c>
      <c r="AJ16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v>
      </c>
      <c r="AL161" s="4"/>
      <c r="AM16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56</v>
      </c>
      <c r="AN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6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61" t="str">
        <f>_xlfn.CONCAT(FINI_grouping_for_wheel[[#This Row],[Recipe Combination]],FINI_grouping_for_wheel[[#This Row],[Subgroup]])</f>
        <v>X5</v>
      </c>
    </row>
    <row r="162" spans="1:55">
      <c r="A162" t="s">
        <v>10</v>
      </c>
      <c r="B162" s="23">
        <v>4558617</v>
      </c>
      <c r="C162" t="s">
        <v>760</v>
      </c>
      <c r="D162">
        <v>8713.75670048</v>
      </c>
      <c r="E162">
        <v>161</v>
      </c>
      <c r="F162">
        <v>3.22</v>
      </c>
      <c r="G162" s="23" t="s">
        <v>833</v>
      </c>
      <c r="H162" s="23" t="s">
        <v>834</v>
      </c>
      <c r="I162">
        <v>360</v>
      </c>
      <c r="J162" t="s">
        <v>90</v>
      </c>
      <c r="K162" t="s">
        <v>835</v>
      </c>
      <c r="L162" t="s">
        <v>836</v>
      </c>
      <c r="M162">
        <v>111642.2415</v>
      </c>
      <c r="N162">
        <v>446.568966</v>
      </c>
      <c r="O162">
        <v>436718.8764</v>
      </c>
      <c r="P162">
        <v>1394706.38868</v>
      </c>
      <c r="Q162">
        <v>0.25563869008891782</v>
      </c>
      <c r="R162">
        <v>2227.57334867</v>
      </c>
      <c r="S162" t="s">
        <v>387</v>
      </c>
      <c r="T162" t="s">
        <v>93</v>
      </c>
      <c r="U162">
        <v>10</v>
      </c>
      <c r="V162" t="s">
        <v>482</v>
      </c>
      <c r="W162" t="s">
        <v>159</v>
      </c>
      <c r="X162" t="s">
        <v>96</v>
      </c>
      <c r="Y162" s="23" t="s">
        <v>483</v>
      </c>
      <c r="AA162">
        <v>20</v>
      </c>
      <c r="AB162" t="s">
        <v>837</v>
      </c>
      <c r="AC162" t="s">
        <v>764</v>
      </c>
      <c r="AD162" s="2">
        <v>4</v>
      </c>
      <c r="AE162" s="2" t="s">
        <v>70</v>
      </c>
      <c r="AF162" t="str">
        <f>_xlfn.CONCAT(FINI_grouping_for_wheel[[#This Row],[SEFI/Plant]],"/",IF(FINI_grouping_for_wheel[[#This Row],[RESET recipe combination]]&lt;&gt;"",FINI_grouping_for_wheel[[#This Row],[RESET recipe combination]],FINI_grouping_for_wheel[[#This Row],[Recipe Combination]]),"/",FINI_grouping_for_wheel[[#This Row],[Subgroup]])</f>
        <v>4558617/THDP/x/4</v>
      </c>
      <c r="AG1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62">
        <f>_xlfn.LET(_xlpm.pct, FINI_grouping_for_wheel[[#This Row],[% forecast within subgroup]], _xlpm.lote, FINI_grouping_for_wheel[[#This Row],[Lot size considered]], _xlpm.pct*_xlpm.lote)</f>
        <v>8713.75670048</v>
      </c>
      <c r="AI162" cm="1">
        <f t="array" aca="1" ref="AI162" ca="1">IFERROR(INDIRECT("FINI_grouping_for_wheel[@["&amp;FINI_grouping_for_wheel[[#This Row],[Selected PV]]&amp;"]]"),"")</f>
        <v>17</v>
      </c>
      <c r="AJ16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8921.90808</v>
      </c>
      <c r="AK1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24.8</v>
      </c>
      <c r="AL162" s="4"/>
      <c r="AM16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v>
      </c>
      <c r="AN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6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62" t="str">
        <f>_xlfn.CONCAT(FINI_grouping_for_wheel[[#This Row],[Recipe Combination]],FINI_grouping_for_wheel[[#This Row],[Subgroup]])</f>
        <v>X4</v>
      </c>
    </row>
    <row r="163" spans="1:55" hidden="1">
      <c r="A163" t="s">
        <v>10</v>
      </c>
      <c r="B163">
        <v>4351748</v>
      </c>
      <c r="C163" t="s">
        <v>838</v>
      </c>
      <c r="D163">
        <v>8322.82246466</v>
      </c>
      <c r="E163">
        <v>148</v>
      </c>
      <c r="F163">
        <v>2.96</v>
      </c>
      <c r="G163" t="s">
        <v>839</v>
      </c>
      <c r="H163" t="s">
        <v>840</v>
      </c>
      <c r="I163">
        <v>420</v>
      </c>
      <c r="J163" t="s">
        <v>90</v>
      </c>
      <c r="K163" t="s">
        <v>841</v>
      </c>
      <c r="L163" t="s">
        <v>842</v>
      </c>
      <c r="M163">
        <v>6847.70652</v>
      </c>
      <c r="N163">
        <v>27.39082608</v>
      </c>
      <c r="O163">
        <v>9131.459265</v>
      </c>
      <c r="P163">
        <v>1231206.74037</v>
      </c>
      <c r="Q163">
        <v>0.74990276157137303</v>
      </c>
      <c r="R163">
        <v>6241.30755032</v>
      </c>
      <c r="S163" t="s">
        <v>104</v>
      </c>
      <c r="T163" t="s">
        <v>93</v>
      </c>
      <c r="U163">
        <v>1</v>
      </c>
      <c r="V163" t="s">
        <v>843</v>
      </c>
      <c r="W163" t="s">
        <v>142</v>
      </c>
      <c r="X163" t="s">
        <v>150</v>
      </c>
      <c r="Y163" s="23" t="s">
        <v>151</v>
      </c>
      <c r="AA163">
        <v>304</v>
      </c>
      <c r="AB163" t="s">
        <v>844</v>
      </c>
      <c r="AC163" t="s">
        <v>845</v>
      </c>
      <c r="AD163" s="2">
        <v>5</v>
      </c>
      <c r="AE163" s="2" t="s">
        <v>70</v>
      </c>
      <c r="AF163" t="str">
        <f>_xlfn.CONCAT(FINI_grouping_for_wheel[[#This Row],[SEFI/Plant]],"/",IF(FINI_grouping_for_wheel[[#This Row],[RESET recipe combination]]&lt;&gt;"",FINI_grouping_for_wheel[[#This Row],[RESET recipe combination]],FINI_grouping_for_wheel[[#This Row],[Recipe Combination]]),"/",FINI_grouping_for_wheel[[#This Row],[Subgroup]])</f>
        <v>4351748/THDP/x/5</v>
      </c>
      <c r="AG1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0.8731884057971014</v>
      </c>
      <c r="AH163">
        <f>_xlfn.LET(_xlpm.pct, FINI_grouping_for_wheel[[#This Row],[% forecast within subgroup]], _xlpm.lote, FINI_grouping_for_wheel[[#This Row],[Lot size considered]], _xlpm.pct*_xlpm.lote)</f>
        <v>7267.392079648767</v>
      </c>
      <c r="AI163" cm="1">
        <f t="array" aca="1" ref="AI163" ca="1">IFERROR(INDIRECT("FINI_grouping_for_wheel[@["&amp;FINI_grouping_for_wheel[[#This Row],[Selected PV]]&amp;"]]"),"")</f>
        <v>241</v>
      </c>
      <c r="AJ16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18.5</v>
      </c>
      <c r="AL163" s="4"/>
      <c r="AM16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241</v>
      </c>
      <c r="AN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6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510</v>
      </c>
      <c r="AP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6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63" t="str">
        <f>_xlfn.CONCAT(FINI_grouping_for_wheel[[#This Row],[Recipe Combination]],FINI_grouping_for_wheel[[#This Row],[Subgroup]])</f>
        <v>05</v>
      </c>
    </row>
    <row r="164" spans="1:55" hidden="1">
      <c r="A164" t="s">
        <v>10</v>
      </c>
      <c r="B164">
        <v>4351748</v>
      </c>
      <c r="C164" t="s">
        <v>838</v>
      </c>
      <c r="D164">
        <v>8322.82246466</v>
      </c>
      <c r="E164">
        <v>148</v>
      </c>
      <c r="F164">
        <v>2.96</v>
      </c>
      <c r="G164" t="s">
        <v>846</v>
      </c>
      <c r="H164" t="s">
        <v>847</v>
      </c>
      <c r="I164">
        <v>190</v>
      </c>
      <c r="J164" t="s">
        <v>90</v>
      </c>
      <c r="K164" t="s">
        <v>602</v>
      </c>
      <c r="L164" t="s">
        <v>603</v>
      </c>
      <c r="M164">
        <v>1729.685205</v>
      </c>
      <c r="N164">
        <v>6.91874082</v>
      </c>
      <c r="O164">
        <v>9131.459265</v>
      </c>
      <c r="P164">
        <v>1231206.74037</v>
      </c>
      <c r="Q164">
        <v>0.18942045896538312</v>
      </c>
      <c r="R164">
        <v>1576.51285114</v>
      </c>
      <c r="S164" t="s">
        <v>104</v>
      </c>
      <c r="T164" t="s">
        <v>93</v>
      </c>
      <c r="U164">
        <v>2.5</v>
      </c>
      <c r="V164" t="s">
        <v>604</v>
      </c>
      <c r="W164" t="s">
        <v>142</v>
      </c>
      <c r="X164" t="s">
        <v>128</v>
      </c>
      <c r="Y164" s="23" t="s">
        <v>136</v>
      </c>
      <c r="AA164">
        <v>1203</v>
      </c>
      <c r="AB164" t="s">
        <v>848</v>
      </c>
      <c r="AC164" t="s">
        <v>845</v>
      </c>
      <c r="AD164" s="2">
        <v>11</v>
      </c>
      <c r="AE164" s="2" t="s">
        <v>70</v>
      </c>
      <c r="AF164" t="str">
        <f>_xlfn.CONCAT(FINI_grouping_for_wheel[[#This Row],[SEFI/Plant]],"/",IF(FINI_grouping_for_wheel[[#This Row],[RESET recipe combination]]&lt;&gt;"",FINI_grouping_for_wheel[[#This Row],[RESET recipe combination]],FINI_grouping_for_wheel[[#This Row],[Recipe Combination]]),"/",FINI_grouping_for_wheel[[#This Row],[Subgroup]])</f>
        <v>4351748/THDP/x/11</v>
      </c>
      <c r="AG1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0.07559764048432163</v>
      </c>
      <c r="AH164">
        <f>_xlfn.LET(_xlpm.pct, FINI_grouping_for_wheel[[#This Row],[% forecast within subgroup]], _xlpm.lote, FINI_grouping_for_wheel[[#This Row],[Lot size considered]], _xlpm.pct*_xlpm.lote)</f>
        <v>629.1857404982023</v>
      </c>
      <c r="AI164" cm="1">
        <f t="array" aca="1" ref="AI164" ca="1">IFERROR(INDIRECT("FINI_grouping_for_wheel[@["&amp;FINI_grouping_for_wheel[[#This Row],[Selected PV]]&amp;"]]"),"")</f>
        <v>83</v>
      </c>
      <c r="AJ16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3.5</v>
      </c>
      <c r="AL164" s="4"/>
      <c r="AM16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83</v>
      </c>
      <c r="AN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6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175</v>
      </c>
      <c r="AP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6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64" t="str">
        <f>_xlfn.CONCAT(FINI_grouping_for_wheel[[#This Row],[Recipe Combination]],FINI_grouping_for_wheel[[#This Row],[Subgroup]])</f>
        <v>011</v>
      </c>
    </row>
    <row r="165" spans="1:55" hidden="1">
      <c r="A165" t="s">
        <v>10</v>
      </c>
      <c r="B165">
        <v>4351748</v>
      </c>
      <c r="C165" t="s">
        <v>838</v>
      </c>
      <c r="D165">
        <v>8322.82246466</v>
      </c>
      <c r="E165">
        <v>148</v>
      </c>
      <c r="F165">
        <v>2.96</v>
      </c>
      <c r="G165" t="s">
        <v>849</v>
      </c>
      <c r="H165" t="s">
        <v>850</v>
      </c>
      <c r="J165" t="s">
        <v>90</v>
      </c>
      <c r="M165">
        <v>137.33298</v>
      </c>
      <c r="N165">
        <v>0.54933192</v>
      </c>
      <c r="O165">
        <v>9131.459265</v>
      </c>
      <c r="P165">
        <v>1231206.74037</v>
      </c>
      <c r="Q165">
        <v>1.5039543627641644E-2</v>
      </c>
      <c r="R165">
        <v>125.171451562</v>
      </c>
      <c r="S165" t="s">
        <v>104</v>
      </c>
      <c r="T165" t="s">
        <v>93</v>
      </c>
      <c r="U165">
        <v>4</v>
      </c>
      <c r="AA165">
        <v>15151</v>
      </c>
      <c r="AB165" t="s">
        <v>851</v>
      </c>
      <c r="AC165" t="s">
        <v>845</v>
      </c>
      <c r="AD165" s="2">
        <v>13</v>
      </c>
      <c r="AE165" s="2" t="s">
        <v>70</v>
      </c>
      <c r="AF165" t="str">
        <f>_xlfn.CONCAT(FINI_grouping_for_wheel[[#This Row],[SEFI/Plant]],"/",IF(FINI_grouping_for_wheel[[#This Row],[RESET recipe combination]]&lt;&gt;"",FINI_grouping_for_wheel[[#This Row],[RESET recipe combination]],FINI_grouping_for_wheel[[#This Row],[Recipe Combination]]),"/",FINI_grouping_for_wheel[[#This Row],[Subgroup]])</f>
        <v>4351748/THDP/x/13</v>
      </c>
      <c r="AG1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0.003808148123830471</v>
      </c>
      <c r="AH165">
        <f>_xlfn.LET(_xlpm.pct, FINI_grouping_for_wheel[[#This Row],[% forecast within subgroup]], _xlpm.lote, FINI_grouping_for_wheel[[#This Row],[Lot size considered]], _xlpm.pct*_xlpm.lote)</f>
        <v>31.694540753769072</v>
      </c>
      <c r="AI165" cm="1">
        <f t="array" aca="1" ref="AI165" ca="1">IFERROR(INDIRECT("FINI_grouping_for_wheel[@["&amp;FINI_grouping_for_wheel[[#This Row],[Selected PV]]&amp;"]]"),"")</f>
        <v>52</v>
      </c>
      <c r="AJ16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6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165" s="4"/>
      <c r="AM16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52</v>
      </c>
      <c r="AN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6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111</v>
      </c>
      <c r="AP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6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65" t="str">
        <f>_xlfn.CONCAT(FINI_grouping_for_wheel[[#This Row],[Recipe Combination]],FINI_grouping_for_wheel[[#This Row],[Subgroup]])</f>
        <v>013</v>
      </c>
    </row>
    <row r="166" spans="1:55" hidden="1">
      <c r="A166" t="s">
        <v>10</v>
      </c>
      <c r="B166">
        <v>4351748</v>
      </c>
      <c r="C166" t="s">
        <v>838</v>
      </c>
      <c r="D166">
        <v>8322.82246466</v>
      </c>
      <c r="E166">
        <v>148</v>
      </c>
      <c r="F166">
        <v>2.96</v>
      </c>
      <c r="G166" t="s">
        <v>852</v>
      </c>
      <c r="H166" t="s">
        <v>853</v>
      </c>
      <c r="I166">
        <v>345</v>
      </c>
      <c r="J166" t="s">
        <v>90</v>
      </c>
      <c r="K166" t="s">
        <v>841</v>
      </c>
      <c r="L166" t="s">
        <v>842</v>
      </c>
      <c r="M166">
        <v>416.73456</v>
      </c>
      <c r="N166">
        <v>1.66693824</v>
      </c>
      <c r="O166">
        <v>9131.459265</v>
      </c>
      <c r="P166">
        <v>1231206.74037</v>
      </c>
      <c r="Q166">
        <v>4.5637235835602231E-2</v>
      </c>
      <c r="R166">
        <v>379.830611637</v>
      </c>
      <c r="S166" t="s">
        <v>104</v>
      </c>
      <c r="T166" t="s">
        <v>93</v>
      </c>
      <c r="U166">
        <v>1</v>
      </c>
      <c r="V166" t="s">
        <v>843</v>
      </c>
      <c r="W166" t="s">
        <v>142</v>
      </c>
      <c r="X166" t="s">
        <v>150</v>
      </c>
      <c r="Y166" s="23" t="s">
        <v>151</v>
      </c>
      <c r="AA166">
        <v>4993</v>
      </c>
      <c r="AB166" t="s">
        <v>854</v>
      </c>
      <c r="AC166" t="s">
        <v>845</v>
      </c>
      <c r="AD166" s="2">
        <v>5</v>
      </c>
      <c r="AE166" s="2" t="s">
        <v>70</v>
      </c>
      <c r="AF166" t="str">
        <f>_xlfn.CONCAT(FINI_grouping_for_wheel[[#This Row],[SEFI/Plant]],"/",IF(FINI_grouping_for_wheel[[#This Row],[RESET recipe combination]]&lt;&gt;"",FINI_grouping_for_wheel[[#This Row],[RESET recipe combination]],FINI_grouping_for_wheel[[#This Row],[Recipe Combination]]),"/",FINI_grouping_for_wheel[[#This Row],[Subgroup]])</f>
        <v>4351748/THDP/x/5</v>
      </c>
      <c r="AG1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0.05314009661835749</v>
      </c>
      <c r="AH166">
        <f>_xlfn.LET(_xlpm.pct, FINI_grouping_for_wheel[[#This Row],[% forecast within subgroup]], _xlpm.lote, FINI_grouping_for_wheel[[#This Row],[Lot size considered]], _xlpm.pct*_xlpm.lote)</f>
        <v>442.2755899094686</v>
      </c>
      <c r="AI166" cm="1">
        <f t="array" aca="1" ref="AI166" ca="1">IFERROR(INDIRECT("FINI_grouping_for_wheel[@["&amp;FINI_grouping_for_wheel[[#This Row],[Selected PV]]&amp;"]]"),"")</f>
        <v>241</v>
      </c>
      <c r="AJ16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v>
      </c>
      <c r="AL166" s="4"/>
      <c r="AM16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241</v>
      </c>
      <c r="AN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6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510</v>
      </c>
      <c r="AP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6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66" t="str">
        <f>_xlfn.CONCAT(FINI_grouping_for_wheel[[#This Row],[Recipe Combination]],FINI_grouping_for_wheel[[#This Row],[Subgroup]])</f>
        <v>05</v>
      </c>
    </row>
    <row r="167" spans="1:55" hidden="1">
      <c r="A167" t="s">
        <v>10</v>
      </c>
      <c r="B167">
        <v>4351748</v>
      </c>
      <c r="C167" t="s">
        <v>838</v>
      </c>
      <c r="D167">
        <v>8322.82246466</v>
      </c>
      <c r="E167">
        <v>148</v>
      </c>
      <c r="F167">
        <v>2.96</v>
      </c>
      <c r="G167" t="s">
        <v>855</v>
      </c>
      <c r="H167" t="s">
        <v>856</v>
      </c>
      <c r="I167">
        <v>450</v>
      </c>
      <c r="J167" t="s">
        <v>90</v>
      </c>
      <c r="K167" t="s">
        <v>264</v>
      </c>
      <c r="L167" t="s">
        <v>265</v>
      </c>
      <c r="M167">
        <v>20766.877605</v>
      </c>
      <c r="N167">
        <v>83.06751042</v>
      </c>
      <c r="O167">
        <v>21348.17496</v>
      </c>
      <c r="P167">
        <v>1231206.74037</v>
      </c>
      <c r="Q167">
        <v>0.97277062999112685</v>
      </c>
      <c r="R167">
        <v>8096.19725225</v>
      </c>
      <c r="S167" t="s">
        <v>594</v>
      </c>
      <c r="T167" t="s">
        <v>93</v>
      </c>
      <c r="U167">
        <v>2.5</v>
      </c>
      <c r="V167" t="s">
        <v>267</v>
      </c>
      <c r="W167" t="s">
        <v>142</v>
      </c>
      <c r="X167" t="s">
        <v>150</v>
      </c>
      <c r="Y167" s="23" t="s">
        <v>151</v>
      </c>
      <c r="AA167">
        <v>100</v>
      </c>
      <c r="AB167" t="s">
        <v>857</v>
      </c>
      <c r="AC167" t="s">
        <v>845</v>
      </c>
      <c r="AD167" s="2">
        <v>4</v>
      </c>
      <c r="AE167" s="2" t="s">
        <v>70</v>
      </c>
      <c r="AF167" t="str">
        <f>_xlfn.CONCAT(FINI_grouping_for_wheel[[#This Row],[SEFI/Plant]],"/",IF(FINI_grouping_for_wheel[[#This Row],[RESET recipe combination]]&lt;&gt;"",FINI_grouping_for_wheel[[#This Row],[RESET recipe combination]],FINI_grouping_for_wheel[[#This Row],[Recipe Combination]]),"/",FINI_grouping_for_wheel[[#This Row],[Subgroup]])</f>
        <v>4351748/THDP/x/4</v>
      </c>
      <c r="AG1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0.9419503812694662</v>
      </c>
      <c r="AH167">
        <f>_xlfn.LET(_xlpm.pct, FINI_grouping_for_wheel[[#This Row],[% forecast within subgroup]], _xlpm.lote, FINI_grouping_for_wheel[[#This Row],[Lot size considered]], _xlpm.pct*_xlpm.lote)</f>
        <v>7839.685793824565</v>
      </c>
      <c r="AI167" cm="1">
        <f t="array" aca="1" ref="AI167" ca="1">IFERROR(INDIRECT("FINI_grouping_for_wheel[@["&amp;FINI_grouping_for_wheel[[#This Row],[Selected PV]]&amp;"]]"),"")</f>
        <v>86</v>
      </c>
      <c r="AJ16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18.6</v>
      </c>
      <c r="AL167" s="4"/>
      <c r="AM16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86</v>
      </c>
      <c r="AN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6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181</v>
      </c>
      <c r="AP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6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67" t="str">
        <f>_xlfn.CONCAT(FINI_grouping_for_wheel[[#This Row],[Recipe Combination]],FINI_grouping_for_wheel[[#This Row],[Subgroup]])</f>
        <v>44</v>
      </c>
    </row>
    <row r="168" spans="1:55" hidden="1">
      <c r="A168" t="s">
        <v>10</v>
      </c>
      <c r="B168">
        <v>4351748</v>
      </c>
      <c r="C168" t="s">
        <v>838</v>
      </c>
      <c r="D168">
        <v>8322.82246466</v>
      </c>
      <c r="E168">
        <v>148</v>
      </c>
      <c r="F168">
        <v>2.96</v>
      </c>
      <c r="G168" t="s">
        <v>858</v>
      </c>
      <c r="H168" t="s">
        <v>859</v>
      </c>
      <c r="I168">
        <v>495</v>
      </c>
      <c r="J168" t="s">
        <v>90</v>
      </c>
      <c r="K168" t="s">
        <v>860</v>
      </c>
      <c r="L168" t="s">
        <v>861</v>
      </c>
      <c r="M168">
        <v>581.297355</v>
      </c>
      <c r="N168">
        <v>2.32518942</v>
      </c>
      <c r="O168">
        <v>21348.17496</v>
      </c>
      <c r="P168">
        <v>1231206.74037</v>
      </c>
      <c r="Q168">
        <v>2.7229370008873113E-2</v>
      </c>
      <c r="R168">
        <v>226.625212408</v>
      </c>
      <c r="S168" t="s">
        <v>594</v>
      </c>
      <c r="T168" t="s">
        <v>93</v>
      </c>
      <c r="U168">
        <v>2.5</v>
      </c>
      <c r="V168" t="s">
        <v>862</v>
      </c>
      <c r="W168" t="s">
        <v>142</v>
      </c>
      <c r="X168" t="s">
        <v>150</v>
      </c>
      <c r="Y168" s="23" t="s">
        <v>151</v>
      </c>
      <c r="AA168">
        <v>3579</v>
      </c>
      <c r="AB168" t="s">
        <v>863</v>
      </c>
      <c r="AC168" t="s">
        <v>845</v>
      </c>
      <c r="AD168" s="2">
        <v>4</v>
      </c>
      <c r="AE168" s="2" t="s">
        <v>70</v>
      </c>
      <c r="AF168" t="str">
        <f>_xlfn.CONCAT(FINI_grouping_for_wheel[[#This Row],[SEFI/Plant]],"/",IF(FINI_grouping_for_wheel[[#This Row],[RESET recipe combination]]&lt;&gt;"",FINI_grouping_for_wheel[[#This Row],[RESET recipe combination]],FINI_grouping_for_wheel[[#This Row],[Recipe Combination]]),"/",FINI_grouping_for_wheel[[#This Row],[Subgroup]])</f>
        <v>4351748/THDP/x/4</v>
      </c>
      <c r="AG1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0.02636666308667168</v>
      </c>
      <c r="AH168">
        <f>_xlfn.LET(_xlpm.pct, FINI_grouping_for_wheel[[#This Row],[% forecast within subgroup]], _xlpm.lote, FINI_grouping_for_wheel[[#This Row],[Lot size considered]], _xlpm.pct*_xlpm.lote)</f>
        <v>219.4450558558726</v>
      </c>
      <c r="AI168" cm="1">
        <f t="array" aca="1" ref="AI168" ca="1">IFERROR(INDIRECT("FINI_grouping_for_wheel[@["&amp;FINI_grouping_for_wheel[[#This Row],[Selected PV]]&amp;"]]"),"")</f>
        <v>86</v>
      </c>
      <c r="AJ16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0.5</v>
      </c>
      <c r="AL168" s="4"/>
      <c r="AM16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86</v>
      </c>
      <c r="AN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6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181</v>
      </c>
      <c r="AP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6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68" t="str">
        <f>_xlfn.CONCAT(FINI_grouping_for_wheel[[#This Row],[Recipe Combination]],FINI_grouping_for_wheel[[#This Row],[Subgroup]])</f>
        <v>44</v>
      </c>
    </row>
    <row r="169" spans="1:55" hidden="1">
      <c r="A169" t="s">
        <v>10</v>
      </c>
      <c r="B169">
        <v>4351748</v>
      </c>
      <c r="C169" t="s">
        <v>838</v>
      </c>
      <c r="D169">
        <v>8322.82246466</v>
      </c>
      <c r="E169">
        <v>148</v>
      </c>
      <c r="F169">
        <v>2.96</v>
      </c>
      <c r="G169" t="s">
        <v>864</v>
      </c>
      <c r="H169" t="s">
        <v>865</v>
      </c>
      <c r="I169">
        <v>350</v>
      </c>
      <c r="J169" t="s">
        <v>90</v>
      </c>
      <c r="K169" t="s">
        <v>140</v>
      </c>
      <c r="L169" t="s">
        <v>141</v>
      </c>
      <c r="M169">
        <v>5493.3192</v>
      </c>
      <c r="N169">
        <v>21.9732768</v>
      </c>
      <c r="O169">
        <v>28538.030025</v>
      </c>
      <c r="P169">
        <v>1231206.74037</v>
      </c>
      <c r="Q169">
        <v>0.19249118440157645</v>
      </c>
      <c r="R169">
        <v>1602.06995379</v>
      </c>
      <c r="S169" t="s">
        <v>866</v>
      </c>
      <c r="T169" t="s">
        <v>93</v>
      </c>
      <c r="U169">
        <v>5</v>
      </c>
      <c r="V169" t="s">
        <v>135</v>
      </c>
      <c r="W169" t="s">
        <v>142</v>
      </c>
      <c r="X169" t="s">
        <v>128</v>
      </c>
      <c r="Y169" s="23" t="s">
        <v>136</v>
      </c>
      <c r="AA169">
        <v>379</v>
      </c>
      <c r="AB169" t="s">
        <v>867</v>
      </c>
      <c r="AC169" t="s">
        <v>845</v>
      </c>
      <c r="AD169" s="2">
        <v>11</v>
      </c>
      <c r="AE169" s="2" t="s">
        <v>70</v>
      </c>
      <c r="AF169" t="str">
        <f>_xlfn.CONCAT(FINI_grouping_for_wheel[[#This Row],[SEFI/Plant]],"/",IF(FINI_grouping_for_wheel[[#This Row],[RESET recipe combination]]&lt;&gt;"",FINI_grouping_for_wheel[[#This Row],[RESET recipe combination]],FINI_grouping_for_wheel[[#This Row],[Recipe Combination]]),"/",FINI_grouping_for_wheel[[#This Row],[Subgroup]])</f>
        <v>4351748/THDP/x/11</v>
      </c>
      <c r="AG1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0.24009106902618232</v>
      </c>
      <c r="AH169">
        <f>_xlfn.LET(_xlpm.pct, FINI_grouping_for_wheel[[#This Row],[% forecast within subgroup]], _xlpm.lote, FINI_grouping_for_wheel[[#This Row],[Lot size considered]], _xlpm.pct*_xlpm.lote)</f>
        <v>1998.2353428553447</v>
      </c>
      <c r="AI169" cm="1">
        <f t="array" aca="1" ref="AI169" ca="1">IFERROR(INDIRECT("FINI_grouping_for_wheel[@["&amp;FINI_grouping_for_wheel[[#This Row],[Selected PV]]&amp;"]]"),"")</f>
        <v>83</v>
      </c>
      <c r="AJ16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6.1</v>
      </c>
      <c r="AL169" s="4"/>
      <c r="AM16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83</v>
      </c>
      <c r="AN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6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175</v>
      </c>
      <c r="AP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6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69" t="str">
        <f>_xlfn.CONCAT(FINI_grouping_for_wheel[[#This Row],[Recipe Combination]],FINI_grouping_for_wheel[[#This Row],[Subgroup]])</f>
        <v>&lt;11</v>
      </c>
    </row>
    <row r="170" spans="1:55" hidden="1">
      <c r="A170" t="s">
        <v>10</v>
      </c>
      <c r="B170">
        <v>4351748</v>
      </c>
      <c r="C170" t="s">
        <v>838</v>
      </c>
      <c r="D170">
        <v>8322.82246466</v>
      </c>
      <c r="E170">
        <v>148</v>
      </c>
      <c r="F170">
        <v>2.96</v>
      </c>
      <c r="G170" t="s">
        <v>868</v>
      </c>
      <c r="H170" t="s">
        <v>869</v>
      </c>
      <c r="I170">
        <v>350</v>
      </c>
      <c r="J170" t="s">
        <v>90</v>
      </c>
      <c r="K170" t="s">
        <v>140</v>
      </c>
      <c r="L170" t="s">
        <v>141</v>
      </c>
      <c r="M170">
        <v>15657.143625</v>
      </c>
      <c r="N170">
        <v>62.6285745</v>
      </c>
      <c r="O170">
        <v>28538.030025</v>
      </c>
      <c r="P170">
        <v>1231206.74037</v>
      </c>
      <c r="Q170">
        <v>0.54864136071354486</v>
      </c>
      <c r="R170">
        <v>4566.24464199</v>
      </c>
      <c r="S170" t="s">
        <v>866</v>
      </c>
      <c r="T170" t="s">
        <v>93</v>
      </c>
      <c r="U170">
        <v>5</v>
      </c>
      <c r="V170" t="s">
        <v>135</v>
      </c>
      <c r="W170" t="s">
        <v>142</v>
      </c>
      <c r="X170" t="s">
        <v>128</v>
      </c>
      <c r="Y170" s="23" t="s">
        <v>136</v>
      </c>
      <c r="AA170">
        <v>133</v>
      </c>
      <c r="AB170" t="s">
        <v>870</v>
      </c>
      <c r="AC170" t="s">
        <v>845</v>
      </c>
      <c r="AD170" s="2">
        <v>11</v>
      </c>
      <c r="AE170" s="2" t="s">
        <v>70</v>
      </c>
      <c r="AF170" t="str">
        <f>_xlfn.CONCAT(FINI_grouping_for_wheel[[#This Row],[SEFI/Plant]],"/",IF(FINI_grouping_for_wheel[[#This Row],[RESET recipe combination]]&lt;&gt;"",FINI_grouping_for_wheel[[#This Row],[RESET recipe combination]],FINI_grouping_for_wheel[[#This Row],[Recipe Combination]]),"/",FINI_grouping_for_wheel[[#This Row],[Subgroup]])</f>
        <v>4351748/THDP/x/11</v>
      </c>
      <c r="AG1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0.684311290489496</v>
      </c>
      <c r="AH170">
        <f>_xlfn.LET(_xlpm.pct, FINI_grouping_for_wheel[[#This Row],[% forecast within subgroup]], _xlpm.lote, FINI_grouping_for_wheel[[#This Row],[Lot size considered]], _xlpm.pct*_xlpm.lote)</f>
        <v>5695.401381306452</v>
      </c>
      <c r="AI170" cm="1">
        <f t="array" aca="1" ref="AI170" ca="1">IFERROR(INDIRECT("FINI_grouping_for_wheel[@["&amp;FINI_grouping_for_wheel[[#This Row],[Selected PV]]&amp;"]]"),"")</f>
        <v>83</v>
      </c>
      <c r="AJ17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17.4</v>
      </c>
      <c r="AL170" s="4"/>
      <c r="AM17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83</v>
      </c>
      <c r="AN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7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175</v>
      </c>
      <c r="AP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7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70" t="str">
        <f>_xlfn.CONCAT(FINI_grouping_for_wheel[[#This Row],[Recipe Combination]],FINI_grouping_for_wheel[[#This Row],[Subgroup]])</f>
        <v>&lt;11</v>
      </c>
    </row>
    <row r="171" spans="1:55" hidden="1">
      <c r="A171" t="s">
        <v>10</v>
      </c>
      <c r="B171">
        <v>4351748</v>
      </c>
      <c r="C171" t="s">
        <v>838</v>
      </c>
      <c r="D171">
        <v>8322.82246466</v>
      </c>
      <c r="E171">
        <v>148</v>
      </c>
      <c r="F171">
        <v>2.96</v>
      </c>
      <c r="G171" t="s">
        <v>871</v>
      </c>
      <c r="H171" t="s">
        <v>872</v>
      </c>
      <c r="I171">
        <v>300</v>
      </c>
      <c r="J171" t="s">
        <v>90</v>
      </c>
      <c r="K171" t="s">
        <v>873</v>
      </c>
      <c r="L171" t="s">
        <v>874</v>
      </c>
      <c r="M171">
        <v>7387.5672</v>
      </c>
      <c r="N171">
        <v>29.5502688</v>
      </c>
      <c r="O171">
        <v>28538.030025</v>
      </c>
      <c r="P171">
        <v>1231206.74037</v>
      </c>
      <c r="Q171">
        <v>0.25886745488487867</v>
      </c>
      <c r="R171">
        <v>2154.50786889</v>
      </c>
      <c r="S171" t="s">
        <v>866</v>
      </c>
      <c r="T171" t="s">
        <v>93</v>
      </c>
      <c r="U171">
        <v>10</v>
      </c>
      <c r="V171" t="s">
        <v>127</v>
      </c>
      <c r="W171" t="s">
        <v>142</v>
      </c>
      <c r="X171" t="s">
        <v>128</v>
      </c>
      <c r="Y171" s="23" t="s">
        <v>129</v>
      </c>
      <c r="AA171">
        <v>282</v>
      </c>
      <c r="AB171" t="s">
        <v>875</v>
      </c>
      <c r="AC171" t="s">
        <v>845</v>
      </c>
      <c r="AD171" s="2">
        <v>8</v>
      </c>
      <c r="AE171" s="2" t="s">
        <v>70</v>
      </c>
      <c r="AF171" t="str">
        <f>_xlfn.CONCAT(FINI_grouping_for_wheel[[#This Row],[SEFI/Plant]],"/",IF(FINI_grouping_for_wheel[[#This Row],[RESET recipe combination]]&lt;&gt;"",FINI_grouping_for_wheel[[#This Row],[RESET recipe combination]],FINI_grouping_for_wheel[[#This Row],[Recipe Combination]]),"/",FINI_grouping_for_wheel[[#This Row],[Subgroup]])</f>
        <v>4351748/THDP/x/8</v>
      </c>
      <c r="AG1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0.2936470588235294</v>
      </c>
      <c r="AH171">
        <f>_xlfn.LET(_xlpm.pct, FINI_grouping_for_wheel[[#This Row],[% forecast within subgroup]], _xlpm.lote, FINI_grouping_for_wheel[[#This Row],[Lot size considered]], _xlpm.pct*_xlpm.lote)</f>
        <v>2443.972337857807</v>
      </c>
      <c r="AI171" cm="1">
        <f t="array" aca="1" ref="AI171" ca="1">IFERROR(INDIRECT("FINI_grouping_for_wheel[@["&amp;FINI_grouping_for_wheel[[#This Row],[Selected PV]]&amp;"]]"),"")</f>
        <v>75</v>
      </c>
      <c r="AJ17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8.7</v>
      </c>
      <c r="AL171" s="4"/>
      <c r="AM17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75</v>
      </c>
      <c r="AN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7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159</v>
      </c>
      <c r="AP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7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71" t="str">
        <f>_xlfn.CONCAT(FINI_grouping_for_wheel[[#This Row],[Recipe Combination]],FINI_grouping_for_wheel[[#This Row],[Subgroup]])</f>
        <v>&lt;8</v>
      </c>
    </row>
    <row r="172" spans="1:55" hidden="1">
      <c r="A172" t="s">
        <v>10</v>
      </c>
      <c r="B172">
        <v>4351748</v>
      </c>
      <c r="C172" t="s">
        <v>838</v>
      </c>
      <c r="D172">
        <v>8322.82246466</v>
      </c>
      <c r="E172">
        <v>148</v>
      </c>
      <c r="F172">
        <v>2.96</v>
      </c>
      <c r="G172" t="s">
        <v>876</v>
      </c>
      <c r="H172" t="s">
        <v>877</v>
      </c>
      <c r="I172">
        <v>240</v>
      </c>
      <c r="J172" t="s">
        <v>90</v>
      </c>
      <c r="K172" t="s">
        <v>878</v>
      </c>
      <c r="L172" t="s">
        <v>879</v>
      </c>
      <c r="M172">
        <v>29627.222625</v>
      </c>
      <c r="N172">
        <v>118.5088905</v>
      </c>
      <c r="O172">
        <v>67966.802145</v>
      </c>
      <c r="P172">
        <v>1231206.74037</v>
      </c>
      <c r="Q172">
        <v>0.43590726192757234</v>
      </c>
      <c r="R172">
        <v>3627.97875208</v>
      </c>
      <c r="S172" t="s">
        <v>118</v>
      </c>
      <c r="T172" t="s">
        <v>93</v>
      </c>
      <c r="U172">
        <v>5</v>
      </c>
      <c r="V172" t="s">
        <v>119</v>
      </c>
      <c r="W172" t="s">
        <v>95</v>
      </c>
      <c r="X172" t="s">
        <v>96</v>
      </c>
      <c r="Y172" s="23" t="s">
        <v>120</v>
      </c>
      <c r="AA172">
        <v>70</v>
      </c>
      <c r="AB172" t="s">
        <v>880</v>
      </c>
      <c r="AC172" t="s">
        <v>845</v>
      </c>
      <c r="AD172" s="2">
        <v>12</v>
      </c>
      <c r="AE172" s="2" t="s">
        <v>70</v>
      </c>
      <c r="AF172" t="str">
        <f>_xlfn.CONCAT(FINI_grouping_for_wheel[[#This Row],[SEFI/Plant]],"/",IF(FINI_grouping_for_wheel[[#This Row],[RESET recipe combination]]&lt;&gt;"",FINI_grouping_for_wheel[[#This Row],[RESET recipe combination]],FINI_grouping_for_wheel[[#This Row],[Recipe Combination]]),"/",FINI_grouping_for_wheel[[#This Row],[Subgroup]])</f>
        <v>4351748/THDP/x/12</v>
      </c>
      <c r="AG1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0.8881987577639752</v>
      </c>
      <c r="AH172">
        <f>_xlfn.LET(_xlpm.pct, FINI_grouping_for_wheel[[#This Row],[% forecast within subgroup]], _xlpm.lote, FINI_grouping_for_wheel[[#This Row],[Lot size considered]], _xlpm.pct*_xlpm.lote)</f>
        <v>7392.320574201118</v>
      </c>
      <c r="AI172" cm="1">
        <f t="array" aca="1" ref="AI172" ca="1">IFERROR(INDIRECT("FINI_grouping_for_wheel[@["&amp;FINI_grouping_for_wheel[[#This Row],[Selected PV]]&amp;"]]"),"")</f>
        <v>57</v>
      </c>
      <c r="AJ17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32.9</v>
      </c>
      <c r="AL172" s="4"/>
      <c r="AM17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57</v>
      </c>
      <c r="AN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7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120</v>
      </c>
      <c r="AP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7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72" t="str">
        <f>_xlfn.CONCAT(FINI_grouping_for_wheel[[#This Row],[Recipe Combination]],FINI_grouping_for_wheel[[#This Row],[Subgroup]])</f>
        <v>A12</v>
      </c>
    </row>
    <row r="173" spans="1:55" hidden="1">
      <c r="A173" t="s">
        <v>10</v>
      </c>
      <c r="B173">
        <v>4351748</v>
      </c>
      <c r="C173" t="s">
        <v>838</v>
      </c>
      <c r="D173">
        <v>8322.82246466</v>
      </c>
      <c r="E173">
        <v>148</v>
      </c>
      <c r="F173">
        <v>2.96</v>
      </c>
      <c r="G173" t="s">
        <v>881</v>
      </c>
      <c r="H173" t="s">
        <v>882</v>
      </c>
      <c r="I173">
        <v>462</v>
      </c>
      <c r="J173" t="s">
        <v>90</v>
      </c>
      <c r="K173" t="s">
        <v>883</v>
      </c>
      <c r="L173" t="s">
        <v>884</v>
      </c>
      <c r="M173">
        <v>18745.95177</v>
      </c>
      <c r="N173">
        <v>74.98380708</v>
      </c>
      <c r="O173">
        <v>67966.802145</v>
      </c>
      <c r="P173">
        <v>1231206.74037</v>
      </c>
      <c r="Q173">
        <v>0.27581041300144576</v>
      </c>
      <c r="R173">
        <v>2295.52110132</v>
      </c>
      <c r="S173" t="s">
        <v>118</v>
      </c>
      <c r="T173" t="s">
        <v>93</v>
      </c>
      <c r="U173">
        <v>14</v>
      </c>
      <c r="V173" t="s">
        <v>408</v>
      </c>
      <c r="W173" t="s">
        <v>95</v>
      </c>
      <c r="X173" t="s">
        <v>96</v>
      </c>
      <c r="Y173" s="23" t="s">
        <v>97</v>
      </c>
      <c r="AA173">
        <v>111</v>
      </c>
      <c r="AB173" t="s">
        <v>885</v>
      </c>
      <c r="AC173" t="s">
        <v>845</v>
      </c>
      <c r="AD173" s="2">
        <v>9</v>
      </c>
      <c r="AE173" s="2" t="s">
        <v>70</v>
      </c>
      <c r="AF173" t="str">
        <f>_xlfn.CONCAT(FINI_grouping_for_wheel[[#This Row],[SEFI/Plant]],"/",IF(FINI_grouping_for_wheel[[#This Row],[RESET recipe combination]]&lt;&gt;"",FINI_grouping_for_wheel[[#This Row],[RESET recipe combination]],FINI_grouping_for_wheel[[#This Row],[Recipe Combination]]),"/",FINI_grouping_for_wheel[[#This Row],[Subgroup]])</f>
        <v>4351748/THDP/x/9</v>
      </c>
      <c r="AG1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0.8765500442869796</v>
      </c>
      <c r="AH173">
        <f>_xlfn.LET(_xlpm.pct, FINI_grouping_for_wheel[[#This Row],[% forecast within subgroup]], _xlpm.lote, FINI_grouping_for_wheel[[#This Row],[Lot size considered]], _xlpm.pct*_xlpm.lote)</f>
        <v>7295.370399990391</v>
      </c>
      <c r="AI173" cm="1">
        <f t="array" aca="1" ref="AI173" ca="1">IFERROR(INDIRECT("FINI_grouping_for_wheel[@["&amp;FINI_grouping_for_wheel[[#This Row],[Selected PV]]&amp;"]]"),"")</f>
        <v>88</v>
      </c>
      <c r="AJ17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16.9</v>
      </c>
      <c r="AL173" s="4"/>
      <c r="AM17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88</v>
      </c>
      <c r="AN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7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187</v>
      </c>
      <c r="AP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7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73" t="str">
        <f>_xlfn.CONCAT(FINI_grouping_for_wheel[[#This Row],[Recipe Combination]],FINI_grouping_for_wheel[[#This Row],[Subgroup]])</f>
        <v>A9</v>
      </c>
    </row>
    <row r="174" spans="1:55" hidden="1">
      <c r="A174" t="s">
        <v>10</v>
      </c>
      <c r="B174">
        <v>4351748</v>
      </c>
      <c r="C174" t="s">
        <v>838</v>
      </c>
      <c r="D174">
        <v>8322.82246466</v>
      </c>
      <c r="E174">
        <v>148</v>
      </c>
      <c r="F174">
        <v>2.96</v>
      </c>
      <c r="G174" t="s">
        <v>886</v>
      </c>
      <c r="H174" t="s">
        <v>887</v>
      </c>
      <c r="I174">
        <v>240</v>
      </c>
      <c r="J174" t="s">
        <v>90</v>
      </c>
      <c r="K174" t="s">
        <v>888</v>
      </c>
      <c r="L174" t="s">
        <v>889</v>
      </c>
      <c r="M174">
        <v>2261.25855</v>
      </c>
      <c r="N174">
        <v>9.0450342</v>
      </c>
      <c r="O174">
        <v>67966.802145</v>
      </c>
      <c r="P174">
        <v>1231206.74037</v>
      </c>
      <c r="Q174">
        <v>3.3270044766500029E-2</v>
      </c>
      <c r="R174">
        <v>276.900675983</v>
      </c>
      <c r="S174" t="s">
        <v>118</v>
      </c>
      <c r="T174" t="s">
        <v>93</v>
      </c>
      <c r="U174">
        <v>5</v>
      </c>
      <c r="V174" t="s">
        <v>119</v>
      </c>
      <c r="W174" t="s">
        <v>95</v>
      </c>
      <c r="X174" t="s">
        <v>96</v>
      </c>
      <c r="Y174" s="23" t="s">
        <v>120</v>
      </c>
      <c r="AA174">
        <v>920</v>
      </c>
      <c r="AB174" t="s">
        <v>890</v>
      </c>
      <c r="AC174" t="s">
        <v>845</v>
      </c>
      <c r="AD174" s="2">
        <v>13</v>
      </c>
      <c r="AE174" s="2" t="s">
        <v>70</v>
      </c>
      <c r="AF174" t="str">
        <f>_xlfn.CONCAT(FINI_grouping_for_wheel[[#This Row],[SEFI/Plant]],"/",IF(FINI_grouping_for_wheel[[#This Row],[RESET recipe combination]]&lt;&gt;"",FINI_grouping_for_wheel[[#This Row],[RESET recipe combination]],FINI_grouping_for_wheel[[#This Row],[Recipe Combination]]),"/",FINI_grouping_for_wheel[[#This Row],[Subgroup]])</f>
        <v>4351748/THDP/x/13</v>
      </c>
      <c r="AG1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0.0627031285906569</v>
      </c>
      <c r="AH174">
        <f>_xlfn.LET(_xlpm.pct, FINI_grouping_for_wheel[[#This Row],[% forecast within subgroup]], _xlpm.lote, FINI_grouping_for_wheel[[#This Row],[Lot size considered]], _xlpm.pct*_xlpm.lote)</f>
        <v>521.8670072387839</v>
      </c>
      <c r="AI174" cm="1">
        <f t="array" aca="1" ref="AI174" ca="1">IFERROR(INDIRECT("FINI_grouping_for_wheel[@["&amp;FINI_grouping_for_wheel[[#This Row],[Selected PV]]&amp;"]]"),"")</f>
        <v>52</v>
      </c>
      <c r="AJ17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v>
      </c>
      <c r="AL174" s="4"/>
      <c r="AM17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52</v>
      </c>
      <c r="AN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7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111</v>
      </c>
      <c r="AP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7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74" t="str">
        <f>_xlfn.CONCAT(FINI_grouping_for_wheel[[#This Row],[Recipe Combination]],FINI_grouping_for_wheel[[#This Row],[Subgroup]])</f>
        <v>A13</v>
      </c>
    </row>
    <row r="175" spans="1:55" hidden="1">
      <c r="A175" t="s">
        <v>10</v>
      </c>
      <c r="B175">
        <v>4351748</v>
      </c>
      <c r="C175" t="s">
        <v>838</v>
      </c>
      <c r="D175">
        <v>8322.82246466</v>
      </c>
      <c r="E175">
        <v>148</v>
      </c>
      <c r="F175">
        <v>2.96</v>
      </c>
      <c r="G175" t="s">
        <v>891</v>
      </c>
      <c r="H175" t="s">
        <v>892</v>
      </c>
      <c r="I175">
        <v>330</v>
      </c>
      <c r="J175" t="s">
        <v>90</v>
      </c>
      <c r="K175" t="s">
        <v>617</v>
      </c>
      <c r="L175" t="s">
        <v>618</v>
      </c>
      <c r="M175">
        <v>17332.3692</v>
      </c>
      <c r="N175">
        <v>69.3294768</v>
      </c>
      <c r="O175">
        <v>67966.802145</v>
      </c>
      <c r="P175">
        <v>1231206.74037</v>
      </c>
      <c r="Q175">
        <v>0.25501228030448186</v>
      </c>
      <c r="R175">
        <v>2122.42193528</v>
      </c>
      <c r="S175" t="s">
        <v>118</v>
      </c>
      <c r="T175" t="s">
        <v>93</v>
      </c>
      <c r="U175">
        <v>10</v>
      </c>
      <c r="V175" t="s">
        <v>94</v>
      </c>
      <c r="W175" t="s">
        <v>142</v>
      </c>
      <c r="X175" t="s">
        <v>96</v>
      </c>
      <c r="Y175" s="23" t="s">
        <v>97</v>
      </c>
      <c r="AA175">
        <v>120</v>
      </c>
      <c r="AB175" t="s">
        <v>893</v>
      </c>
      <c r="AC175" t="s">
        <v>845</v>
      </c>
      <c r="AD175" s="2">
        <v>8</v>
      </c>
      <c r="AE175" s="2" t="s">
        <v>70</v>
      </c>
      <c r="AF175" t="str">
        <f>_xlfn.CONCAT(FINI_grouping_for_wheel[[#This Row],[SEFI/Plant]],"/",IF(FINI_grouping_for_wheel[[#This Row],[RESET recipe combination]]&lt;&gt;"",FINI_grouping_for_wheel[[#This Row],[RESET recipe combination]],FINI_grouping_for_wheel[[#This Row],[Recipe Combination]]),"/",FINI_grouping_for_wheel[[#This Row],[Subgroup]])</f>
        <v>4351748/THDP/x/8</v>
      </c>
      <c r="AG1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0.6889411764705883</v>
      </c>
      <c r="AH175">
        <f>_xlfn.LET(_xlpm.pct, FINI_grouping_for_wheel[[#This Row],[% forecast within subgroup]], _xlpm.lote, FINI_grouping_for_wheel[[#This Row],[Lot size considered]], _xlpm.pct*_xlpm.lote)</f>
        <v>5733.935100358701</v>
      </c>
      <c r="AI175" cm="1">
        <f t="array" aca="1" ref="AI175" ca="1">IFERROR(INDIRECT("FINI_grouping_for_wheel[@["&amp;FINI_grouping_for_wheel[[#This Row],[Selected PV]]&amp;"]]"),"")</f>
        <v>75</v>
      </c>
      <c r="AJ17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18.6</v>
      </c>
      <c r="AL175" s="4"/>
      <c r="AM17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75</v>
      </c>
      <c r="AN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7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159</v>
      </c>
      <c r="AP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7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75" t="str">
        <f>_xlfn.CONCAT(FINI_grouping_for_wheel[[#This Row],[Recipe Combination]],FINI_grouping_for_wheel[[#This Row],[Subgroup]])</f>
        <v>A8</v>
      </c>
    </row>
    <row r="176" spans="1:55" hidden="1">
      <c r="A176" t="s">
        <v>10</v>
      </c>
      <c r="B176">
        <v>4351748</v>
      </c>
      <c r="C176" t="s">
        <v>838</v>
      </c>
      <c r="D176">
        <v>8322.82246466</v>
      </c>
      <c r="E176">
        <v>148</v>
      </c>
      <c r="F176">
        <v>2.96</v>
      </c>
      <c r="G176" t="s">
        <v>894</v>
      </c>
      <c r="H176" t="s">
        <v>895</v>
      </c>
      <c r="I176">
        <v>300</v>
      </c>
      <c r="J176" t="s">
        <v>90</v>
      </c>
      <c r="K176" t="s">
        <v>292</v>
      </c>
      <c r="L176" t="s">
        <v>293</v>
      </c>
      <c r="M176">
        <v>2622.349575</v>
      </c>
      <c r="N176">
        <v>10.4893983</v>
      </c>
      <c r="O176">
        <v>13573.470825</v>
      </c>
      <c r="P176">
        <v>1231206.74037</v>
      </c>
      <c r="Q176">
        <v>0.19319668556476233</v>
      </c>
      <c r="R176">
        <v>1607.94171472</v>
      </c>
      <c r="S176" t="s">
        <v>294</v>
      </c>
      <c r="T176" t="s">
        <v>93</v>
      </c>
      <c r="U176">
        <v>12.5</v>
      </c>
      <c r="V176" t="s">
        <v>295</v>
      </c>
      <c r="W176" t="s">
        <v>142</v>
      </c>
      <c r="X176" t="s">
        <v>128</v>
      </c>
      <c r="Y176" s="23" t="s">
        <v>120</v>
      </c>
      <c r="AA176">
        <v>793</v>
      </c>
      <c r="AB176" t="s">
        <v>896</v>
      </c>
      <c r="AC176" t="s">
        <v>845</v>
      </c>
      <c r="AD176" s="2">
        <v>7</v>
      </c>
      <c r="AE176" s="2" t="s">
        <v>70</v>
      </c>
      <c r="AF176" t="str">
        <f>_xlfn.CONCAT(FINI_grouping_for_wheel[[#This Row],[SEFI/Plant]],"/",IF(FINI_grouping_for_wheel[[#This Row],[RESET recipe combination]]&lt;&gt;"",FINI_grouping_for_wheel[[#This Row],[RESET recipe combination]],FINI_grouping_for_wheel[[#This Row],[Recipe Combination]]),"/",FINI_grouping_for_wheel[[#This Row],[Subgroup]])</f>
        <v>4351748/THDP/x/7</v>
      </c>
      <c r="AG1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0.19319668556476233</v>
      </c>
      <c r="AH176">
        <f>_xlfn.LET(_xlpm.pct, FINI_grouping_for_wheel[[#This Row],[% forecast within subgroup]], _xlpm.lote, FINI_grouping_for_wheel[[#This Row],[Lot size considered]], _xlpm.pct*_xlpm.lote)</f>
        <v>1607.941714716258</v>
      </c>
      <c r="AI176" cm="1">
        <f t="array" aca="1" ref="AI176" ca="1">IFERROR(INDIRECT("FINI_grouping_for_wheel[@["&amp;FINI_grouping_for_wheel[[#This Row],[Selected PV]]&amp;"]]"),"")</f>
        <v>139</v>
      </c>
      <c r="AJ17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5.7</v>
      </c>
      <c r="AL176" s="4"/>
      <c r="AM17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139</v>
      </c>
      <c r="AN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7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294</v>
      </c>
      <c r="AP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7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76" t="str">
        <f>_xlfn.CONCAT(FINI_grouping_for_wheel[[#This Row],[Recipe Combination]],FINI_grouping_for_wheel[[#This Row],[Subgroup]])</f>
        <v>C7</v>
      </c>
    </row>
    <row r="177" spans="1:55" hidden="1">
      <c r="A177" t="s">
        <v>10</v>
      </c>
      <c r="B177">
        <v>4351748</v>
      </c>
      <c r="C177" t="s">
        <v>838</v>
      </c>
      <c r="D177">
        <v>8322.82246466</v>
      </c>
      <c r="E177">
        <v>148</v>
      </c>
      <c r="F177">
        <v>2.96</v>
      </c>
      <c r="G177" t="s">
        <v>897</v>
      </c>
      <c r="H177" t="s">
        <v>898</v>
      </c>
      <c r="I177">
        <v>300</v>
      </c>
      <c r="J177" t="s">
        <v>90</v>
      </c>
      <c r="K177" t="s">
        <v>292</v>
      </c>
      <c r="L177" t="s">
        <v>293</v>
      </c>
      <c r="M177">
        <v>10951.12125</v>
      </c>
      <c r="N177">
        <v>43.804485</v>
      </c>
      <c r="O177">
        <v>13573.470825</v>
      </c>
      <c r="P177">
        <v>1231206.74037</v>
      </c>
      <c r="Q177">
        <v>0.80680331443523767</v>
      </c>
      <c r="R177">
        <v>6714.88074994</v>
      </c>
      <c r="S177" t="s">
        <v>294</v>
      </c>
      <c r="T177" t="s">
        <v>93</v>
      </c>
      <c r="U177">
        <v>12.5</v>
      </c>
      <c r="V177" t="s">
        <v>295</v>
      </c>
      <c r="W177" t="s">
        <v>142</v>
      </c>
      <c r="X177" t="s">
        <v>128</v>
      </c>
      <c r="Y177" s="23" t="s">
        <v>120</v>
      </c>
      <c r="AA177">
        <v>190</v>
      </c>
      <c r="AB177" t="s">
        <v>899</v>
      </c>
      <c r="AC177" t="s">
        <v>845</v>
      </c>
      <c r="AD177" s="2">
        <v>7</v>
      </c>
      <c r="AE177" s="2" t="s">
        <v>70</v>
      </c>
      <c r="AF177" t="str">
        <f>_xlfn.CONCAT(FINI_grouping_for_wheel[[#This Row],[SEFI/Plant]],"/",IF(FINI_grouping_for_wheel[[#This Row],[RESET recipe combination]]&lt;&gt;"",FINI_grouping_for_wheel[[#This Row],[RESET recipe combination]],FINI_grouping_for_wheel[[#This Row],[Recipe Combination]]),"/",FINI_grouping_for_wheel[[#This Row],[Subgroup]])</f>
        <v>4351748/THDP/x/7</v>
      </c>
      <c r="AG1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0.8068033144352377</v>
      </c>
      <c r="AH177">
        <f>_xlfn.LET(_xlpm.pct, FINI_grouping_for_wheel[[#This Row],[% forecast within subgroup]], _xlpm.lote, FINI_grouping_for_wheel[[#This Row],[Lot size considered]], _xlpm.pct*_xlpm.lote)</f>
        <v>6714.880749943741</v>
      </c>
      <c r="AI177" cm="1">
        <f t="array" aca="1" ref="AI177" ca="1">IFERROR(INDIRECT("FINI_grouping_for_wheel[@["&amp;FINI_grouping_for_wheel[[#This Row],[Selected PV]]&amp;"]]"),"")</f>
        <v>139</v>
      </c>
      <c r="AJ17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23.9</v>
      </c>
      <c r="AL177" s="4"/>
      <c r="AM17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139</v>
      </c>
      <c r="AN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7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294</v>
      </c>
      <c r="AP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7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77" t="str">
        <f>_xlfn.CONCAT(FINI_grouping_for_wheel[[#This Row],[Recipe Combination]],FINI_grouping_for_wheel[[#This Row],[Subgroup]])</f>
        <v>C7</v>
      </c>
    </row>
    <row r="178" spans="1:55" hidden="1">
      <c r="A178" t="s">
        <v>10</v>
      </c>
      <c r="B178">
        <v>4351748</v>
      </c>
      <c r="C178" t="s">
        <v>838</v>
      </c>
      <c r="D178">
        <v>8322.82246466</v>
      </c>
      <c r="E178">
        <v>148</v>
      </c>
      <c r="F178">
        <v>2.96</v>
      </c>
      <c r="G178" t="s">
        <v>900</v>
      </c>
      <c r="H178" t="s">
        <v>901</v>
      </c>
      <c r="I178">
        <v>300</v>
      </c>
      <c r="J178" t="s">
        <v>90</v>
      </c>
      <c r="K178" t="s">
        <v>873</v>
      </c>
      <c r="L178" t="s">
        <v>874</v>
      </c>
      <c r="M178">
        <v>438.04485</v>
      </c>
      <c r="N178">
        <v>1.7521794</v>
      </c>
      <c r="O178">
        <v>438.04485</v>
      </c>
      <c r="P178">
        <v>1231206.74037</v>
      </c>
      <c r="Q178">
        <v>1</v>
      </c>
      <c r="R178">
        <v>8322.82246466</v>
      </c>
      <c r="S178" t="s">
        <v>126</v>
      </c>
      <c r="T178" t="s">
        <v>93</v>
      </c>
      <c r="U178">
        <v>10</v>
      </c>
      <c r="V178" t="s">
        <v>127</v>
      </c>
      <c r="W178" t="s">
        <v>142</v>
      </c>
      <c r="X178" t="s">
        <v>128</v>
      </c>
      <c r="Y178" s="23" t="s">
        <v>129</v>
      </c>
      <c r="AA178">
        <v>4750</v>
      </c>
      <c r="AB178" t="s">
        <v>902</v>
      </c>
      <c r="AC178" t="s">
        <v>845</v>
      </c>
      <c r="AD178" s="2">
        <v>8</v>
      </c>
      <c r="AE178" s="2" t="s">
        <v>70</v>
      </c>
      <c r="AF178" t="str">
        <f>_xlfn.CONCAT(FINI_grouping_for_wheel[[#This Row],[SEFI/Plant]],"/",IF(FINI_grouping_for_wheel[[#This Row],[RESET recipe combination]]&lt;&gt;"",FINI_grouping_for_wheel[[#This Row],[RESET recipe combination]],FINI_grouping_for_wheel[[#This Row],[Recipe Combination]]),"/",FINI_grouping_for_wheel[[#This Row],[Subgroup]])</f>
        <v>4351748/THDP/x/8</v>
      </c>
      <c r="AG1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0.017411764705882352</v>
      </c>
      <c r="AH178">
        <f>_xlfn.LET(_xlpm.pct, FINI_grouping_for_wheel[[#This Row],[% forecast within subgroup]], _xlpm.lote, FINI_grouping_for_wheel[[#This Row],[Lot size considered]], _xlpm.pct*_xlpm.lote)</f>
        <v>144.91502644349174</v>
      </c>
      <c r="AI178" cm="1">
        <f t="array" aca="1" ref="AI178" ca="1">IFERROR(INDIRECT("FINI_grouping_for_wheel[@["&amp;FINI_grouping_for_wheel[[#This Row],[Selected PV]]&amp;"]]"),"")</f>
        <v>75</v>
      </c>
      <c r="AJ17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0.5</v>
      </c>
      <c r="AL178" s="4"/>
      <c r="AM17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75</v>
      </c>
      <c r="AN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7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159</v>
      </c>
      <c r="AP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7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78" t="str">
        <f>_xlfn.CONCAT(FINI_grouping_for_wheel[[#This Row],[Recipe Combination]],FINI_grouping_for_wheel[[#This Row],[Subgroup]])</f>
        <v>E8</v>
      </c>
    </row>
    <row r="179" spans="1:55" hidden="1">
      <c r="A179" t="s">
        <v>10</v>
      </c>
      <c r="B179">
        <v>4351748</v>
      </c>
      <c r="C179" t="s">
        <v>838</v>
      </c>
      <c r="D179">
        <v>8322.82246466</v>
      </c>
      <c r="E179">
        <v>148</v>
      </c>
      <c r="F179">
        <v>2.96</v>
      </c>
      <c r="G179" t="s">
        <v>903</v>
      </c>
      <c r="H179" t="s">
        <v>904</v>
      </c>
      <c r="I179">
        <v>280</v>
      </c>
      <c r="J179" t="s">
        <v>90</v>
      </c>
      <c r="K179" t="s">
        <v>140</v>
      </c>
      <c r="L179" t="s">
        <v>141</v>
      </c>
      <c r="M179">
        <v>550.515825</v>
      </c>
      <c r="N179">
        <v>2.2020633</v>
      </c>
      <c r="O179">
        <v>3729.30075</v>
      </c>
      <c r="P179">
        <v>1231206.74037</v>
      </c>
      <c r="Q179">
        <v>0.14761904761904762</v>
      </c>
      <c r="R179">
        <v>1228.60712574</v>
      </c>
      <c r="S179" t="s">
        <v>905</v>
      </c>
      <c r="T179" t="s">
        <v>93</v>
      </c>
      <c r="U179">
        <v>5</v>
      </c>
      <c r="V179" t="s">
        <v>135</v>
      </c>
      <c r="W179" t="s">
        <v>142</v>
      </c>
      <c r="X179" t="s">
        <v>128</v>
      </c>
      <c r="Y179" s="23" t="s">
        <v>136</v>
      </c>
      <c r="AA179">
        <v>3780</v>
      </c>
      <c r="AB179" t="s">
        <v>906</v>
      </c>
      <c r="AC179" t="s">
        <v>845</v>
      </c>
      <c r="AD179" s="2">
        <v>12</v>
      </c>
      <c r="AE179" s="2" t="s">
        <v>70</v>
      </c>
      <c r="AF179" t="str">
        <f>_xlfn.CONCAT(FINI_grouping_for_wheel[[#This Row],[SEFI/Plant]],"/",IF(FINI_grouping_for_wheel[[#This Row],[RESET recipe combination]]&lt;&gt;"",FINI_grouping_for_wheel[[#This Row],[RESET recipe combination]],FINI_grouping_for_wheel[[#This Row],[Recipe Combination]]),"/",FINI_grouping_for_wheel[[#This Row],[Subgroup]])</f>
        <v>4351748/THDP/x/12</v>
      </c>
      <c r="AG1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0.01650399290150843</v>
      </c>
      <c r="AH179">
        <f>_xlfn.LET(_xlpm.pct, FINI_grouping_for_wheel[[#This Row],[% forecast within subgroup]], _xlpm.lote, FINI_grouping_for_wheel[[#This Row],[Lot size considered]], _xlpm.pct*_xlpm.lote)</f>
        <v>137.35980287726352</v>
      </c>
      <c r="AI179" cm="1">
        <f t="array" aca="1" ref="AI179" ca="1">IFERROR(INDIRECT("FINI_grouping_for_wheel[@["&amp;FINI_grouping_for_wheel[[#This Row],[Selected PV]]&amp;"]]"),"")</f>
        <v>57</v>
      </c>
      <c r="AJ17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0.5</v>
      </c>
      <c r="AL179" s="4"/>
      <c r="AM17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57</v>
      </c>
      <c r="AN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7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120</v>
      </c>
      <c r="AP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7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79" t="str">
        <f>_xlfn.CONCAT(FINI_grouping_for_wheel[[#This Row],[Recipe Combination]],FINI_grouping_for_wheel[[#This Row],[Subgroup]])</f>
        <v>F12</v>
      </c>
    </row>
    <row r="180" spans="1:55" hidden="1">
      <c r="A180" t="s">
        <v>10</v>
      </c>
      <c r="B180">
        <v>4351748</v>
      </c>
      <c r="C180" t="s">
        <v>838</v>
      </c>
      <c r="D180">
        <v>8322.82246466</v>
      </c>
      <c r="E180">
        <v>148</v>
      </c>
      <c r="F180">
        <v>2.96</v>
      </c>
      <c r="G180" t="s">
        <v>907</v>
      </c>
      <c r="H180" t="s">
        <v>908</v>
      </c>
      <c r="I180">
        <v>280</v>
      </c>
      <c r="J180" t="s">
        <v>90</v>
      </c>
      <c r="K180" t="s">
        <v>140</v>
      </c>
      <c r="L180" t="s">
        <v>141</v>
      </c>
      <c r="M180">
        <v>3178.784925</v>
      </c>
      <c r="N180">
        <v>12.7151397</v>
      </c>
      <c r="O180">
        <v>3729.30075</v>
      </c>
      <c r="P180">
        <v>1231206.74037</v>
      </c>
      <c r="Q180">
        <v>0.85238095238095235</v>
      </c>
      <c r="R180">
        <v>7094.21533892</v>
      </c>
      <c r="S180" t="s">
        <v>905</v>
      </c>
      <c r="T180" t="s">
        <v>93</v>
      </c>
      <c r="U180">
        <v>5</v>
      </c>
      <c r="V180" t="s">
        <v>135</v>
      </c>
      <c r="W180" t="s">
        <v>142</v>
      </c>
      <c r="X180" t="s">
        <v>128</v>
      </c>
      <c r="Y180" s="23" t="s">
        <v>136</v>
      </c>
      <c r="AA180">
        <v>655</v>
      </c>
      <c r="AB180" t="s">
        <v>909</v>
      </c>
      <c r="AC180" t="s">
        <v>845</v>
      </c>
      <c r="AD180" s="2">
        <v>12</v>
      </c>
      <c r="AE180" s="2" t="s">
        <v>70</v>
      </c>
      <c r="AF180" t="str">
        <f>_xlfn.CONCAT(FINI_grouping_for_wheel[[#This Row],[SEFI/Plant]],"/",IF(FINI_grouping_for_wheel[[#This Row],[RESET recipe combination]]&lt;&gt;"",FINI_grouping_for_wheel[[#This Row],[RESET recipe combination]],FINI_grouping_for_wheel[[#This Row],[Recipe Combination]]),"/",FINI_grouping_for_wheel[[#This Row],[Subgroup]])</f>
        <v>4351748/THDP/x/12</v>
      </c>
      <c r="AG1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0.09529724933451642</v>
      </c>
      <c r="AH180">
        <f>_xlfn.LET(_xlpm.pct, FINI_grouping_for_wheel[[#This Row],[% forecast within subgroup]], _xlpm.lote, FINI_grouping_for_wheel[[#This Row],[Lot size considered]], _xlpm.pct*_xlpm.lote)</f>
        <v>793.1420875816184</v>
      </c>
      <c r="AI180" cm="1">
        <f t="array" aca="1" ref="AI180" ca="1">IFERROR(INDIRECT("FINI_grouping_for_wheel[@["&amp;FINI_grouping_for_wheel[[#This Row],[Selected PV]]&amp;"]]"),"")</f>
        <v>57</v>
      </c>
      <c r="AJ18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v>
      </c>
      <c r="AL180" s="4"/>
      <c r="AM18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57</v>
      </c>
      <c r="AN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8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120</v>
      </c>
      <c r="AP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8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80" t="str">
        <f>_xlfn.CONCAT(FINI_grouping_for_wheel[[#This Row],[Recipe Combination]],FINI_grouping_for_wheel[[#This Row],[Subgroup]])</f>
        <v>F12</v>
      </c>
    </row>
    <row r="181" spans="1:55" hidden="1">
      <c r="A181" t="s">
        <v>10</v>
      </c>
      <c r="B181">
        <v>4351748</v>
      </c>
      <c r="C181" t="s">
        <v>838</v>
      </c>
      <c r="D181">
        <v>8322.82246466</v>
      </c>
      <c r="E181">
        <v>148</v>
      </c>
      <c r="F181">
        <v>2.96</v>
      </c>
      <c r="G181" t="s">
        <v>910</v>
      </c>
      <c r="H181" t="s">
        <v>911</v>
      </c>
      <c r="I181">
        <v>396</v>
      </c>
      <c r="J181" t="s">
        <v>90</v>
      </c>
      <c r="K181" t="s">
        <v>912</v>
      </c>
      <c r="L181" t="s">
        <v>913</v>
      </c>
      <c r="M181">
        <v>4690.63161</v>
      </c>
      <c r="N181">
        <v>18.76252644</v>
      </c>
      <c r="O181">
        <v>4690.63161</v>
      </c>
      <c r="P181">
        <v>1231206.74037</v>
      </c>
      <c r="Q181">
        <v>1</v>
      </c>
      <c r="R181">
        <v>8322.82246466</v>
      </c>
      <c r="S181" t="s">
        <v>914</v>
      </c>
      <c r="T181" t="s">
        <v>93</v>
      </c>
      <c r="U181">
        <v>1</v>
      </c>
      <c r="V181" t="s">
        <v>505</v>
      </c>
      <c r="W181" t="s">
        <v>142</v>
      </c>
      <c r="X181" t="s">
        <v>150</v>
      </c>
      <c r="Y181" s="23" t="s">
        <v>151</v>
      </c>
      <c r="AA181">
        <v>444</v>
      </c>
      <c r="AB181" t="s">
        <v>915</v>
      </c>
      <c r="AC181" t="s">
        <v>845</v>
      </c>
      <c r="AD181" s="2">
        <v>50</v>
      </c>
      <c r="AE181" s="2" t="s">
        <v>70</v>
      </c>
      <c r="AF181" t="str">
        <f>_xlfn.CONCAT(FINI_grouping_for_wheel[[#This Row],[SEFI/Plant]],"/",IF(FINI_grouping_for_wheel[[#This Row],[RESET recipe combination]]&lt;&gt;"",FINI_grouping_for_wheel[[#This Row],[RESET recipe combination]],FINI_grouping_for_wheel[[#This Row],[Recipe Combination]]),"/",FINI_grouping_for_wheel[[#This Row],[Subgroup]])</f>
        <v>4351748/THDP/x/50</v>
      </c>
      <c r="AG1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0.5518105849582172</v>
      </c>
      <c r="AH181">
        <f>_xlfn.LET(_xlpm.pct, FINI_grouping_for_wheel[[#This Row],[% forecast within subgroup]], _xlpm.lote, FINI_grouping_for_wheel[[#This Row],[Lot size considered]], _xlpm.pct*_xlpm.lote)</f>
        <v>4592.621532727426</v>
      </c>
      <c r="AI181" cm="1">
        <f t="array" aca="1" ref="AI181" ca="1">IFERROR(INDIRECT("FINI_grouping_for_wheel[@["&amp;FINI_grouping_for_wheel[[#This Row],[Selected PV]]&amp;"]]"),"")</f>
        <v>222</v>
      </c>
      <c r="AJ18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12.4</v>
      </c>
      <c r="AL181" s="4"/>
      <c r="AM18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222</v>
      </c>
      <c r="AN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8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470</v>
      </c>
      <c r="AP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8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81" t="str">
        <f>_xlfn.CONCAT(FINI_grouping_for_wheel[[#This Row],[Recipe Combination]],FINI_grouping_for_wheel[[#This Row],[Subgroup]])</f>
        <v>G50</v>
      </c>
    </row>
    <row r="182" spans="1:55" hidden="1">
      <c r="A182" t="s">
        <v>10</v>
      </c>
      <c r="B182">
        <v>4351748</v>
      </c>
      <c r="C182" t="s">
        <v>838</v>
      </c>
      <c r="D182">
        <v>8322.82246466</v>
      </c>
      <c r="E182">
        <v>148</v>
      </c>
      <c r="F182">
        <v>2.96</v>
      </c>
      <c r="G182" t="s">
        <v>916</v>
      </c>
      <c r="H182" t="s">
        <v>917</v>
      </c>
      <c r="I182">
        <v>380</v>
      </c>
      <c r="J182" t="s">
        <v>90</v>
      </c>
      <c r="K182" t="s">
        <v>146</v>
      </c>
      <c r="L182" t="s">
        <v>147</v>
      </c>
      <c r="M182">
        <v>215.47071</v>
      </c>
      <c r="N182">
        <v>0.86188284</v>
      </c>
      <c r="O182">
        <v>215.47071</v>
      </c>
      <c r="P182">
        <v>1231206.74037</v>
      </c>
      <c r="Q182">
        <v>1</v>
      </c>
      <c r="R182">
        <v>8322.82246466</v>
      </c>
      <c r="S182" t="s">
        <v>148</v>
      </c>
      <c r="T182" t="s">
        <v>93</v>
      </c>
      <c r="U182">
        <v>0.5</v>
      </c>
      <c r="V182" t="s">
        <v>149</v>
      </c>
      <c r="W182" t="s">
        <v>142</v>
      </c>
      <c r="X182" t="s">
        <v>150</v>
      </c>
      <c r="Y182" s="23" t="s">
        <v>151</v>
      </c>
      <c r="AA182">
        <v>9657</v>
      </c>
      <c r="AB182" t="s">
        <v>918</v>
      </c>
      <c r="AC182" t="s">
        <v>845</v>
      </c>
      <c r="AD182" s="2">
        <v>5</v>
      </c>
      <c r="AE182" s="2" t="s">
        <v>70</v>
      </c>
      <c r="AF182" t="str">
        <f>_xlfn.CONCAT(FINI_grouping_for_wheel[[#This Row],[SEFI/Plant]],"/",IF(FINI_grouping_for_wheel[[#This Row],[RESET recipe combination]]&lt;&gt;"",FINI_grouping_for_wheel[[#This Row],[RESET recipe combination]],FINI_grouping_for_wheel[[#This Row],[Recipe Combination]]),"/",FINI_grouping_for_wheel[[#This Row],[Subgroup]])</f>
        <v>4351748/THDP/x/5</v>
      </c>
      <c r="AG1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0.02747584541062802</v>
      </c>
      <c r="AH182">
        <f>_xlfn.LET(_xlpm.pct, FINI_grouping_for_wheel[[#This Row],[% forecast within subgroup]], _xlpm.lote, FINI_grouping_for_wheel[[#This Row],[Lot size considered]], _xlpm.pct*_xlpm.lote)</f>
        <v>228.67658341910024</v>
      </c>
      <c r="AI182" cm="1">
        <f t="array" aca="1" ref="AI182" ca="1">IFERROR(INDIRECT("FINI_grouping_for_wheel[@["&amp;FINI_grouping_for_wheel[[#This Row],[Selected PV]]&amp;"]]"),"")</f>
        <v>241</v>
      </c>
      <c r="AJ18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182" s="4"/>
      <c r="AM18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241</v>
      </c>
      <c r="AN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8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510</v>
      </c>
      <c r="AP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8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82" t="str">
        <f>_xlfn.CONCAT(FINI_grouping_for_wheel[[#This Row],[Recipe Combination]],FINI_grouping_for_wheel[[#This Row],[Subgroup]])</f>
        <v>I5</v>
      </c>
    </row>
    <row r="183" spans="1:55" hidden="1">
      <c r="A183" t="s">
        <v>10</v>
      </c>
      <c r="B183">
        <v>4351748</v>
      </c>
      <c r="C183" t="s">
        <v>838</v>
      </c>
      <c r="D183">
        <v>8322.82246466</v>
      </c>
      <c r="E183">
        <v>148</v>
      </c>
      <c r="F183">
        <v>2.96</v>
      </c>
      <c r="G183" t="s">
        <v>919</v>
      </c>
      <c r="H183" t="s">
        <v>920</v>
      </c>
      <c r="I183">
        <v>396</v>
      </c>
      <c r="J183" t="s">
        <v>90</v>
      </c>
      <c r="K183" t="s">
        <v>921</v>
      </c>
      <c r="L183" t="s">
        <v>922</v>
      </c>
      <c r="M183">
        <v>1747.44378</v>
      </c>
      <c r="N183">
        <v>6.98977512</v>
      </c>
      <c r="O183">
        <v>2189.040345</v>
      </c>
      <c r="P183">
        <v>1231206.74037</v>
      </c>
      <c r="Q183">
        <v>0.7982693347755544</v>
      </c>
      <c r="R183">
        <v>6643.85395232</v>
      </c>
      <c r="S183" t="s">
        <v>314</v>
      </c>
      <c r="T183" t="s">
        <v>93</v>
      </c>
      <c r="U183">
        <v>1</v>
      </c>
      <c r="V183" t="s">
        <v>923</v>
      </c>
      <c r="W183" t="s">
        <v>142</v>
      </c>
      <c r="X183" t="s">
        <v>150</v>
      </c>
      <c r="Y183" s="23" t="s">
        <v>151</v>
      </c>
      <c r="AA183">
        <v>1191</v>
      </c>
      <c r="AB183" t="s">
        <v>924</v>
      </c>
      <c r="AC183" t="s">
        <v>845</v>
      </c>
      <c r="AD183" s="2">
        <v>50</v>
      </c>
      <c r="AE183" s="2" t="s">
        <v>70</v>
      </c>
      <c r="AF183" t="str">
        <f>_xlfn.CONCAT(FINI_grouping_for_wheel[[#This Row],[SEFI/Plant]],"/",IF(FINI_grouping_for_wheel[[#This Row],[RESET recipe combination]]&lt;&gt;"",FINI_grouping_for_wheel[[#This Row],[RESET recipe combination]],FINI_grouping_for_wheel[[#This Row],[Recipe Combination]]),"/",FINI_grouping_for_wheel[[#This Row],[Subgroup]])</f>
        <v>4351748/THDP/x/50</v>
      </c>
      <c r="AG1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0.2055710306406685</v>
      </c>
      <c r="AH183">
        <f>_xlfn.LET(_xlpm.pct, FINI_grouping_for_wheel[[#This Row],[% forecast within subgroup]], _xlpm.lote, FINI_grouping_for_wheel[[#This Row],[Lot size considered]], _xlpm.pct*_xlpm.lote)</f>
        <v>1710.931191899465</v>
      </c>
      <c r="AI183" cm="1">
        <f t="array" aca="1" ref="AI183" ca="1">IFERROR(INDIRECT("FINI_grouping_for_wheel[@["&amp;FINI_grouping_for_wheel[[#This Row],[Selected PV]]&amp;"]]"),"")</f>
        <v>222</v>
      </c>
      <c r="AJ18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4.6</v>
      </c>
      <c r="AL183" s="4"/>
      <c r="AM18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222</v>
      </c>
      <c r="AN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8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470</v>
      </c>
      <c r="AP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8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83" t="str">
        <f>_xlfn.CONCAT(FINI_grouping_for_wheel[[#This Row],[Recipe Combination]],FINI_grouping_for_wheel[[#This Row],[Subgroup]])</f>
        <v>K50</v>
      </c>
    </row>
    <row r="184" spans="1:55" hidden="1">
      <c r="A184" t="s">
        <v>10</v>
      </c>
      <c r="B184">
        <v>4351748</v>
      </c>
      <c r="C184" t="s">
        <v>838</v>
      </c>
      <c r="D184">
        <v>8322.82246466</v>
      </c>
      <c r="E184">
        <v>148</v>
      </c>
      <c r="F184">
        <v>2.96</v>
      </c>
      <c r="G184" t="s">
        <v>925</v>
      </c>
      <c r="H184" t="s">
        <v>926</v>
      </c>
      <c r="I184">
        <v>462</v>
      </c>
      <c r="J184" t="s">
        <v>90</v>
      </c>
      <c r="K184" t="s">
        <v>312</v>
      </c>
      <c r="L184" t="s">
        <v>313</v>
      </c>
      <c r="M184">
        <v>441.596565</v>
      </c>
      <c r="N184">
        <v>1.76638626</v>
      </c>
      <c r="O184">
        <v>2189.040345</v>
      </c>
      <c r="P184">
        <v>1231206.74037</v>
      </c>
      <c r="Q184">
        <v>0.20173066522444566</v>
      </c>
      <c r="R184">
        <v>1678.96851234</v>
      </c>
      <c r="S184" t="s">
        <v>314</v>
      </c>
      <c r="T184" t="s">
        <v>93</v>
      </c>
      <c r="U184">
        <v>1</v>
      </c>
      <c r="V184" t="s">
        <v>315</v>
      </c>
      <c r="W184" t="s">
        <v>142</v>
      </c>
      <c r="X184" t="s">
        <v>150</v>
      </c>
      <c r="Y184" s="23" t="s">
        <v>151</v>
      </c>
      <c r="AA184">
        <v>4712</v>
      </c>
      <c r="AB184" t="s">
        <v>927</v>
      </c>
      <c r="AC184" t="s">
        <v>845</v>
      </c>
      <c r="AD184" s="2">
        <v>50</v>
      </c>
      <c r="AE184" s="2" t="s">
        <v>70</v>
      </c>
      <c r="AF184" t="str">
        <f>_xlfn.CONCAT(FINI_grouping_for_wheel[[#This Row],[SEFI/Plant]],"/",IF(FINI_grouping_for_wheel[[#This Row],[RESET recipe combination]]&lt;&gt;"",FINI_grouping_for_wheel[[#This Row],[RESET recipe combination]],FINI_grouping_for_wheel[[#This Row],[Recipe Combination]]),"/",FINI_grouping_for_wheel[[#This Row],[Subgroup]])</f>
        <v>4351748/THDP/x/50</v>
      </c>
      <c r="AG1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0.05194986072423398</v>
      </c>
      <c r="AH184">
        <f>_xlfn.LET(_xlpm.pct, FINI_grouping_for_wheel[[#This Row],[% forecast within subgroup]], _xlpm.lote, FINI_grouping_for_wheel[[#This Row],[Lot size considered]], _xlpm.pct*_xlpm.lote)</f>
        <v>432.36946787161276</v>
      </c>
      <c r="AI184" cm="1">
        <f t="array" aca="1" ref="AI184" ca="1">IFERROR(INDIRECT("FINI_grouping_for_wheel[@["&amp;FINI_grouping_for_wheel[[#This Row],[Selected PV]]&amp;"]]"),"")</f>
        <v>222</v>
      </c>
      <c r="AJ18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v>
      </c>
      <c r="AL184" s="4"/>
      <c r="AM18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222</v>
      </c>
      <c r="AN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8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470</v>
      </c>
      <c r="AP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8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84" t="str">
        <f>_xlfn.CONCAT(FINI_grouping_for_wheel[[#This Row],[Recipe Combination]],FINI_grouping_for_wheel[[#This Row],[Subgroup]])</f>
        <v>K50</v>
      </c>
    </row>
    <row r="185" spans="1:55" hidden="1">
      <c r="A185" t="s">
        <v>10</v>
      </c>
      <c r="B185">
        <v>4351748</v>
      </c>
      <c r="C185" t="s">
        <v>838</v>
      </c>
      <c r="D185">
        <v>8322.82246466</v>
      </c>
      <c r="E185">
        <v>148</v>
      </c>
      <c r="F185">
        <v>2.96</v>
      </c>
      <c r="G185" t="s">
        <v>928</v>
      </c>
      <c r="H185" t="s">
        <v>929</v>
      </c>
      <c r="I185">
        <v>300</v>
      </c>
      <c r="J185" t="s">
        <v>90</v>
      </c>
      <c r="K185" t="s">
        <v>292</v>
      </c>
      <c r="L185" t="s">
        <v>293</v>
      </c>
      <c r="M185">
        <v>101272.417605</v>
      </c>
      <c r="N185">
        <v>405.08967042</v>
      </c>
      <c r="O185">
        <v>103154.826555</v>
      </c>
      <c r="P185">
        <v>1231206.74037</v>
      </c>
      <c r="Q185">
        <v>0.98175161538373257</v>
      </c>
      <c r="R185">
        <v>8170.94439923</v>
      </c>
      <c r="S185" t="s">
        <v>157</v>
      </c>
      <c r="T185" t="s">
        <v>93</v>
      </c>
      <c r="U185">
        <v>12.5</v>
      </c>
      <c r="V185" t="s">
        <v>295</v>
      </c>
      <c r="W185" t="s">
        <v>142</v>
      </c>
      <c r="X185" t="s">
        <v>128</v>
      </c>
      <c r="Y185" s="23" t="s">
        <v>120</v>
      </c>
      <c r="AA185">
        <v>21</v>
      </c>
      <c r="AB185" t="s">
        <v>930</v>
      </c>
      <c r="AC185" t="s">
        <v>845</v>
      </c>
      <c r="AD185" s="2">
        <v>6</v>
      </c>
      <c r="AE185" s="2" t="s">
        <v>70</v>
      </c>
      <c r="AF185" t="str">
        <f>_xlfn.CONCAT(FINI_grouping_for_wheel[[#This Row],[SEFI/Plant]],"/",IF(FINI_grouping_for_wheel[[#This Row],[RESET recipe combination]]&lt;&gt;"",FINI_grouping_for_wheel[[#This Row],[RESET recipe combination]],FINI_grouping_for_wheel[[#This Row],[Recipe Combination]]),"/",FINI_grouping_for_wheel[[#This Row],[Subgroup]])</f>
        <v>4351748/THDP/x/6</v>
      </c>
      <c r="AG1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85">
        <f>_xlfn.LET(_xlpm.pct, FINI_grouping_for_wheel[[#This Row],[% forecast within subgroup]], _xlpm.lote, FINI_grouping_for_wheel[[#This Row],[Lot size considered]], _xlpm.pct*_xlpm.lote)</f>
        <v>8322.82246466</v>
      </c>
      <c r="AI185" cm="1">
        <f t="array" aca="1" ref="AI185" ca="1">IFERROR(INDIRECT("FINI_grouping_for_wheel[@["&amp;FINI_grouping_for_wheel[[#This Row],[Selected PV]]&amp;"]]"),"")</f>
        <v>19</v>
      </c>
      <c r="AJ18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29.6</v>
      </c>
      <c r="AL185" s="4"/>
      <c r="AM18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8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39</v>
      </c>
      <c r="AP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8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85" t="str">
        <f>_xlfn.CONCAT(FINI_grouping_for_wheel[[#This Row],[Recipe Combination]],FINI_grouping_for_wheel[[#This Row],[Subgroup]])</f>
        <v>M6</v>
      </c>
    </row>
    <row r="186" spans="1:55" hidden="1">
      <c r="A186" t="s">
        <v>10</v>
      </c>
      <c r="B186">
        <v>4351748</v>
      </c>
      <c r="C186" t="s">
        <v>838</v>
      </c>
      <c r="D186">
        <v>8322.82246466</v>
      </c>
      <c r="E186">
        <v>148</v>
      </c>
      <c r="F186">
        <v>2.96</v>
      </c>
      <c r="G186" t="s">
        <v>931</v>
      </c>
      <c r="H186" t="s">
        <v>932</v>
      </c>
      <c r="I186">
        <v>405</v>
      </c>
      <c r="J186" t="s">
        <v>90</v>
      </c>
      <c r="K186" t="s">
        <v>933</v>
      </c>
      <c r="L186" t="s">
        <v>934</v>
      </c>
      <c r="M186">
        <v>1882.40895</v>
      </c>
      <c r="N186">
        <v>7.5296358</v>
      </c>
      <c r="O186">
        <v>103154.826555</v>
      </c>
      <c r="P186">
        <v>1231206.74037</v>
      </c>
      <c r="Q186">
        <v>1.824838461626746E-2</v>
      </c>
      <c r="R186">
        <v>151.878065428</v>
      </c>
      <c r="S186" t="s">
        <v>157</v>
      </c>
      <c r="T186" t="s">
        <v>93</v>
      </c>
      <c r="U186">
        <v>15</v>
      </c>
      <c r="V186" t="s">
        <v>231</v>
      </c>
      <c r="W186" t="s">
        <v>142</v>
      </c>
      <c r="X186" t="s">
        <v>96</v>
      </c>
      <c r="Y186" s="23" t="s">
        <v>97</v>
      </c>
      <c r="AA186">
        <v>1105</v>
      </c>
      <c r="AB186" t="s">
        <v>935</v>
      </c>
      <c r="AC186" t="s">
        <v>845</v>
      </c>
      <c r="AD186" s="2">
        <v>9</v>
      </c>
      <c r="AE186" s="2" t="s">
        <v>70</v>
      </c>
      <c r="AF186" t="str">
        <f>_xlfn.CONCAT(FINI_grouping_for_wheel[[#This Row],[SEFI/Plant]],"/",IF(FINI_grouping_for_wheel[[#This Row],[RESET recipe combination]]&lt;&gt;"",FINI_grouping_for_wheel[[#This Row],[RESET recipe combination]],FINI_grouping_for_wheel[[#This Row],[Recipe Combination]]),"/",FINI_grouping_for_wheel[[#This Row],[Subgroup]])</f>
        <v>4351748/THDP/x/9</v>
      </c>
      <c r="AG1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0.08802037201062887</v>
      </c>
      <c r="AH186">
        <f>_xlfn.LET(_xlpm.pct, FINI_grouping_for_wheel[[#This Row],[% forecast within subgroup]], _xlpm.lote, FINI_grouping_for_wheel[[#This Row],[Lot size considered]], _xlpm.pct*_xlpm.lote)</f>
        <v>732.5779295177922</v>
      </c>
      <c r="AI186" cm="1">
        <f t="array" aca="1" ref="AI186" ca="1">IFERROR(INDIRECT("FINI_grouping_for_wheel[@["&amp;FINI_grouping_for_wheel[[#This Row],[Selected PV]]&amp;"]]"),"")</f>
        <v>88</v>
      </c>
      <c r="AJ18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v>
      </c>
      <c r="AL186" s="4"/>
      <c r="AM18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88</v>
      </c>
      <c r="AN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8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187</v>
      </c>
      <c r="AP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8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86" t="str">
        <f>_xlfn.CONCAT(FINI_grouping_for_wheel[[#This Row],[Recipe Combination]],FINI_grouping_for_wheel[[#This Row],[Subgroup]])</f>
        <v>M9</v>
      </c>
    </row>
    <row r="187" spans="1:55" hidden="1">
      <c r="A187" t="s">
        <v>10</v>
      </c>
      <c r="B187">
        <v>4351748</v>
      </c>
      <c r="C187" t="s">
        <v>838</v>
      </c>
      <c r="D187">
        <v>8322.82246466</v>
      </c>
      <c r="E187">
        <v>148</v>
      </c>
      <c r="F187">
        <v>2.96</v>
      </c>
      <c r="G187" t="s">
        <v>936</v>
      </c>
      <c r="H187" t="s">
        <v>937</v>
      </c>
      <c r="I187">
        <v>360</v>
      </c>
      <c r="J187" t="s">
        <v>90</v>
      </c>
      <c r="K187" t="s">
        <v>632</v>
      </c>
      <c r="L187" t="s">
        <v>633</v>
      </c>
      <c r="M187">
        <v>6194.19096</v>
      </c>
      <c r="N187">
        <v>24.77676384</v>
      </c>
      <c r="O187">
        <v>18215.56233</v>
      </c>
      <c r="P187">
        <v>1231206.74037</v>
      </c>
      <c r="Q187">
        <v>0.34004939555440011</v>
      </c>
      <c r="R187">
        <v>2830.17074841</v>
      </c>
      <c r="S187" t="s">
        <v>165</v>
      </c>
      <c r="T187" t="s">
        <v>93</v>
      </c>
      <c r="U187">
        <v>2.5</v>
      </c>
      <c r="V187" t="s">
        <v>166</v>
      </c>
      <c r="W187" t="s">
        <v>142</v>
      </c>
      <c r="X187" t="s">
        <v>96</v>
      </c>
      <c r="Y187" s="23" t="s">
        <v>167</v>
      </c>
      <c r="AA187">
        <v>336</v>
      </c>
      <c r="AB187" t="s">
        <v>938</v>
      </c>
      <c r="AC187" t="s">
        <v>845</v>
      </c>
      <c r="AD187" s="2">
        <v>10</v>
      </c>
      <c r="AE187" s="2" t="s">
        <v>70</v>
      </c>
      <c r="AF187" t="str">
        <f>_xlfn.CONCAT(FINI_grouping_for_wheel[[#This Row],[SEFI/Plant]],"/",IF(FINI_grouping_for_wheel[[#This Row],[RESET recipe combination]]&lt;&gt;"",FINI_grouping_for_wheel[[#This Row],[RESET recipe combination]],FINI_grouping_for_wheel[[#This Row],[Recipe Combination]]),"/",FINI_grouping_for_wheel[[#This Row],[Subgroup]])</f>
        <v>4351748/THDP/x/10</v>
      </c>
      <c r="AG1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0.35480808354808085</v>
      </c>
      <c r="AH187">
        <f>_xlfn.LET(_xlpm.pct, FINI_grouping_for_wheel[[#This Row],[% forecast within subgroup]], _xlpm.lote, FINI_grouping_for_wheel[[#This Row],[Lot size considered]], _xlpm.pct*_xlpm.lote)</f>
        <v>2953.0046883969294</v>
      </c>
      <c r="AI187" cm="1">
        <f t="array" aca="1" ref="AI187" ca="1">IFERROR(INDIRECT("FINI_grouping_for_wheel[@["&amp;FINI_grouping_for_wheel[[#This Row],[Selected PV]]&amp;"]]"),"")</f>
        <v>108</v>
      </c>
      <c r="AJ18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8.8</v>
      </c>
      <c r="AL187" s="4"/>
      <c r="AM18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108</v>
      </c>
      <c r="AN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8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229</v>
      </c>
      <c r="AP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8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87" t="str">
        <f>_xlfn.CONCAT(FINI_grouping_for_wheel[[#This Row],[Recipe Combination]],FINI_grouping_for_wheel[[#This Row],[Subgroup]])</f>
        <v>N10</v>
      </c>
    </row>
    <row r="188" spans="1:55" hidden="1">
      <c r="A188" t="s">
        <v>10</v>
      </c>
      <c r="B188">
        <v>4351748</v>
      </c>
      <c r="C188" t="s">
        <v>838</v>
      </c>
      <c r="D188">
        <v>8322.82246466</v>
      </c>
      <c r="E188">
        <v>148</v>
      </c>
      <c r="F188">
        <v>2.96</v>
      </c>
      <c r="G188" t="s">
        <v>939</v>
      </c>
      <c r="H188" t="s">
        <v>940</v>
      </c>
      <c r="I188">
        <v>352</v>
      </c>
      <c r="J188" t="s">
        <v>90</v>
      </c>
      <c r="K188" t="s">
        <v>941</v>
      </c>
      <c r="L188" t="s">
        <v>942</v>
      </c>
      <c r="M188">
        <v>757.6992</v>
      </c>
      <c r="N188">
        <v>3.0307968</v>
      </c>
      <c r="O188">
        <v>18215.56233</v>
      </c>
      <c r="P188">
        <v>1231206.74037</v>
      </c>
      <c r="Q188">
        <v>4.1596256336929677E-2</v>
      </c>
      <c r="R188">
        <v>346.198256687</v>
      </c>
      <c r="S188" t="s">
        <v>165</v>
      </c>
      <c r="T188" t="s">
        <v>93</v>
      </c>
      <c r="U188">
        <v>8</v>
      </c>
      <c r="V188" t="s">
        <v>94</v>
      </c>
      <c r="W188" t="s">
        <v>95</v>
      </c>
      <c r="X188" t="s">
        <v>96</v>
      </c>
      <c r="Y188" s="23" t="s">
        <v>97</v>
      </c>
      <c r="AA188">
        <v>2746</v>
      </c>
      <c r="AB188" t="s">
        <v>943</v>
      </c>
      <c r="AC188" t="s">
        <v>845</v>
      </c>
      <c r="AD188" s="2">
        <v>9</v>
      </c>
      <c r="AE188" s="2" t="s">
        <v>70</v>
      </c>
      <c r="AF188" t="str">
        <f>_xlfn.CONCAT(FINI_grouping_for_wheel[[#This Row],[SEFI/Plant]],"/",IF(FINI_grouping_for_wheel[[#This Row],[RESET recipe combination]]&lt;&gt;"",FINI_grouping_for_wheel[[#This Row],[RESET recipe combination]],FINI_grouping_for_wheel[[#This Row],[Recipe Combination]]),"/",FINI_grouping_for_wheel[[#This Row],[Subgroup]])</f>
        <v>4351748/THDP/x/9</v>
      </c>
      <c r="AG1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0.0354295837023915</v>
      </c>
      <c r="AH188">
        <f>_xlfn.LET(_xlpm.pct, FINI_grouping_for_wheel[[#This Row],[% forecast within subgroup]], _xlpm.lote, FINI_grouping_for_wheel[[#This Row],[Lot size considered]], _xlpm.pct*_xlpm.lote)</f>
        <v>294.8741351518158</v>
      </c>
      <c r="AI188" cm="1">
        <f t="array" aca="1" ref="AI188" ca="1">IFERROR(INDIRECT("FINI_grouping_for_wheel[@["&amp;FINI_grouping_for_wheel[[#This Row],[Selected PV]]&amp;"]]"),"")</f>
        <v>88</v>
      </c>
      <c r="AJ18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0.9</v>
      </c>
      <c r="AL188" s="4"/>
      <c r="AM18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88</v>
      </c>
      <c r="AN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8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187</v>
      </c>
      <c r="AP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8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88" t="str">
        <f>_xlfn.CONCAT(FINI_grouping_for_wheel[[#This Row],[Recipe Combination]],FINI_grouping_for_wheel[[#This Row],[Subgroup]])</f>
        <v>N9</v>
      </c>
    </row>
    <row r="189" spans="1:55" hidden="1">
      <c r="A189" t="s">
        <v>10</v>
      </c>
      <c r="B189">
        <v>4351748</v>
      </c>
      <c r="C189" t="s">
        <v>838</v>
      </c>
      <c r="D189">
        <v>8322.82246466</v>
      </c>
      <c r="E189">
        <v>148</v>
      </c>
      <c r="F189">
        <v>2.96</v>
      </c>
      <c r="G189" t="s">
        <v>944</v>
      </c>
      <c r="H189" t="s">
        <v>945</v>
      </c>
      <c r="I189">
        <v>360</v>
      </c>
      <c r="J189" t="s">
        <v>90</v>
      </c>
      <c r="K189" t="s">
        <v>946</v>
      </c>
      <c r="L189" t="s">
        <v>947</v>
      </c>
      <c r="M189">
        <v>11263.67217</v>
      </c>
      <c r="N189">
        <v>45.05468868</v>
      </c>
      <c r="O189">
        <v>18215.56233</v>
      </c>
      <c r="P189">
        <v>1231206.74037</v>
      </c>
      <c r="Q189">
        <v>0.61835434810867018</v>
      </c>
      <c r="R189">
        <v>5146.45345956</v>
      </c>
      <c r="S189" t="s">
        <v>165</v>
      </c>
      <c r="T189" t="s">
        <v>93</v>
      </c>
      <c r="U189">
        <v>2.5</v>
      </c>
      <c r="V189" t="s">
        <v>166</v>
      </c>
      <c r="W189" t="s">
        <v>95</v>
      </c>
      <c r="X189" t="s">
        <v>96</v>
      </c>
      <c r="Y189" s="23" t="s">
        <v>167</v>
      </c>
      <c r="AA189">
        <v>185</v>
      </c>
      <c r="AB189" t="s">
        <v>948</v>
      </c>
      <c r="AC189" t="s">
        <v>845</v>
      </c>
      <c r="AD189" s="2">
        <v>10</v>
      </c>
      <c r="AE189" s="2" t="s">
        <v>70</v>
      </c>
      <c r="AF189" t="str">
        <f>_xlfn.CONCAT(FINI_grouping_for_wheel[[#This Row],[SEFI/Plant]],"/",IF(FINI_grouping_for_wheel[[#This Row],[RESET recipe combination]]&lt;&gt;"",FINI_grouping_for_wheel[[#This Row],[RESET recipe combination]],FINI_grouping_for_wheel[[#This Row],[Recipe Combination]]),"/",FINI_grouping_for_wheel[[#This Row],[Subgroup]])</f>
        <v>4351748/THDP/x/10</v>
      </c>
      <c r="AG1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0.6451919164519192</v>
      </c>
      <c r="AH189">
        <f>_xlfn.LET(_xlpm.pct, FINI_grouping_for_wheel[[#This Row],[% forecast within subgroup]], _xlpm.lote, FINI_grouping_for_wheel[[#This Row],[Lot size considered]], _xlpm.pct*_xlpm.lote)</f>
        <v>5369.81777626307</v>
      </c>
      <c r="AI189" cm="1">
        <f t="array" aca="1" ref="AI189" ca="1">IFERROR(INDIRECT("FINI_grouping_for_wheel[@["&amp;FINI_grouping_for_wheel[[#This Row],[Selected PV]]&amp;"]]"),"")</f>
        <v>108</v>
      </c>
      <c r="AJ18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15.9</v>
      </c>
      <c r="AL189" s="4"/>
      <c r="AM18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108</v>
      </c>
      <c r="AN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8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229</v>
      </c>
      <c r="AP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8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89" t="str">
        <f>_xlfn.CONCAT(FINI_grouping_for_wheel[[#This Row],[Recipe Combination]],FINI_grouping_for_wheel[[#This Row],[Subgroup]])</f>
        <v>N10</v>
      </c>
    </row>
    <row r="190" spans="1:55" hidden="1">
      <c r="A190" t="s">
        <v>10</v>
      </c>
      <c r="B190">
        <v>4351748</v>
      </c>
      <c r="C190" t="s">
        <v>838</v>
      </c>
      <c r="D190">
        <v>8322.82246466</v>
      </c>
      <c r="E190">
        <v>148</v>
      </c>
      <c r="F190">
        <v>2.96</v>
      </c>
      <c r="G190" t="s">
        <v>949</v>
      </c>
      <c r="H190" t="s">
        <v>950</v>
      </c>
      <c r="I190">
        <v>396</v>
      </c>
      <c r="J190" t="s">
        <v>90</v>
      </c>
      <c r="K190" t="s">
        <v>912</v>
      </c>
      <c r="L190" t="s">
        <v>913</v>
      </c>
      <c r="M190">
        <v>1620.765945</v>
      </c>
      <c r="N190">
        <v>6.48306378</v>
      </c>
      <c r="O190">
        <v>1620.765945</v>
      </c>
      <c r="P190">
        <v>1231206.74037</v>
      </c>
      <c r="Q190">
        <v>1</v>
      </c>
      <c r="R190">
        <v>8322.82246466</v>
      </c>
      <c r="S190" t="s">
        <v>951</v>
      </c>
      <c r="T190" t="s">
        <v>93</v>
      </c>
      <c r="U190">
        <v>1</v>
      </c>
      <c r="V190" t="s">
        <v>505</v>
      </c>
      <c r="W190" t="s">
        <v>142</v>
      </c>
      <c r="X190" t="s">
        <v>150</v>
      </c>
      <c r="Y190" s="23" t="s">
        <v>151</v>
      </c>
      <c r="AA190">
        <v>1284</v>
      </c>
      <c r="AB190" t="s">
        <v>952</v>
      </c>
      <c r="AC190" t="s">
        <v>845</v>
      </c>
      <c r="AD190" s="2">
        <v>50</v>
      </c>
      <c r="AE190" s="2" t="s">
        <v>70</v>
      </c>
      <c r="AF190" t="str">
        <f>_xlfn.CONCAT(FINI_grouping_for_wheel[[#This Row],[SEFI/Plant]],"/",IF(FINI_grouping_for_wheel[[#This Row],[RESET recipe combination]]&lt;&gt;"",FINI_grouping_for_wheel[[#This Row],[RESET recipe combination]],FINI_grouping_for_wheel[[#This Row],[Recipe Combination]]),"/",FINI_grouping_for_wheel[[#This Row],[Subgroup]])</f>
        <v>4351748/THDP/x/50</v>
      </c>
      <c r="AG1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0.19066852367688022</v>
      </c>
      <c r="AH190">
        <f>_xlfn.LET(_xlpm.pct, FINI_grouping_for_wheel[[#This Row],[% forecast within subgroup]], _xlpm.lote, FINI_grouping_for_wheel[[#This Row],[Lot size considered]], _xlpm.pct*_xlpm.lote)</f>
        <v>1586.9002721614956</v>
      </c>
      <c r="AI190" cm="1">
        <f t="array" aca="1" ref="AI190" ca="1">IFERROR(INDIRECT("FINI_grouping_for_wheel[@["&amp;FINI_grouping_for_wheel[[#This Row],[Selected PV]]&amp;"]]"),"")</f>
        <v>222</v>
      </c>
      <c r="AJ19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4.3</v>
      </c>
      <c r="AL190" s="4"/>
      <c r="AM19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222</v>
      </c>
      <c r="AN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9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470</v>
      </c>
      <c r="AP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9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90" t="str">
        <f>_xlfn.CONCAT(FINI_grouping_for_wheel[[#This Row],[Recipe Combination]],FINI_grouping_for_wheel[[#This Row],[Subgroup]])</f>
        <v>O50</v>
      </c>
    </row>
    <row r="191" spans="1:55" hidden="1">
      <c r="A191" t="s">
        <v>10</v>
      </c>
      <c r="B191">
        <v>4351748</v>
      </c>
      <c r="C191" t="s">
        <v>838</v>
      </c>
      <c r="D191">
        <v>8322.82246466</v>
      </c>
      <c r="E191">
        <v>148</v>
      </c>
      <c r="F191">
        <v>2.96</v>
      </c>
      <c r="G191" t="s">
        <v>953</v>
      </c>
      <c r="H191" t="s">
        <v>954</v>
      </c>
      <c r="I191">
        <v>300</v>
      </c>
      <c r="J191" t="s">
        <v>90</v>
      </c>
      <c r="K191" t="s">
        <v>955</v>
      </c>
      <c r="L191" t="s">
        <v>956</v>
      </c>
      <c r="M191">
        <v>10193.42205</v>
      </c>
      <c r="N191">
        <v>40.7736882</v>
      </c>
      <c r="O191">
        <v>34362.842625</v>
      </c>
      <c r="P191">
        <v>1231206.74037</v>
      </c>
      <c r="Q191">
        <v>0.296640826873385</v>
      </c>
      <c r="R191">
        <v>2468.88893784</v>
      </c>
      <c r="S191" t="s">
        <v>173</v>
      </c>
      <c r="T191" t="s">
        <v>93</v>
      </c>
      <c r="U191">
        <v>5</v>
      </c>
      <c r="V191" t="s">
        <v>174</v>
      </c>
      <c r="W191" t="s">
        <v>142</v>
      </c>
      <c r="X191" t="s">
        <v>96</v>
      </c>
      <c r="Y191" s="23" t="s">
        <v>167</v>
      </c>
      <c r="AA191">
        <v>204</v>
      </c>
      <c r="AB191" t="s">
        <v>957</v>
      </c>
      <c r="AC191" t="s">
        <v>845</v>
      </c>
      <c r="AD191" s="2">
        <v>13</v>
      </c>
      <c r="AE191" s="2" t="s">
        <v>70</v>
      </c>
      <c r="AF191" t="str">
        <f>_xlfn.CONCAT(FINI_grouping_for_wheel[[#This Row],[SEFI/Plant]],"/",IF(FINI_grouping_for_wheel[[#This Row],[RESET recipe combination]]&lt;&gt;"",FINI_grouping_for_wheel[[#This Row],[RESET recipe combination]],FINI_grouping_for_wheel[[#This Row],[Recipe Combination]]),"/",FINI_grouping_for_wheel[[#This Row],[Subgroup]])</f>
        <v>4351748/THDP/x/13</v>
      </c>
      <c r="AG1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0.28265651160500305</v>
      </c>
      <c r="AH191">
        <f>_xlfn.LET(_xlpm.pct, FINI_grouping_for_wheel[[#This Row],[% forecast within subgroup]], _xlpm.lote, FINI_grouping_for_wheel[[#This Row],[Lot size considered]], _xlpm.pct*_xlpm.lote)</f>
        <v>2352.4999645685493</v>
      </c>
      <c r="AI191" cm="1">
        <f t="array" aca="1" ref="AI191" ca="1">IFERROR(INDIRECT("FINI_grouping_for_wheel[@["&amp;FINI_grouping_for_wheel[[#This Row],[Selected PV]]&amp;"]]"),"")</f>
        <v>52</v>
      </c>
      <c r="AJ19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8.4</v>
      </c>
      <c r="AL191" s="4"/>
      <c r="AM19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52</v>
      </c>
      <c r="AN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9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111</v>
      </c>
      <c r="AP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9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91" t="str">
        <f>_xlfn.CONCAT(FINI_grouping_for_wheel[[#This Row],[Recipe Combination]],FINI_grouping_for_wheel[[#This Row],[Subgroup]])</f>
        <v>P13</v>
      </c>
    </row>
    <row r="192" spans="1:55" hidden="1">
      <c r="A192" t="s">
        <v>10</v>
      </c>
      <c r="B192">
        <v>4351748</v>
      </c>
      <c r="C192" t="s">
        <v>838</v>
      </c>
      <c r="D192">
        <v>8322.82246466</v>
      </c>
      <c r="E192">
        <v>148</v>
      </c>
      <c r="F192">
        <v>2.96</v>
      </c>
      <c r="G192" t="s">
        <v>958</v>
      </c>
      <c r="H192" t="s">
        <v>959</v>
      </c>
      <c r="I192">
        <v>480</v>
      </c>
      <c r="J192" t="s">
        <v>90</v>
      </c>
      <c r="K192" t="s">
        <v>515</v>
      </c>
      <c r="L192" t="s">
        <v>516</v>
      </c>
      <c r="M192">
        <v>698.50395</v>
      </c>
      <c r="N192">
        <v>2.7940158</v>
      </c>
      <c r="O192">
        <v>34362.842625</v>
      </c>
      <c r="P192">
        <v>1231206.74037</v>
      </c>
      <c r="Q192">
        <v>2.0327304048234282E-2</v>
      </c>
      <c r="R192">
        <v>169.180542779</v>
      </c>
      <c r="S192" t="s">
        <v>173</v>
      </c>
      <c r="T192" t="s">
        <v>93</v>
      </c>
      <c r="U192">
        <v>5</v>
      </c>
      <c r="V192" t="s">
        <v>518</v>
      </c>
      <c r="W192" t="s">
        <v>142</v>
      </c>
      <c r="X192" t="s">
        <v>150</v>
      </c>
      <c r="Y192" s="23" t="s">
        <v>151</v>
      </c>
      <c r="AA192">
        <v>2979</v>
      </c>
      <c r="AB192" t="s">
        <v>960</v>
      </c>
      <c r="AC192" t="s">
        <v>845</v>
      </c>
      <c r="AD192" s="2">
        <v>4</v>
      </c>
      <c r="AE192" s="2" t="s">
        <v>70</v>
      </c>
      <c r="AF192" t="str">
        <f>_xlfn.CONCAT(FINI_grouping_for_wheel[[#This Row],[SEFI/Plant]],"/",IF(FINI_grouping_for_wheel[[#This Row],[RESET recipe combination]]&lt;&gt;"",FINI_grouping_for_wheel[[#This Row],[RESET recipe combination]],FINI_grouping_for_wheel[[#This Row],[Recipe Combination]]),"/",FINI_grouping_for_wheel[[#This Row],[Subgroup]])</f>
        <v>4351748/THDP/x/4</v>
      </c>
      <c r="AG1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0.031682955643862094</v>
      </c>
      <c r="AH192">
        <f>_xlfn.LET(_xlpm.pct, FINI_grouping_for_wheel[[#This Row],[% forecast within subgroup]], _xlpm.lote, FINI_grouping_for_wheel[[#This Row],[Lot size considered]], _xlpm.pct*_xlpm.lote)</f>
        <v>263.69161497956173</v>
      </c>
      <c r="AI192" cm="1">
        <f t="array" aca="1" ref="AI192" ca="1">IFERROR(INDIRECT("FINI_grouping_for_wheel[@["&amp;FINI_grouping_for_wheel[[#This Row],[Selected PV]]&amp;"]]"),"")</f>
        <v>86</v>
      </c>
      <c r="AJ19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192" s="4"/>
      <c r="AM19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86</v>
      </c>
      <c r="AN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9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181</v>
      </c>
      <c r="AP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9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92" t="str">
        <f>_xlfn.CONCAT(FINI_grouping_for_wheel[[#This Row],[Recipe Combination]],FINI_grouping_for_wheel[[#This Row],[Subgroup]])</f>
        <v>P4</v>
      </c>
    </row>
    <row r="193" spans="1:55" hidden="1">
      <c r="A193" t="s">
        <v>10</v>
      </c>
      <c r="B193">
        <v>4351748</v>
      </c>
      <c r="C193" t="s">
        <v>838</v>
      </c>
      <c r="D193">
        <v>8322.82246466</v>
      </c>
      <c r="E193">
        <v>148</v>
      </c>
      <c r="F193">
        <v>2.96</v>
      </c>
      <c r="G193" t="s">
        <v>961</v>
      </c>
      <c r="H193" t="s">
        <v>962</v>
      </c>
      <c r="I193">
        <v>300</v>
      </c>
      <c r="J193" t="s">
        <v>90</v>
      </c>
      <c r="K193" t="s">
        <v>440</v>
      </c>
      <c r="L193" t="s">
        <v>441</v>
      </c>
      <c r="M193">
        <v>23470.916625</v>
      </c>
      <c r="N193">
        <v>93.8836665</v>
      </c>
      <c r="O193">
        <v>34362.842625</v>
      </c>
      <c r="P193">
        <v>1231206.74037</v>
      </c>
      <c r="Q193">
        <v>0.68303186907838076</v>
      </c>
      <c r="R193">
        <v>5684.75298404</v>
      </c>
      <c r="S193" t="s">
        <v>173</v>
      </c>
      <c r="T193" t="s">
        <v>93</v>
      </c>
      <c r="U193">
        <v>5</v>
      </c>
      <c r="V193" t="s">
        <v>119</v>
      </c>
      <c r="W193" t="s">
        <v>95</v>
      </c>
      <c r="X193" t="s">
        <v>96</v>
      </c>
      <c r="Y193" s="23" t="s">
        <v>120</v>
      </c>
      <c r="AA193">
        <v>89</v>
      </c>
      <c r="AB193" t="s">
        <v>963</v>
      </c>
      <c r="AC193" t="s">
        <v>845</v>
      </c>
      <c r="AD193" s="2">
        <v>13</v>
      </c>
      <c r="AE193" s="2" t="s">
        <v>70</v>
      </c>
      <c r="AF193" t="str">
        <f>_xlfn.CONCAT(FINI_grouping_for_wheel[[#This Row],[SEFI/Plant]],"/",IF(FINI_grouping_for_wheel[[#This Row],[RESET recipe combination]]&lt;&gt;"",FINI_grouping_for_wheel[[#This Row],[RESET recipe combination]],FINI_grouping_for_wheel[[#This Row],[Recipe Combination]]),"/",FINI_grouping_for_wheel[[#This Row],[Subgroup]])</f>
        <v>4351748/THDP/x/13</v>
      </c>
      <c r="AG1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0.6508322116805094</v>
      </c>
      <c r="AH193">
        <f>_xlfn.LET(_xlpm.pct, FINI_grouping_for_wheel[[#This Row],[% forecast within subgroup]], _xlpm.lote, FINI_grouping_for_wheel[[#This Row],[Lot size considered]], _xlpm.pct*_xlpm.lote)</f>
        <v>5416.760952098895</v>
      </c>
      <c r="AI193" cm="1">
        <f t="array" aca="1" ref="AI193" ca="1">IFERROR(INDIRECT("FINI_grouping_for_wheel[@["&amp;FINI_grouping_for_wheel[[#This Row],[Selected PV]]&amp;"]]"),"")</f>
        <v>52</v>
      </c>
      <c r="AJ19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19.3</v>
      </c>
      <c r="AL193" s="4"/>
      <c r="AM19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52</v>
      </c>
      <c r="AN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9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111</v>
      </c>
      <c r="AP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9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93" t="str">
        <f>_xlfn.CONCAT(FINI_grouping_for_wheel[[#This Row],[Recipe Combination]],FINI_grouping_for_wheel[[#This Row],[Subgroup]])</f>
        <v>P13</v>
      </c>
    </row>
    <row r="194" spans="1:55" hidden="1">
      <c r="A194" t="s">
        <v>10</v>
      </c>
      <c r="B194">
        <v>4351748</v>
      </c>
      <c r="C194" t="s">
        <v>838</v>
      </c>
      <c r="D194">
        <v>8322.82246466</v>
      </c>
      <c r="E194">
        <v>148</v>
      </c>
      <c r="F194">
        <v>2.96</v>
      </c>
      <c r="G194" t="s">
        <v>964</v>
      </c>
      <c r="H194" t="s">
        <v>965</v>
      </c>
      <c r="I194">
        <v>462</v>
      </c>
      <c r="J194" t="s">
        <v>90</v>
      </c>
      <c r="K194" t="s">
        <v>312</v>
      </c>
      <c r="L194" t="s">
        <v>313</v>
      </c>
      <c r="M194">
        <v>362.27493</v>
      </c>
      <c r="N194">
        <v>1.44909972</v>
      </c>
      <c r="O194">
        <v>362.27493</v>
      </c>
      <c r="P194">
        <v>1231206.74037</v>
      </c>
      <c r="Q194">
        <v>1</v>
      </c>
      <c r="R194">
        <v>8322.82246466</v>
      </c>
      <c r="S194" t="s">
        <v>356</v>
      </c>
      <c r="T194" t="s">
        <v>93</v>
      </c>
      <c r="U194">
        <v>1</v>
      </c>
      <c r="V194" t="s">
        <v>315</v>
      </c>
      <c r="W194" t="s">
        <v>142</v>
      </c>
      <c r="X194" t="s">
        <v>150</v>
      </c>
      <c r="Y194" s="23" t="s">
        <v>151</v>
      </c>
      <c r="AA194">
        <v>5743</v>
      </c>
      <c r="AB194" t="s">
        <v>966</v>
      </c>
      <c r="AC194" t="s">
        <v>845</v>
      </c>
      <c r="AD194" s="2">
        <v>5</v>
      </c>
      <c r="AE194" s="2" t="s">
        <v>70</v>
      </c>
      <c r="AF194" t="str">
        <f>_xlfn.CONCAT(FINI_grouping_for_wheel[[#This Row],[SEFI/Plant]],"/",IF(FINI_grouping_for_wheel[[#This Row],[RESET recipe combination]]&lt;&gt;"",FINI_grouping_for_wheel[[#This Row],[RESET recipe combination]],FINI_grouping_for_wheel[[#This Row],[Recipe Combination]]),"/",FINI_grouping_for_wheel[[#This Row],[Subgroup]])</f>
        <v>4351748/THDP/x/5</v>
      </c>
      <c r="AG1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0.04619565217391304</v>
      </c>
      <c r="AH194">
        <f>_xlfn.LET(_xlpm.pct, FINI_grouping_for_wheel[[#This Row],[% forecast within subgroup]], _xlpm.lote, FINI_grouping_for_wheel[[#This Row],[Lot size considered]], _xlpm.pct*_xlpm.lote)</f>
        <v>384.47821168266296</v>
      </c>
      <c r="AI194" cm="1">
        <f t="array" aca="1" ref="AI194" ca="1">IFERROR(INDIRECT("FINI_grouping_for_wheel[@["&amp;FINI_grouping_for_wheel[[#This Row],[Selected PV]]&amp;"]]"),"")</f>
        <v>241</v>
      </c>
      <c r="AJ19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0.9</v>
      </c>
      <c r="AL194" s="4"/>
      <c r="AM19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241</v>
      </c>
      <c r="AN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9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510</v>
      </c>
      <c r="AP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9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94" t="str">
        <f>_xlfn.CONCAT(FINI_grouping_for_wheel[[#This Row],[Recipe Combination]],FINI_grouping_for_wheel[[#This Row],[Subgroup]])</f>
        <v>R5</v>
      </c>
    </row>
    <row r="195" spans="1:55" hidden="1">
      <c r="A195" t="s">
        <v>10</v>
      </c>
      <c r="B195">
        <v>4351748</v>
      </c>
      <c r="C195" t="s">
        <v>838</v>
      </c>
      <c r="D195">
        <v>8322.82246466</v>
      </c>
      <c r="E195">
        <v>148</v>
      </c>
      <c r="F195">
        <v>2.96</v>
      </c>
      <c r="G195" t="s">
        <v>967</v>
      </c>
      <c r="H195" t="s">
        <v>968</v>
      </c>
      <c r="I195">
        <v>440</v>
      </c>
      <c r="J195" t="s">
        <v>90</v>
      </c>
      <c r="K195" t="s">
        <v>969</v>
      </c>
      <c r="L195" t="s">
        <v>970</v>
      </c>
      <c r="M195">
        <v>206425.6758</v>
      </c>
      <c r="N195">
        <v>825.7027032</v>
      </c>
      <c r="O195">
        <v>206425.6758</v>
      </c>
      <c r="P195">
        <v>1231206.74037</v>
      </c>
      <c r="Q195">
        <v>1</v>
      </c>
      <c r="R195">
        <v>8322.82246466</v>
      </c>
      <c r="S195" t="s">
        <v>230</v>
      </c>
      <c r="T195" t="s">
        <v>93</v>
      </c>
      <c r="U195">
        <v>10</v>
      </c>
      <c r="V195" t="s">
        <v>94</v>
      </c>
      <c r="W195" t="s">
        <v>95</v>
      </c>
      <c r="X195" t="s">
        <v>96</v>
      </c>
      <c r="Y195" s="23" t="s">
        <v>97</v>
      </c>
      <c r="AA195">
        <v>10</v>
      </c>
      <c r="AB195" t="s">
        <v>971</v>
      </c>
      <c r="AC195" t="s">
        <v>845</v>
      </c>
      <c r="AD195" s="2">
        <v>2</v>
      </c>
      <c r="AE195" s="2" t="s">
        <v>70</v>
      </c>
      <c r="AF195" t="str">
        <f>_xlfn.CONCAT(FINI_grouping_for_wheel[[#This Row],[SEFI/Plant]],"/",IF(FINI_grouping_for_wheel[[#This Row],[RESET recipe combination]]&lt;&gt;"",FINI_grouping_for_wheel[[#This Row],[RESET recipe combination]],FINI_grouping_for_wheel[[#This Row],[Recipe Combination]]),"/",FINI_grouping_for_wheel[[#This Row],[Subgroup]])</f>
        <v>4351748/THDP/x/2</v>
      </c>
      <c r="AG1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95">
        <f>_xlfn.LET(_xlpm.pct, FINI_grouping_for_wheel[[#This Row],[% forecast within subgroup]], _xlpm.lote, FINI_grouping_for_wheel[[#This Row],[Lot size considered]], _xlpm.pct*_xlpm.lote)</f>
        <v>8322.82246466</v>
      </c>
      <c r="AI195" cm="1">
        <f t="array" aca="1" ref="AI195" ca="1">IFERROR(INDIRECT("FINI_grouping_for_wheel[@["&amp;FINI_grouping_for_wheel[[#This Row],[Selected PV]]&amp;"]]"),"")</f>
        <v>9</v>
      </c>
      <c r="AJ19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20.2</v>
      </c>
      <c r="AL195" s="4"/>
      <c r="AM19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v>
      </c>
      <c r="AN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9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19</v>
      </c>
      <c r="AP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9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95" t="str">
        <f>_xlfn.CONCAT(FINI_grouping_for_wheel[[#This Row],[Recipe Combination]],FINI_grouping_for_wheel[[#This Row],[Subgroup]])</f>
        <v>W2</v>
      </c>
    </row>
    <row r="196" spans="1:55" hidden="1">
      <c r="A196" t="s">
        <v>10</v>
      </c>
      <c r="B196">
        <v>4351748</v>
      </c>
      <c r="C196" t="s">
        <v>838</v>
      </c>
      <c r="D196">
        <v>8322.82246466</v>
      </c>
      <c r="E196">
        <v>148</v>
      </c>
      <c r="F196">
        <v>2.96</v>
      </c>
      <c r="G196" t="s">
        <v>972</v>
      </c>
      <c r="H196" t="s">
        <v>973</v>
      </c>
      <c r="I196">
        <v>440</v>
      </c>
      <c r="J196" t="s">
        <v>90</v>
      </c>
      <c r="K196" t="s">
        <v>666</v>
      </c>
      <c r="L196" t="s">
        <v>667</v>
      </c>
      <c r="M196">
        <v>114223.1544</v>
      </c>
      <c r="N196">
        <v>456.8926176</v>
      </c>
      <c r="O196">
        <v>715244.3667</v>
      </c>
      <c r="P196">
        <v>1231206.74037</v>
      </c>
      <c r="Q196">
        <v>0.15969808322574239</v>
      </c>
      <c r="R196">
        <v>1329.13879463</v>
      </c>
      <c r="S196" t="s">
        <v>387</v>
      </c>
      <c r="T196" t="s">
        <v>93</v>
      </c>
      <c r="U196">
        <v>10</v>
      </c>
      <c r="V196" t="s">
        <v>94</v>
      </c>
      <c r="W196" t="s">
        <v>95</v>
      </c>
      <c r="X196" t="s">
        <v>96</v>
      </c>
      <c r="Y196" s="23" t="s">
        <v>97</v>
      </c>
      <c r="AA196">
        <v>18</v>
      </c>
      <c r="AB196" t="s">
        <v>974</v>
      </c>
      <c r="AC196" t="s">
        <v>845</v>
      </c>
      <c r="AD196" s="2">
        <v>3</v>
      </c>
      <c r="AE196" s="2" t="s">
        <v>70</v>
      </c>
      <c r="AF196" t="str">
        <f>_xlfn.CONCAT(FINI_grouping_for_wheel[[#This Row],[SEFI/Plant]],"/",IF(FINI_grouping_for_wheel[[#This Row],[RESET recipe combination]]&lt;&gt;"",FINI_grouping_for_wheel[[#This Row],[RESET recipe combination]],FINI_grouping_for_wheel[[#This Row],[Recipe Combination]]),"/",FINI_grouping_for_wheel[[#This Row],[Subgroup]])</f>
        <v>4351748/THDP/x/3</v>
      </c>
      <c r="AG1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96">
        <f>_xlfn.LET(_xlpm.pct, FINI_grouping_for_wheel[[#This Row],[% forecast within subgroup]], _xlpm.lote, FINI_grouping_for_wheel[[#This Row],[Lot size considered]], _xlpm.pct*_xlpm.lote)</f>
        <v>8322.82246466</v>
      </c>
      <c r="AI196" cm="1">
        <f t="array" aca="1" ref="AI196" ca="1">IFERROR(INDIRECT("FINI_grouping_for_wheel[@["&amp;FINI_grouping_for_wheel[[#This Row],[Selected PV]]&amp;"]]"),"")</f>
        <v>17</v>
      </c>
      <c r="AJ19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20.2</v>
      </c>
      <c r="AL196" s="4"/>
      <c r="AM19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v>
      </c>
      <c r="AN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9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35</v>
      </c>
      <c r="AP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9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96" t="str">
        <f>_xlfn.CONCAT(FINI_grouping_for_wheel[[#This Row],[Recipe Combination]],FINI_grouping_for_wheel[[#This Row],[Subgroup]])</f>
        <v>X3</v>
      </c>
    </row>
    <row r="197" spans="1:55" hidden="1">
      <c r="A197" t="s">
        <v>10</v>
      </c>
      <c r="B197">
        <v>4351748</v>
      </c>
      <c r="C197" t="s">
        <v>838</v>
      </c>
      <c r="D197">
        <v>8322.82246466</v>
      </c>
      <c r="E197">
        <v>148</v>
      </c>
      <c r="F197">
        <v>2.96</v>
      </c>
      <c r="G197" t="s">
        <v>975</v>
      </c>
      <c r="H197" t="s">
        <v>976</v>
      </c>
      <c r="I197">
        <v>330</v>
      </c>
      <c r="J197" t="s">
        <v>90</v>
      </c>
      <c r="K197" t="s">
        <v>977</v>
      </c>
      <c r="L197" t="s">
        <v>978</v>
      </c>
      <c r="M197">
        <v>601021.2123</v>
      </c>
      <c r="N197">
        <v>2404.0848492</v>
      </c>
      <c r="O197">
        <v>715244.3667</v>
      </c>
      <c r="P197">
        <v>1231206.74037</v>
      </c>
      <c r="Q197">
        <v>0.84030191677425758</v>
      </c>
      <c r="R197">
        <v>6993.68367002</v>
      </c>
      <c r="S197" t="s">
        <v>387</v>
      </c>
      <c r="T197" t="s">
        <v>93</v>
      </c>
      <c r="U197">
        <v>10</v>
      </c>
      <c r="V197" t="s">
        <v>94</v>
      </c>
      <c r="W197" t="s">
        <v>95</v>
      </c>
      <c r="X197" t="s">
        <v>96</v>
      </c>
      <c r="Y197" s="23" t="s">
        <v>97</v>
      </c>
      <c r="AA197">
        <v>3</v>
      </c>
      <c r="AB197" t="s">
        <v>979</v>
      </c>
      <c r="AC197" t="s">
        <v>845</v>
      </c>
      <c r="AD197" s="2">
        <v>1</v>
      </c>
      <c r="AE197" s="2" t="s">
        <v>70</v>
      </c>
      <c r="AF197" t="str">
        <f>_xlfn.CONCAT(FINI_grouping_for_wheel[[#This Row],[SEFI/Plant]],"/",IF(FINI_grouping_for_wheel[[#This Row],[RESET recipe combination]]&lt;&gt;"",FINI_grouping_for_wheel[[#This Row],[RESET recipe combination]],FINI_grouping_for_wheel[[#This Row],[Recipe Combination]]),"/",FINI_grouping_for_wheel[[#This Row],[Subgroup]])</f>
        <v>4351748/THDP/x/1</v>
      </c>
      <c r="AG1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97">
        <f>_xlfn.LET(_xlpm.pct, FINI_grouping_for_wheel[[#This Row],[% forecast within subgroup]], _xlpm.lote, FINI_grouping_for_wheel[[#This Row],[Lot size considered]], _xlpm.pct*_xlpm.lote)</f>
        <v>8322.82246466</v>
      </c>
      <c r="AI197" cm="1">
        <f t="array" aca="1" ref="AI197" ca="1">IFERROR(INDIRECT("FINI_grouping_for_wheel[@["&amp;FINI_grouping_for_wheel[[#This Row],[Selected PV]]&amp;"]]"),"")</f>
        <v>3</v>
      </c>
      <c r="AJ19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8894.678265</v>
      </c>
      <c r="AK1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v>
      </c>
      <c r="AL197" s="4"/>
      <c r="AM19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v>
      </c>
      <c r="AN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9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7</v>
      </c>
      <c r="AP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9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97" t="str">
        <f>_xlfn.CONCAT(FINI_grouping_for_wheel[[#This Row],[Recipe Combination]],FINI_grouping_for_wheel[[#This Row],[Subgroup]])</f>
        <v>X1</v>
      </c>
    </row>
    <row r="198" spans="1:55" hidden="1">
      <c r="A198" t="s">
        <v>10</v>
      </c>
      <c r="B198">
        <v>4606821</v>
      </c>
      <c r="C198" t="s">
        <v>980</v>
      </c>
      <c r="D198">
        <v>8547.79283037</v>
      </c>
      <c r="E198">
        <v>144</v>
      </c>
      <c r="F198">
        <v>2.88</v>
      </c>
      <c r="G198" t="s">
        <v>981</v>
      </c>
      <c r="H198" t="s">
        <v>982</v>
      </c>
      <c r="I198">
        <v>525</v>
      </c>
      <c r="J198" t="s">
        <v>90</v>
      </c>
      <c r="K198" t="s">
        <v>264</v>
      </c>
      <c r="L198" t="s">
        <v>265</v>
      </c>
      <c r="M198">
        <v>39.068865</v>
      </c>
      <c r="N198">
        <v>0.15627546</v>
      </c>
      <c r="O198">
        <v>7278.64794</v>
      </c>
      <c r="P198">
        <v>1222785.6241</v>
      </c>
      <c r="Q198">
        <v>5.3675992192582954E-3</v>
      </c>
      <c r="R198">
        <v>45.8811261227</v>
      </c>
      <c r="S198" t="s">
        <v>266</v>
      </c>
      <c r="T198" t="s">
        <v>93</v>
      </c>
      <c r="U198">
        <v>2.5</v>
      </c>
      <c r="V198" t="s">
        <v>267</v>
      </c>
      <c r="W198" t="s">
        <v>142</v>
      </c>
      <c r="X198" t="s">
        <v>150</v>
      </c>
      <c r="Y198" s="23" t="s">
        <v>151</v>
      </c>
      <c r="AA198">
        <v>54697</v>
      </c>
      <c r="AB198" t="s">
        <v>983</v>
      </c>
      <c r="AC198" t="s">
        <v>984</v>
      </c>
      <c r="AD198" s="2">
        <v>100</v>
      </c>
      <c r="AE198" s="2" t="s">
        <v>70</v>
      </c>
      <c r="AF198" t="str">
        <f>_xlfn.CONCAT(FINI_grouping_for_wheel[[#This Row],[SEFI/Plant]],"/",IF(FINI_grouping_for_wheel[[#This Row],[RESET recipe combination]]&lt;&gt;"",FINI_grouping_for_wheel[[#This Row],[RESET recipe combination]],FINI_grouping_for_wheel[[#This Row],[Recipe Combination]]),"/",FINI_grouping_for_wheel[[#This Row],[Subgroup]])</f>
        <v>4606821/THDP/x/100</v>
      </c>
      <c r="AG1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0.0015533066603906802</v>
      </c>
      <c r="AH198">
        <f>_xlfn.LET(_xlpm.pct, FINI_grouping_for_wheel[[#This Row],[% forecast within subgroup]], _xlpm.lote, FINI_grouping_for_wheel[[#This Row],[Lot size considered]], _xlpm.pct*_xlpm.lote)</f>
        <v>13.277343535053424</v>
      </c>
      <c r="AI198" cm="1">
        <f t="array" aca="1" ref="AI198" ca="1">IFERROR(INDIRECT("FINI_grouping_for_wheel[@["&amp;FINI_grouping_for_wheel[[#This Row],[Selected PV]]&amp;"]]"),"")</f>
        <v>74</v>
      </c>
      <c r="AJ19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1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v>
      </c>
      <c r="AL198" s="4"/>
      <c r="AM19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74</v>
      </c>
      <c r="AN19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79</v>
      </c>
      <c r="AO19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106</v>
      </c>
      <c r="AP19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150</v>
      </c>
      <c r="AQ1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9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98" t="str">
        <f>_xlfn.CONCAT(FINI_grouping_for_wheel[[#This Row],[Recipe Combination]],FINI_grouping_for_wheel[[#This Row],[Subgroup]])</f>
        <v>1100</v>
      </c>
    </row>
    <row r="199" spans="1:55" hidden="1">
      <c r="A199" t="s">
        <v>10</v>
      </c>
      <c r="B199">
        <v>4606821</v>
      </c>
      <c r="C199" t="s">
        <v>980</v>
      </c>
      <c r="D199">
        <v>8547.79283037</v>
      </c>
      <c r="E199">
        <v>144</v>
      </c>
      <c r="F199">
        <v>2.88</v>
      </c>
      <c r="G199" t="s">
        <v>985</v>
      </c>
      <c r="H199" t="s">
        <v>986</v>
      </c>
      <c r="I199">
        <v>525</v>
      </c>
      <c r="J199" t="s">
        <v>90</v>
      </c>
      <c r="K199" t="s">
        <v>264</v>
      </c>
      <c r="L199" t="s">
        <v>265</v>
      </c>
      <c r="M199">
        <v>7239.579075</v>
      </c>
      <c r="N199">
        <v>28.9583163</v>
      </c>
      <c r="O199">
        <v>7278.64794</v>
      </c>
      <c r="P199">
        <v>1222785.6241</v>
      </c>
      <c r="Q199">
        <v>0.99463240078074167</v>
      </c>
      <c r="R199">
        <v>8501.91170424</v>
      </c>
      <c r="S199" t="s">
        <v>266</v>
      </c>
      <c r="T199" t="s">
        <v>93</v>
      </c>
      <c r="U199">
        <v>2.5</v>
      </c>
      <c r="V199" t="s">
        <v>267</v>
      </c>
      <c r="W199" t="s">
        <v>142</v>
      </c>
      <c r="X199" t="s">
        <v>150</v>
      </c>
      <c r="Y199" s="23" t="s">
        <v>151</v>
      </c>
      <c r="AA199">
        <v>295</v>
      </c>
      <c r="AB199" t="s">
        <v>987</v>
      </c>
      <c r="AC199" t="s">
        <v>984</v>
      </c>
      <c r="AD199" s="2">
        <v>100</v>
      </c>
      <c r="AE199" s="2" t="s">
        <v>70</v>
      </c>
      <c r="AF199" t="str">
        <f>_xlfn.CONCAT(FINI_grouping_for_wheel[[#This Row],[SEFI/Plant]],"/",IF(FINI_grouping_for_wheel[[#This Row],[RESET recipe combination]]&lt;&gt;"",FINI_grouping_for_wheel[[#This Row],[RESET recipe combination]],FINI_grouping_for_wheel[[#This Row],[Recipe Combination]]),"/",FINI_grouping_for_wheel[[#This Row],[Subgroup]])</f>
        <v>4606821/THDP/x/100</v>
      </c>
      <c r="AG1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0.287832431160273</v>
      </c>
      <c r="AH199">
        <f>_xlfn.LET(_xlpm.pct, FINI_grouping_for_wheel[[#This Row],[% forecast within subgroup]], _xlpm.lote, FINI_grouping_for_wheel[[#This Row],[Lot size considered]], _xlpm.pct*_xlpm.lote)</f>
        <v>2460.331991419748</v>
      </c>
      <c r="AI199" cm="1">
        <f t="array" aca="1" ref="AI199" ca="1">IFERROR(INDIRECT("FINI_grouping_for_wheel[@["&amp;FINI_grouping_for_wheel[[#This Row],[Selected PV]]&amp;"]]"),"")</f>
        <v>74</v>
      </c>
      <c r="AJ19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1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4.8</v>
      </c>
      <c r="AL199" s="4"/>
      <c r="AM19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74</v>
      </c>
      <c r="AN19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79</v>
      </c>
      <c r="AO19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106</v>
      </c>
      <c r="AP19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150</v>
      </c>
      <c r="AQ1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9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99" t="str">
        <f>_xlfn.CONCAT(FINI_grouping_for_wheel[[#This Row],[Recipe Combination]],FINI_grouping_for_wheel[[#This Row],[Subgroup]])</f>
        <v>1100</v>
      </c>
    </row>
    <row r="200" spans="1:55" hidden="1">
      <c r="A200" t="s">
        <v>10</v>
      </c>
      <c r="B200">
        <v>4606821</v>
      </c>
      <c r="C200" t="s">
        <v>980</v>
      </c>
      <c r="D200">
        <v>8547.79283037</v>
      </c>
      <c r="E200">
        <v>144</v>
      </c>
      <c r="F200">
        <v>2.88</v>
      </c>
      <c r="G200" t="s">
        <v>988</v>
      </c>
      <c r="H200" t="s">
        <v>989</v>
      </c>
      <c r="I200">
        <v>360</v>
      </c>
      <c r="J200" t="s">
        <v>90</v>
      </c>
      <c r="K200" t="s">
        <v>515</v>
      </c>
      <c r="L200" t="s">
        <v>516</v>
      </c>
      <c r="M200">
        <v>8796.41415</v>
      </c>
      <c r="N200">
        <v>35.1856566</v>
      </c>
      <c r="O200">
        <v>8796.41415</v>
      </c>
      <c r="P200">
        <v>1222785.6241</v>
      </c>
      <c r="Q200">
        <v>1</v>
      </c>
      <c r="R200">
        <v>8547.79283037</v>
      </c>
      <c r="S200" t="s">
        <v>990</v>
      </c>
      <c r="T200" t="s">
        <v>93</v>
      </c>
      <c r="U200">
        <v>5</v>
      </c>
      <c r="V200" t="s">
        <v>518</v>
      </c>
      <c r="W200" t="s">
        <v>142</v>
      </c>
      <c r="X200" t="s">
        <v>150</v>
      </c>
      <c r="Y200" s="23" t="s">
        <v>151</v>
      </c>
      <c r="AA200">
        <v>243</v>
      </c>
      <c r="AB200" t="s">
        <v>991</v>
      </c>
      <c r="AC200" t="s">
        <v>984</v>
      </c>
      <c r="AD200" s="2">
        <v>200</v>
      </c>
      <c r="AE200" s="2" t="s">
        <v>70</v>
      </c>
      <c r="AF200" t="str">
        <f>_xlfn.CONCAT(FINI_grouping_for_wheel[[#This Row],[SEFI/Plant]],"/",IF(FINI_grouping_for_wheel[[#This Row],[RESET recipe combination]]&lt;&gt;"",FINI_grouping_for_wheel[[#This Row],[RESET recipe combination]],FINI_grouping_for_wheel[[#This Row],[Recipe Combination]]),"/",FINI_grouping_for_wheel[[#This Row],[Subgroup]])</f>
        <v>4606821/THDP/x/200</v>
      </c>
      <c r="AG2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0.6092660926609267</v>
      </c>
      <c r="AH200">
        <f>_xlfn.LET(_xlpm.pct, FINI_grouping_for_wheel[[#This Row],[% forecast within subgroup]], _xlpm.lote, FINI_grouping_for_wheel[[#This Row],[Lot size considered]], _xlpm.pct*_xlpm.lote)</f>
        <v>5207.880338634613</v>
      </c>
      <c r="AI200" cm="1">
        <f t="array" aca="1" ref="AI200" ca="1">IFERROR(INDIRECT("FINI_grouping_for_wheel[@["&amp;FINI_grouping_for_wheel[[#This Row],[Selected PV]]&amp;"]]"),"")</f>
        <v>129</v>
      </c>
      <c r="AJ20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14.9</v>
      </c>
      <c r="AL200" s="4"/>
      <c r="AM20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129</v>
      </c>
      <c r="AN20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138</v>
      </c>
      <c r="AO20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185</v>
      </c>
      <c r="AP20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261</v>
      </c>
      <c r="AQ2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0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00" t="str">
        <f>_xlfn.CONCAT(FINI_grouping_for_wheel[[#This Row],[Recipe Combination]],FINI_grouping_for_wheel[[#This Row],[Subgroup]])</f>
        <v>2200</v>
      </c>
    </row>
    <row r="201" spans="1:55" hidden="1">
      <c r="A201" t="s">
        <v>10</v>
      </c>
      <c r="B201">
        <v>4606821</v>
      </c>
      <c r="C201" t="s">
        <v>980</v>
      </c>
      <c r="D201">
        <v>8547.79283037</v>
      </c>
      <c r="E201">
        <v>144</v>
      </c>
      <c r="F201">
        <v>2.88</v>
      </c>
      <c r="G201" t="s">
        <v>992</v>
      </c>
      <c r="H201" t="s">
        <v>993</v>
      </c>
      <c r="I201">
        <v>480</v>
      </c>
      <c r="J201" t="s">
        <v>90</v>
      </c>
      <c r="K201" t="s">
        <v>515</v>
      </c>
      <c r="L201" t="s">
        <v>516</v>
      </c>
      <c r="M201">
        <v>5641.307325</v>
      </c>
      <c r="N201">
        <v>22.5652293</v>
      </c>
      <c r="O201">
        <v>5641.307325</v>
      </c>
      <c r="P201">
        <v>1222785.6241</v>
      </c>
      <c r="Q201">
        <v>1</v>
      </c>
      <c r="R201">
        <v>8547.79283037</v>
      </c>
      <c r="S201" t="s">
        <v>594</v>
      </c>
      <c r="T201" t="s">
        <v>93</v>
      </c>
      <c r="U201">
        <v>5</v>
      </c>
      <c r="V201" t="s">
        <v>518</v>
      </c>
      <c r="W201" t="s">
        <v>142</v>
      </c>
      <c r="X201" t="s">
        <v>150</v>
      </c>
      <c r="Y201" s="23" t="s">
        <v>151</v>
      </c>
      <c r="AA201">
        <v>379</v>
      </c>
      <c r="AB201" t="s">
        <v>994</v>
      </c>
      <c r="AC201" t="s">
        <v>984</v>
      </c>
      <c r="AD201" s="2">
        <v>200</v>
      </c>
      <c r="AE201" s="2" t="s">
        <v>70</v>
      </c>
      <c r="AF201" t="str">
        <f>_xlfn.CONCAT(FINI_grouping_for_wheel[[#This Row],[SEFI/Plant]],"/",IF(FINI_grouping_for_wheel[[#This Row],[RESET recipe combination]]&lt;&gt;"",FINI_grouping_for_wheel[[#This Row],[RESET recipe combination]],FINI_grouping_for_wheel[[#This Row],[Recipe Combination]]),"/",FINI_grouping_for_wheel[[#This Row],[Subgroup]])</f>
        <v>4606821/THDP/x/200</v>
      </c>
      <c r="AG2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0.39073390733907337</v>
      </c>
      <c r="AH201">
        <f>_xlfn.LET(_xlpm.pct, FINI_grouping_for_wheel[[#This Row],[% forecast within subgroup]], _xlpm.lote, FINI_grouping_for_wheel[[#This Row],[Lot size considered]], _xlpm.pct*_xlpm.lote)</f>
        <v>3339.912491735387</v>
      </c>
      <c r="AI201" cm="1">
        <f t="array" aca="1" ref="AI201" ca="1">IFERROR(INDIRECT("FINI_grouping_for_wheel[@["&amp;FINI_grouping_for_wheel[[#This Row],[Selected PV]]&amp;"]]"),"")</f>
        <v>129</v>
      </c>
      <c r="AJ20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7.1</v>
      </c>
      <c r="AL201" s="4"/>
      <c r="AM20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129</v>
      </c>
      <c r="AN20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138</v>
      </c>
      <c r="AO20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185</v>
      </c>
      <c r="AP20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261</v>
      </c>
      <c r="AQ2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0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01" t="str">
        <f>_xlfn.CONCAT(FINI_grouping_for_wheel[[#This Row],[Recipe Combination]],FINI_grouping_for_wheel[[#This Row],[Subgroup]])</f>
        <v>4200</v>
      </c>
    </row>
    <row r="202" spans="1:55" hidden="1">
      <c r="A202" t="s">
        <v>10</v>
      </c>
      <c r="B202">
        <v>4606821</v>
      </c>
      <c r="C202" t="s">
        <v>980</v>
      </c>
      <c r="D202">
        <v>8547.79283037</v>
      </c>
      <c r="E202">
        <v>144</v>
      </c>
      <c r="F202">
        <v>2.88</v>
      </c>
      <c r="G202" t="s">
        <v>995</v>
      </c>
      <c r="H202" t="s">
        <v>996</v>
      </c>
      <c r="I202">
        <v>440</v>
      </c>
      <c r="J202" t="s">
        <v>90</v>
      </c>
      <c r="K202" t="s">
        <v>997</v>
      </c>
      <c r="L202" t="s">
        <v>998</v>
      </c>
      <c r="M202">
        <v>72679.92795</v>
      </c>
      <c r="N202">
        <v>290.7197118</v>
      </c>
      <c r="O202">
        <v>72679.92795</v>
      </c>
      <c r="P202">
        <v>1222785.6241</v>
      </c>
      <c r="Q202">
        <v>1</v>
      </c>
      <c r="R202">
        <v>8547.79283037</v>
      </c>
      <c r="S202" t="s">
        <v>118</v>
      </c>
      <c r="T202" t="s">
        <v>93</v>
      </c>
      <c r="U202">
        <v>10</v>
      </c>
      <c r="V202" t="s">
        <v>94</v>
      </c>
      <c r="W202" t="s">
        <v>95</v>
      </c>
      <c r="X202" t="s">
        <v>96</v>
      </c>
      <c r="Y202" s="23" t="s">
        <v>97</v>
      </c>
      <c r="AA202">
        <v>29</v>
      </c>
      <c r="AB202" t="s">
        <v>999</v>
      </c>
      <c r="AC202" t="s">
        <v>984</v>
      </c>
      <c r="AD202" s="2">
        <v>5</v>
      </c>
      <c r="AE202" s="2" t="s">
        <v>70</v>
      </c>
      <c r="AF202" t="str">
        <f>_xlfn.CONCAT(FINI_grouping_for_wheel[[#This Row],[SEFI/Plant]],"/",IF(FINI_grouping_for_wheel[[#This Row],[RESET recipe combination]]&lt;&gt;"",FINI_grouping_for_wheel[[#This Row],[RESET recipe combination]],FINI_grouping_for_wheel[[#This Row],[Recipe Combination]]),"/",FINI_grouping_for_wheel[[#This Row],[Subgroup]])</f>
        <v>4606821/THDP/x/5</v>
      </c>
      <c r="AG2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02">
        <f>_xlfn.LET(_xlpm.pct, FINI_grouping_for_wheel[[#This Row],[% forecast within subgroup]], _xlpm.lote, FINI_grouping_for_wheel[[#This Row],[Lot size considered]], _xlpm.pct*_xlpm.lote)</f>
        <v>8547.79283037</v>
      </c>
      <c r="AI202" cm="1">
        <f t="array" aca="1" ref="AI202" ca="1">IFERROR(INDIRECT("FINI_grouping_for_wheel[@["&amp;FINI_grouping_for_wheel[[#This Row],[Selected PV]]&amp;"]]"),"")</f>
        <v>26</v>
      </c>
      <c r="AJ20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v>
      </c>
      <c r="AL202" s="4"/>
      <c r="AM20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v>
      </c>
      <c r="AN20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27</v>
      </c>
      <c r="AO20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37</v>
      </c>
      <c r="AP20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52</v>
      </c>
      <c r="AQ2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0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02" t="str">
        <f>_xlfn.CONCAT(FINI_grouping_for_wheel[[#This Row],[Recipe Combination]],FINI_grouping_for_wheel[[#This Row],[Subgroup]])</f>
        <v>A5</v>
      </c>
    </row>
    <row r="203" spans="1:55" hidden="1">
      <c r="A203" t="s">
        <v>10</v>
      </c>
      <c r="B203">
        <v>4606821</v>
      </c>
      <c r="C203" t="s">
        <v>980</v>
      </c>
      <c r="D203">
        <v>8547.79283037</v>
      </c>
      <c r="E203">
        <v>144</v>
      </c>
      <c r="F203">
        <v>2.88</v>
      </c>
      <c r="G203" t="s">
        <v>1000</v>
      </c>
      <c r="H203" t="s">
        <v>1001</v>
      </c>
      <c r="I203">
        <v>300</v>
      </c>
      <c r="J203" t="s">
        <v>90</v>
      </c>
      <c r="K203" t="s">
        <v>292</v>
      </c>
      <c r="L203" t="s">
        <v>293</v>
      </c>
      <c r="M203">
        <v>55670.764815</v>
      </c>
      <c r="N203">
        <v>222.68305926</v>
      </c>
      <c r="O203">
        <v>55670.764815</v>
      </c>
      <c r="P203">
        <v>1222785.6241</v>
      </c>
      <c r="Q203">
        <v>1</v>
      </c>
      <c r="R203">
        <v>8547.79283037</v>
      </c>
      <c r="S203" t="s">
        <v>294</v>
      </c>
      <c r="T203" t="s">
        <v>93</v>
      </c>
      <c r="U203">
        <v>12.5</v>
      </c>
      <c r="V203" t="s">
        <v>295</v>
      </c>
      <c r="W203" t="s">
        <v>142</v>
      </c>
      <c r="X203" t="s">
        <v>128</v>
      </c>
      <c r="Y203" s="23" t="s">
        <v>120</v>
      </c>
      <c r="AA203">
        <v>38</v>
      </c>
      <c r="AB203" t="s">
        <v>1002</v>
      </c>
      <c r="AC203" t="s">
        <v>984</v>
      </c>
      <c r="AD203" s="2">
        <v>6</v>
      </c>
      <c r="AE203" s="2" t="s">
        <v>70</v>
      </c>
      <c r="AF203" t="str">
        <f>_xlfn.CONCAT(FINI_grouping_for_wheel[[#This Row],[SEFI/Plant]],"/",IF(FINI_grouping_for_wheel[[#This Row],[RESET recipe combination]]&lt;&gt;"",FINI_grouping_for_wheel[[#This Row],[RESET recipe combination]],FINI_grouping_for_wheel[[#This Row],[Recipe Combination]]),"/",FINI_grouping_for_wheel[[#This Row],[Subgroup]])</f>
        <v>4606821/THDP/x/6</v>
      </c>
      <c r="AG2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03">
        <f>_xlfn.LET(_xlpm.pct, FINI_grouping_for_wheel[[#This Row],[% forecast within subgroup]], _xlpm.lote, FINI_grouping_for_wheel[[#This Row],[Lot size considered]], _xlpm.pct*_xlpm.lote)</f>
        <v>8547.79283037</v>
      </c>
      <c r="AI203" cm="1">
        <f t="array" aca="1" ref="AI203" ca="1">IFERROR(INDIRECT("FINI_grouping_for_wheel[@["&amp;FINI_grouping_for_wheel[[#This Row],[Selected PV]]&amp;"]]"),"")</f>
        <v>34</v>
      </c>
      <c r="AJ20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29.3</v>
      </c>
      <c r="AL203" s="4"/>
      <c r="AM20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34</v>
      </c>
      <c r="AN20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36</v>
      </c>
      <c r="AO20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48</v>
      </c>
      <c r="AP20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68</v>
      </c>
      <c r="AQ2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0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03" t="str">
        <f>_xlfn.CONCAT(FINI_grouping_for_wheel[[#This Row],[Recipe Combination]],FINI_grouping_for_wheel[[#This Row],[Subgroup]])</f>
        <v>C6</v>
      </c>
    </row>
    <row r="204" spans="1:55" hidden="1">
      <c r="A204" t="s">
        <v>10</v>
      </c>
      <c r="B204">
        <v>4606821</v>
      </c>
      <c r="C204" t="s">
        <v>980</v>
      </c>
      <c r="D204">
        <v>8547.79283037</v>
      </c>
      <c r="E204">
        <v>144</v>
      </c>
      <c r="F204">
        <v>2.88</v>
      </c>
      <c r="G204" t="s">
        <v>1003</v>
      </c>
      <c r="H204" t="s">
        <v>1004</v>
      </c>
      <c r="I204">
        <v>240</v>
      </c>
      <c r="J204" t="s">
        <v>90</v>
      </c>
      <c r="K204" t="s">
        <v>292</v>
      </c>
      <c r="L204" t="s">
        <v>293</v>
      </c>
      <c r="M204">
        <v>26531.31105</v>
      </c>
      <c r="N204">
        <v>106.1252442</v>
      </c>
      <c r="O204">
        <v>58153.4136</v>
      </c>
      <c r="P204">
        <v>1222785.6241</v>
      </c>
      <c r="Q204">
        <v>0.45622964169381108</v>
      </c>
      <c r="R204">
        <v>3899.75646027</v>
      </c>
      <c r="S204" t="s">
        <v>126</v>
      </c>
      <c r="T204" t="s">
        <v>93</v>
      </c>
      <c r="U204">
        <v>10</v>
      </c>
      <c r="V204" t="s">
        <v>295</v>
      </c>
      <c r="W204" t="s">
        <v>142</v>
      </c>
      <c r="X204" t="s">
        <v>128</v>
      </c>
      <c r="Y204" s="23" t="s">
        <v>120</v>
      </c>
      <c r="AA204">
        <v>81</v>
      </c>
      <c r="AB204" t="s">
        <v>1005</v>
      </c>
      <c r="AC204" t="s">
        <v>984</v>
      </c>
      <c r="AD204" s="2">
        <v>7</v>
      </c>
      <c r="AE204" s="2" t="s">
        <v>70</v>
      </c>
      <c r="AF204" t="str">
        <f>_xlfn.CONCAT(FINI_grouping_for_wheel[[#This Row],[SEFI/Plant]],"/",IF(FINI_grouping_for_wheel[[#This Row],[RESET recipe combination]]&lt;&gt;"",FINI_grouping_for_wheel[[#This Row],[RESET recipe combination]],FINI_grouping_for_wheel[[#This Row],[Recipe Combination]]),"/",FINI_grouping_for_wheel[[#This Row],[Subgroup]])</f>
        <v>4606821/THDP/x/7</v>
      </c>
      <c r="AG2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0.4856957087126138</v>
      </c>
      <c r="AH204">
        <f>_xlfn.LET(_xlpm.pct, FINI_grouping_for_wheel[[#This Row],[% forecast within subgroup]], _xlpm.lote, FINI_grouping_for_wheel[[#This Row],[Lot size considered]], _xlpm.pct*_xlpm.lote)</f>
        <v>4151.626296675156</v>
      </c>
      <c r="AI204" cm="1">
        <f t="array" aca="1" ref="AI204" ca="1">IFERROR(INDIRECT("FINI_grouping_for_wheel[@["&amp;FINI_grouping_for_wheel[[#This Row],[Selected PV]]&amp;"]]"),"")</f>
        <v>34</v>
      </c>
      <c r="AJ20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17.8</v>
      </c>
      <c r="AL204" s="4"/>
      <c r="AM20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34</v>
      </c>
      <c r="AN20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37</v>
      </c>
      <c r="AO20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49</v>
      </c>
      <c r="AP20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69</v>
      </c>
      <c r="AQ2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0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04" t="str">
        <f>_xlfn.CONCAT(FINI_grouping_for_wheel[[#This Row],[Recipe Combination]],FINI_grouping_for_wheel[[#This Row],[Subgroup]])</f>
        <v>E7</v>
      </c>
    </row>
    <row r="205" spans="1:55" hidden="1">
      <c r="A205" t="s">
        <v>10</v>
      </c>
      <c r="B205">
        <v>4606821</v>
      </c>
      <c r="C205" t="s">
        <v>980</v>
      </c>
      <c r="D205">
        <v>8547.79283037</v>
      </c>
      <c r="E205">
        <v>144</v>
      </c>
      <c r="F205">
        <v>2.88</v>
      </c>
      <c r="G205" t="s">
        <v>1006</v>
      </c>
      <c r="H205" t="s">
        <v>1007</v>
      </c>
      <c r="I205">
        <v>240</v>
      </c>
      <c r="J205" t="s">
        <v>90</v>
      </c>
      <c r="K205" t="s">
        <v>292</v>
      </c>
      <c r="L205" t="s">
        <v>293</v>
      </c>
      <c r="M205">
        <v>28094.06565</v>
      </c>
      <c r="N205">
        <v>112.3762626</v>
      </c>
      <c r="O205">
        <v>58153.4136</v>
      </c>
      <c r="P205">
        <v>1222785.6241</v>
      </c>
      <c r="Q205">
        <v>0.4831026058631922</v>
      </c>
      <c r="R205">
        <v>4129.46099073</v>
      </c>
      <c r="S205" t="s">
        <v>126</v>
      </c>
      <c r="T205" t="s">
        <v>93</v>
      </c>
      <c r="U205">
        <v>10</v>
      </c>
      <c r="V205" t="s">
        <v>295</v>
      </c>
      <c r="W205" t="s">
        <v>142</v>
      </c>
      <c r="X205" t="s">
        <v>128</v>
      </c>
      <c r="Y205" s="23" t="s">
        <v>120</v>
      </c>
      <c r="AA205">
        <v>76</v>
      </c>
      <c r="AB205" t="s">
        <v>1008</v>
      </c>
      <c r="AC205" t="s">
        <v>984</v>
      </c>
      <c r="AD205" s="2">
        <v>7</v>
      </c>
      <c r="AE205" s="2" t="s">
        <v>70</v>
      </c>
      <c r="AF205" t="str">
        <f>_xlfn.CONCAT(FINI_grouping_for_wheel[[#This Row],[SEFI/Plant]],"/",IF(FINI_grouping_for_wheel[[#This Row],[RESET recipe combination]]&lt;&gt;"",FINI_grouping_for_wheel[[#This Row],[RESET recipe combination]],FINI_grouping_for_wheel[[#This Row],[Recipe Combination]]),"/",FINI_grouping_for_wheel[[#This Row],[Subgroup]])</f>
        <v>4606821/THDP/x/7</v>
      </c>
      <c r="AG2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0.5143042912873862</v>
      </c>
      <c r="AH205">
        <f>_xlfn.LET(_xlpm.pct, FINI_grouping_for_wheel[[#This Row],[% forecast within subgroup]], _xlpm.lote, FINI_grouping_for_wheel[[#This Row],[Lot size considered]], _xlpm.pct*_xlpm.lote)</f>
        <v>4396.166533694844</v>
      </c>
      <c r="AI205" cm="1">
        <f t="array" aca="1" ref="AI205" ca="1">IFERROR(INDIRECT("FINI_grouping_for_wheel[@["&amp;FINI_grouping_for_wheel[[#This Row],[Selected PV]]&amp;"]]"),"")</f>
        <v>34</v>
      </c>
      <c r="AJ20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18.8</v>
      </c>
      <c r="AL205" s="4"/>
      <c r="AM20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34</v>
      </c>
      <c r="AN20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37</v>
      </c>
      <c r="AO20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49</v>
      </c>
      <c r="AP20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69</v>
      </c>
      <c r="AQ2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0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05" t="str">
        <f>_xlfn.CONCAT(FINI_grouping_for_wheel[[#This Row],[Recipe Combination]],FINI_grouping_for_wheel[[#This Row],[Subgroup]])</f>
        <v>E7</v>
      </c>
    </row>
    <row r="206" spans="1:55" hidden="1">
      <c r="A206" t="s">
        <v>10</v>
      </c>
      <c r="B206">
        <v>4606821</v>
      </c>
      <c r="C206" t="s">
        <v>980</v>
      </c>
      <c r="D206">
        <v>8547.79283037</v>
      </c>
      <c r="E206">
        <v>144</v>
      </c>
      <c r="F206">
        <v>2.88</v>
      </c>
      <c r="G206" t="s">
        <v>1009</v>
      </c>
      <c r="H206" t="s">
        <v>1010</v>
      </c>
      <c r="I206">
        <v>280</v>
      </c>
      <c r="J206" t="s">
        <v>90</v>
      </c>
      <c r="K206" t="s">
        <v>140</v>
      </c>
      <c r="L206" t="s">
        <v>141</v>
      </c>
      <c r="M206">
        <v>3528.0369</v>
      </c>
      <c r="N206">
        <v>14.1121476</v>
      </c>
      <c r="O206">
        <v>58153.4136</v>
      </c>
      <c r="P206">
        <v>1222785.6241</v>
      </c>
      <c r="Q206">
        <v>6.0667752442996742E-2</v>
      </c>
      <c r="R206">
        <v>518.575379367</v>
      </c>
      <c r="S206" t="s">
        <v>126</v>
      </c>
      <c r="T206" t="s">
        <v>93</v>
      </c>
      <c r="U206">
        <v>5</v>
      </c>
      <c r="V206" t="s">
        <v>135</v>
      </c>
      <c r="W206" t="s">
        <v>142</v>
      </c>
      <c r="X206" t="s">
        <v>128</v>
      </c>
      <c r="Y206" s="23" t="s">
        <v>136</v>
      </c>
      <c r="AA206">
        <v>606</v>
      </c>
      <c r="AB206" t="s">
        <v>1011</v>
      </c>
      <c r="AC206" t="s">
        <v>984</v>
      </c>
      <c r="AD206" s="2">
        <v>8</v>
      </c>
      <c r="AE206" s="2" t="s">
        <v>70</v>
      </c>
      <c r="AF206" t="str">
        <f>_xlfn.CONCAT(FINI_grouping_for_wheel[[#This Row],[SEFI/Plant]],"/",IF(FINI_grouping_for_wheel[[#This Row],[RESET recipe combination]]&lt;&gt;"",FINI_grouping_for_wheel[[#This Row],[RESET recipe combination]],FINI_grouping_for_wheel[[#This Row],[Recipe Combination]]),"/",FINI_grouping_for_wheel[[#This Row],[Subgroup]])</f>
        <v>4606821/THDP/x/8</v>
      </c>
      <c r="AG2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0.08025855103689739</v>
      </c>
      <c r="AH206">
        <f>_xlfn.LET(_xlpm.pct, FINI_grouping_for_wheel[[#This Row],[% forecast within subgroup]], _xlpm.lote, FINI_grouping_for_wheel[[#This Row],[Lot size considered]], _xlpm.pct*_xlpm.lote)</f>
        <v>686.0334671290761</v>
      </c>
      <c r="AI206" cm="1">
        <f t="array" aca="1" ref="AI206" ca="1">IFERROR(INDIRECT("FINI_grouping_for_wheel[@["&amp;FINI_grouping_for_wheel[[#This Row],[Selected PV]]&amp;"]]"),"")</f>
        <v>42</v>
      </c>
      <c r="AJ20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2.5</v>
      </c>
      <c r="AL206" s="4"/>
      <c r="AM20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42</v>
      </c>
      <c r="AN20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45</v>
      </c>
      <c r="AO20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61</v>
      </c>
      <c r="AP20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86</v>
      </c>
      <c r="AQ2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0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06" t="str">
        <f>_xlfn.CONCAT(FINI_grouping_for_wheel[[#This Row],[Recipe Combination]],FINI_grouping_for_wheel[[#This Row],[Subgroup]])</f>
        <v>E8</v>
      </c>
    </row>
    <row r="207" spans="1:55" hidden="1">
      <c r="A207" t="s">
        <v>10</v>
      </c>
      <c r="B207">
        <v>4606821</v>
      </c>
      <c r="C207" t="s">
        <v>980</v>
      </c>
      <c r="D207">
        <v>8547.79283037</v>
      </c>
      <c r="E207">
        <v>144</v>
      </c>
      <c r="F207">
        <v>2.88</v>
      </c>
      <c r="G207" t="s">
        <v>1012</v>
      </c>
      <c r="H207" t="s">
        <v>1013</v>
      </c>
      <c r="I207">
        <v>360</v>
      </c>
      <c r="J207" t="s">
        <v>90</v>
      </c>
      <c r="K207" t="s">
        <v>264</v>
      </c>
      <c r="L207" t="s">
        <v>265</v>
      </c>
      <c r="M207">
        <v>17873.413785</v>
      </c>
      <c r="N207">
        <v>71.49365514</v>
      </c>
      <c r="O207">
        <v>17873.413785</v>
      </c>
      <c r="P207">
        <v>1222785.6241</v>
      </c>
      <c r="Q207">
        <v>1</v>
      </c>
      <c r="R207">
        <v>8547.79283037</v>
      </c>
      <c r="S207" t="s">
        <v>307</v>
      </c>
      <c r="T207" t="s">
        <v>93</v>
      </c>
      <c r="U207">
        <v>2.5</v>
      </c>
      <c r="V207" t="s">
        <v>267</v>
      </c>
      <c r="W207" t="s">
        <v>142</v>
      </c>
      <c r="X207" t="s">
        <v>150</v>
      </c>
      <c r="Y207" s="23" t="s">
        <v>151</v>
      </c>
      <c r="AA207">
        <v>120</v>
      </c>
      <c r="AB207" t="s">
        <v>1014</v>
      </c>
      <c r="AC207" t="s">
        <v>984</v>
      </c>
      <c r="AD207" s="2">
        <v>100</v>
      </c>
      <c r="AE207" s="2" t="s">
        <v>70</v>
      </c>
      <c r="AF207" t="str">
        <f>_xlfn.CONCAT(FINI_grouping_for_wheel[[#This Row],[SEFI/Plant]],"/",IF(FINI_grouping_for_wheel[[#This Row],[RESET recipe combination]]&lt;&gt;"",FINI_grouping_for_wheel[[#This Row],[RESET recipe combination]],FINI_grouping_for_wheel[[#This Row],[Recipe Combination]]),"/",FINI_grouping_for_wheel[[#This Row],[Subgroup]])</f>
        <v>4606821/THDP/x/100</v>
      </c>
      <c r="AG2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0.7106142621793363</v>
      </c>
      <c r="AH207">
        <f>_xlfn.LET(_xlpm.pct, FINI_grouping_for_wheel[[#This Row],[% forecast within subgroup]], _xlpm.lote, FINI_grouping_for_wheel[[#This Row],[Lot size considered]], _xlpm.pct*_xlpm.lote)</f>
        <v>6074.183495415198</v>
      </c>
      <c r="AI207" cm="1">
        <f t="array" aca="1" ref="AI207" ca="1">IFERROR(INDIRECT("FINI_grouping_for_wheel[@["&amp;FINI_grouping_for_wheel[[#This Row],[Selected PV]]&amp;"]]"),"")</f>
        <v>74</v>
      </c>
      <c r="AJ20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17.3</v>
      </c>
      <c r="AL207" s="4"/>
      <c r="AM20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74</v>
      </c>
      <c r="AN20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79</v>
      </c>
      <c r="AO20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106</v>
      </c>
      <c r="AP20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150</v>
      </c>
      <c r="AQ2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0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07" t="str">
        <f>_xlfn.CONCAT(FINI_grouping_for_wheel[[#This Row],[Recipe Combination]],FINI_grouping_for_wheel[[#This Row],[Subgroup]])</f>
        <v>H100</v>
      </c>
    </row>
    <row r="208" spans="1:55" hidden="1">
      <c r="A208" t="s">
        <v>10</v>
      </c>
      <c r="B208">
        <v>4606821</v>
      </c>
      <c r="C208" t="s">
        <v>980</v>
      </c>
      <c r="D208">
        <v>8547.79283037</v>
      </c>
      <c r="E208">
        <v>144</v>
      </c>
      <c r="F208">
        <v>2.88</v>
      </c>
      <c r="G208" t="s">
        <v>1015</v>
      </c>
      <c r="H208" t="s">
        <v>1016</v>
      </c>
      <c r="I208">
        <v>462</v>
      </c>
      <c r="J208" t="s">
        <v>90</v>
      </c>
      <c r="K208" t="s">
        <v>312</v>
      </c>
      <c r="L208" t="s">
        <v>313</v>
      </c>
      <c r="M208">
        <v>8.287335</v>
      </c>
      <c r="N208">
        <v>0.03314934</v>
      </c>
      <c r="O208">
        <v>26605.897065</v>
      </c>
      <c r="P208">
        <v>1222785.6241</v>
      </c>
      <c r="Q208">
        <v>3.1148489298269034E-4</v>
      </c>
      <c r="R208">
        <v>2.66250833501</v>
      </c>
      <c r="S208" t="s">
        <v>314</v>
      </c>
      <c r="T208" t="s">
        <v>93</v>
      </c>
      <c r="U208">
        <v>1</v>
      </c>
      <c r="V208" t="s">
        <v>315</v>
      </c>
      <c r="W208" t="s">
        <v>142</v>
      </c>
      <c r="X208" t="s">
        <v>150</v>
      </c>
      <c r="Y208" s="23" t="s">
        <v>151</v>
      </c>
      <c r="AA208">
        <v>257857</v>
      </c>
      <c r="AB208" t="s">
        <v>1017</v>
      </c>
      <c r="AC208" t="s">
        <v>984</v>
      </c>
      <c r="AD208" s="2">
        <v>30</v>
      </c>
      <c r="AE208" s="2" t="s">
        <v>70</v>
      </c>
      <c r="AF208" t="str">
        <f>_xlfn.CONCAT(FINI_grouping_for_wheel[[#This Row],[SEFI/Plant]],"/",IF(FINI_grouping_for_wheel[[#This Row],[RESET recipe combination]]&lt;&gt;"",FINI_grouping_for_wheel[[#This Row],[RESET recipe combination]],FINI_grouping_for_wheel[[#This Row],[Recipe Combination]]),"/",FINI_grouping_for_wheel[[#This Row],[Subgroup]])</f>
        <v>4606821/THDP/x/30</v>
      </c>
      <c r="AG2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0.00031148489298269034</v>
      </c>
      <c r="AH208">
        <f>_xlfn.LET(_xlpm.pct, FINI_grouping_for_wheel[[#This Row],[% forecast within subgroup]], _xlpm.lote, FINI_grouping_for_wheel[[#This Row],[Lot size considered]], _xlpm.pct*_xlpm.lote)</f>
        <v>2.662508335006007</v>
      </c>
      <c r="AI208" cm="1">
        <f t="array" aca="1" ref="AI208" ca="1">IFERROR(INDIRECT("FINI_grouping_for_wheel[@["&amp;FINI_grouping_for_wheel[[#This Row],[Selected PV]]&amp;"]]"),"")</f>
        <v>70</v>
      </c>
      <c r="AJ20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v>
      </c>
      <c r="AL208" s="4"/>
      <c r="AM20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v>
      </c>
      <c r="AN20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75</v>
      </c>
      <c r="AO20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100</v>
      </c>
      <c r="AP20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142</v>
      </c>
      <c r="AQ2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0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08" t="str">
        <f>_xlfn.CONCAT(FINI_grouping_for_wheel[[#This Row],[Recipe Combination]],FINI_grouping_for_wheel[[#This Row],[Subgroup]])</f>
        <v>K30</v>
      </c>
    </row>
    <row r="209" spans="1:55" hidden="1">
      <c r="A209" t="s">
        <v>10</v>
      </c>
      <c r="B209">
        <v>4606821</v>
      </c>
      <c r="C209" t="s">
        <v>980</v>
      </c>
      <c r="D209">
        <v>8547.79283037</v>
      </c>
      <c r="E209">
        <v>144</v>
      </c>
      <c r="F209">
        <v>2.88</v>
      </c>
      <c r="G209" t="s">
        <v>1018</v>
      </c>
      <c r="H209" t="s">
        <v>1019</v>
      </c>
      <c r="I209">
        <v>462</v>
      </c>
      <c r="J209" t="s">
        <v>90</v>
      </c>
      <c r="K209" t="s">
        <v>312</v>
      </c>
      <c r="L209" t="s">
        <v>313</v>
      </c>
      <c r="M209">
        <v>13850.504595</v>
      </c>
      <c r="N209">
        <v>55.40201838</v>
      </c>
      <c r="O209">
        <v>26605.897065</v>
      </c>
      <c r="P209">
        <v>1222785.6241</v>
      </c>
      <c r="Q209">
        <v>0.52058025185778489</v>
      </c>
      <c r="R209">
        <v>4449.81214446</v>
      </c>
      <c r="S209" t="s">
        <v>314</v>
      </c>
      <c r="T209" t="s">
        <v>93</v>
      </c>
      <c r="U209">
        <v>1</v>
      </c>
      <c r="V209" t="s">
        <v>315</v>
      </c>
      <c r="W209" t="s">
        <v>142</v>
      </c>
      <c r="X209" t="s">
        <v>150</v>
      </c>
      <c r="Y209" s="23" t="s">
        <v>151</v>
      </c>
      <c r="AA209">
        <v>154</v>
      </c>
      <c r="AB209" t="s">
        <v>1020</v>
      </c>
      <c r="AC209" t="s">
        <v>984</v>
      </c>
      <c r="AD209" s="2">
        <v>30</v>
      </c>
      <c r="AE209" s="2" t="s">
        <v>70</v>
      </c>
      <c r="AF209" t="str">
        <f>_xlfn.CONCAT(FINI_grouping_for_wheel[[#This Row],[SEFI/Plant]],"/",IF(FINI_grouping_for_wheel[[#This Row],[RESET recipe combination]]&lt;&gt;"",FINI_grouping_for_wheel[[#This Row],[RESET recipe combination]],FINI_grouping_for_wheel[[#This Row],[Recipe Combination]]),"/",FINI_grouping_for_wheel[[#This Row],[Subgroup]])</f>
        <v>4606821/THDP/x/30</v>
      </c>
      <c r="AG2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0.5205802518577849</v>
      </c>
      <c r="AH209">
        <f>_xlfn.LET(_xlpm.pct, FINI_grouping_for_wheel[[#This Row],[% forecast within subgroup]], _xlpm.lote, FINI_grouping_for_wheel[[#This Row],[Lot size considered]], _xlpm.pct*_xlpm.lote)</f>
        <v>4449.812144462182</v>
      </c>
      <c r="AI209" cm="1">
        <f t="array" aca="1" ref="AI209" ca="1">IFERROR(INDIRECT("FINI_grouping_for_wheel[@["&amp;FINI_grouping_for_wheel[[#This Row],[Selected PV]]&amp;"]]"),"")</f>
        <v>70</v>
      </c>
      <c r="AJ20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9.9</v>
      </c>
      <c r="AL209" s="4"/>
      <c r="AM20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v>
      </c>
      <c r="AN20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75</v>
      </c>
      <c r="AO20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100</v>
      </c>
      <c r="AP20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142</v>
      </c>
      <c r="AQ2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0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09" t="str">
        <f>_xlfn.CONCAT(FINI_grouping_for_wheel[[#This Row],[Recipe Combination]],FINI_grouping_for_wheel[[#This Row],[Subgroup]])</f>
        <v>K30</v>
      </c>
    </row>
    <row r="210" spans="1:55" hidden="1">
      <c r="A210" t="s">
        <v>10</v>
      </c>
      <c r="B210">
        <v>4606821</v>
      </c>
      <c r="C210" t="s">
        <v>980</v>
      </c>
      <c r="D210">
        <v>8547.79283037</v>
      </c>
      <c r="E210">
        <v>144</v>
      </c>
      <c r="F210">
        <v>2.88</v>
      </c>
      <c r="G210" t="s">
        <v>1021</v>
      </c>
      <c r="H210" t="s">
        <v>1022</v>
      </c>
      <c r="I210">
        <v>330</v>
      </c>
      <c r="J210" t="s">
        <v>90</v>
      </c>
      <c r="K210" t="s">
        <v>312</v>
      </c>
      <c r="L210" t="s">
        <v>313</v>
      </c>
      <c r="M210">
        <v>12747.105135</v>
      </c>
      <c r="N210">
        <v>50.98842054</v>
      </c>
      <c r="O210">
        <v>26605.897065</v>
      </c>
      <c r="P210">
        <v>1222785.6241</v>
      </c>
      <c r="Q210">
        <v>0.47910826324923239</v>
      </c>
      <c r="R210">
        <v>4095.31817757</v>
      </c>
      <c r="S210" t="s">
        <v>314</v>
      </c>
      <c r="T210" t="s">
        <v>93</v>
      </c>
      <c r="U210">
        <v>1</v>
      </c>
      <c r="V210" t="s">
        <v>315</v>
      </c>
      <c r="W210" t="s">
        <v>142</v>
      </c>
      <c r="X210" t="s">
        <v>150</v>
      </c>
      <c r="Y210" s="23" t="s">
        <v>151</v>
      </c>
      <c r="AA210">
        <v>168</v>
      </c>
      <c r="AB210" t="s">
        <v>1023</v>
      </c>
      <c r="AC210" t="s">
        <v>984</v>
      </c>
      <c r="AD210" s="2">
        <v>30</v>
      </c>
      <c r="AE210" s="2" t="s">
        <v>70</v>
      </c>
      <c r="AF210" t="str">
        <f>_xlfn.CONCAT(FINI_grouping_for_wheel[[#This Row],[SEFI/Plant]],"/",IF(FINI_grouping_for_wheel[[#This Row],[RESET recipe combination]]&lt;&gt;"",FINI_grouping_for_wheel[[#This Row],[RESET recipe combination]],FINI_grouping_for_wheel[[#This Row],[Recipe Combination]]),"/",FINI_grouping_for_wheel[[#This Row],[Subgroup]])</f>
        <v>4606821/THDP/x/30</v>
      </c>
      <c r="AG2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0.4791082632492324</v>
      </c>
      <c r="AH210">
        <f>_xlfn.LET(_xlpm.pct, FINI_grouping_for_wheel[[#This Row],[% forecast within subgroup]], _xlpm.lote, FINI_grouping_for_wheel[[#This Row],[Lot size considered]], _xlpm.pct*_xlpm.lote)</f>
        <v>4095.318177572811</v>
      </c>
      <c r="AI210" cm="1">
        <f t="array" aca="1" ref="AI210" ca="1">IFERROR(INDIRECT("FINI_grouping_for_wheel[@["&amp;FINI_grouping_for_wheel[[#This Row],[Selected PV]]&amp;"]]"),"")</f>
        <v>70</v>
      </c>
      <c r="AJ21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12.7</v>
      </c>
      <c r="AL210" s="4"/>
      <c r="AM21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v>
      </c>
      <c r="AN21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75</v>
      </c>
      <c r="AO21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100</v>
      </c>
      <c r="AP21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142</v>
      </c>
      <c r="AQ2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1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10" t="str">
        <f>_xlfn.CONCAT(FINI_grouping_for_wheel[[#This Row],[Recipe Combination]],FINI_grouping_for_wheel[[#This Row],[Subgroup]])</f>
        <v>K30</v>
      </c>
    </row>
    <row r="211" spans="1:55" hidden="1">
      <c r="A211" t="s">
        <v>10</v>
      </c>
      <c r="B211">
        <v>4606821</v>
      </c>
      <c r="C211" t="s">
        <v>980</v>
      </c>
      <c r="D211">
        <v>8547.79283037</v>
      </c>
      <c r="E211">
        <v>144</v>
      </c>
      <c r="F211">
        <v>2.88</v>
      </c>
      <c r="G211" t="s">
        <v>1024</v>
      </c>
      <c r="H211" t="s">
        <v>1025</v>
      </c>
      <c r="I211">
        <v>300</v>
      </c>
      <c r="J211" t="s">
        <v>90</v>
      </c>
      <c r="K211" t="s">
        <v>440</v>
      </c>
      <c r="L211" t="s">
        <v>441</v>
      </c>
      <c r="M211">
        <v>45787.525875</v>
      </c>
      <c r="N211">
        <v>183.1501035</v>
      </c>
      <c r="O211">
        <v>110038.050225</v>
      </c>
      <c r="P211">
        <v>1222785.6241</v>
      </c>
      <c r="Q211">
        <v>0.41610629942439076</v>
      </c>
      <c r="R211">
        <v>3556.79044289</v>
      </c>
      <c r="S211" t="s">
        <v>173</v>
      </c>
      <c r="T211" t="s">
        <v>93</v>
      </c>
      <c r="U211">
        <v>5</v>
      </c>
      <c r="V211" t="s">
        <v>119</v>
      </c>
      <c r="W211" t="s">
        <v>95</v>
      </c>
      <c r="X211" t="s">
        <v>96</v>
      </c>
      <c r="Y211" s="23" t="s">
        <v>120</v>
      </c>
      <c r="AA211">
        <v>47</v>
      </c>
      <c r="AB211" t="s">
        <v>1026</v>
      </c>
      <c r="AC211" t="s">
        <v>984</v>
      </c>
      <c r="AD211" s="2">
        <v>9</v>
      </c>
      <c r="AE211" s="2" t="s">
        <v>70</v>
      </c>
      <c r="AF211" t="str">
        <f>_xlfn.CONCAT(FINI_grouping_for_wheel[[#This Row],[SEFI/Plant]],"/",IF(FINI_grouping_for_wheel[[#This Row],[RESET recipe combination]]&lt;&gt;"",FINI_grouping_for_wheel[[#This Row],[RESET recipe combination]],FINI_grouping_for_wheel[[#This Row],[Recipe Combination]]),"/",FINI_grouping_for_wheel[[#This Row],[Subgroup]])</f>
        <v>4606821/THDP/x/9</v>
      </c>
      <c r="AG2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0.6577940301046008</v>
      </c>
      <c r="AH211">
        <f>_xlfn.LET(_xlpm.pct, FINI_grouping_for_wheel[[#This Row],[% forecast within subgroup]], _xlpm.lote, FINI_grouping_for_wheel[[#This Row],[Lot size considered]], _xlpm.pct*_xlpm.lote)</f>
        <v>5622.687094388294</v>
      </c>
      <c r="AI211" cm="1">
        <f t="array" aca="1" ref="AI211" ca="1">IFERROR(INDIRECT("FINI_grouping_for_wheel[@["&amp;FINI_grouping_for_wheel[[#This Row],[Selected PV]]&amp;"]]"),"")</f>
        <v>27</v>
      </c>
      <c r="AJ21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19.2</v>
      </c>
      <c r="AL211" s="4"/>
      <c r="AM21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27</v>
      </c>
      <c r="AN21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29</v>
      </c>
      <c r="AO21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38</v>
      </c>
      <c r="AP21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54</v>
      </c>
      <c r="AQ2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1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11" t="str">
        <f>_xlfn.CONCAT(FINI_grouping_for_wheel[[#This Row],[Recipe Combination]],FINI_grouping_for_wheel[[#This Row],[Subgroup]])</f>
        <v>P9</v>
      </c>
    </row>
    <row r="212" spans="1:55" hidden="1">
      <c r="A212" t="s">
        <v>10</v>
      </c>
      <c r="B212">
        <v>4606821</v>
      </c>
      <c r="C212" t="s">
        <v>980</v>
      </c>
      <c r="D212">
        <v>8547.79283037</v>
      </c>
      <c r="E212">
        <v>144</v>
      </c>
      <c r="F212">
        <v>2.88</v>
      </c>
      <c r="G212" t="s">
        <v>1027</v>
      </c>
      <c r="H212" t="s">
        <v>1028</v>
      </c>
      <c r="I212">
        <v>240</v>
      </c>
      <c r="J212" t="s">
        <v>90</v>
      </c>
      <c r="K212" t="s">
        <v>254</v>
      </c>
      <c r="L212" t="s">
        <v>255</v>
      </c>
      <c r="M212">
        <v>23820.1686</v>
      </c>
      <c r="N212">
        <v>95.2806744</v>
      </c>
      <c r="O212">
        <v>110038.050225</v>
      </c>
      <c r="P212">
        <v>1222785.6241</v>
      </c>
      <c r="Q212">
        <v>0.21647210716014847</v>
      </c>
      <c r="R212">
        <v>1850.35872556</v>
      </c>
      <c r="S212" t="s">
        <v>173</v>
      </c>
      <c r="T212" t="s">
        <v>93</v>
      </c>
      <c r="U212">
        <v>5</v>
      </c>
      <c r="V212" t="s">
        <v>119</v>
      </c>
      <c r="W212" t="s">
        <v>95</v>
      </c>
      <c r="X212" t="s">
        <v>96</v>
      </c>
      <c r="Y212" s="23" t="s">
        <v>120</v>
      </c>
      <c r="AA212">
        <v>90</v>
      </c>
      <c r="AB212" t="s">
        <v>1029</v>
      </c>
      <c r="AC212" t="s">
        <v>984</v>
      </c>
      <c r="AD212" s="2">
        <v>9</v>
      </c>
      <c r="AE212" s="2" t="s">
        <v>70</v>
      </c>
      <c r="AF212" t="str">
        <f>_xlfn.CONCAT(FINI_grouping_for_wheel[[#This Row],[SEFI/Plant]],"/",IF(FINI_grouping_for_wheel[[#This Row],[RESET recipe combination]]&lt;&gt;"",FINI_grouping_for_wheel[[#This Row],[RESET recipe combination]],FINI_grouping_for_wheel[[#This Row],[Recipe Combination]]),"/",FINI_grouping_for_wheel[[#This Row],[Subgroup]])</f>
        <v>4606821/THDP/x/9</v>
      </c>
      <c r="AG2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0.3422059698953993</v>
      </c>
      <c r="AH212">
        <f>_xlfn.LET(_xlpm.pct, FINI_grouping_for_wheel[[#This Row],[% forecast within subgroup]], _xlpm.lote, FINI_grouping_for_wheel[[#This Row],[Lot size considered]], _xlpm.pct*_xlpm.lote)</f>
        <v>2925.105735981706</v>
      </c>
      <c r="AI212" cm="1">
        <f t="array" aca="1" ref="AI212" ca="1">IFERROR(INDIRECT("FINI_grouping_for_wheel[@["&amp;FINI_grouping_for_wheel[[#This Row],[Selected PV]]&amp;"]]"),"")</f>
        <v>27</v>
      </c>
      <c r="AJ21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12.5</v>
      </c>
      <c r="AL212" s="4"/>
      <c r="AM21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27</v>
      </c>
      <c r="AN21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29</v>
      </c>
      <c r="AO21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38</v>
      </c>
      <c r="AP21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54</v>
      </c>
      <c r="AQ2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1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12" t="str">
        <f>_xlfn.CONCAT(FINI_grouping_for_wheel[[#This Row],[Recipe Combination]],FINI_grouping_for_wheel[[#This Row],[Subgroup]])</f>
        <v>P9</v>
      </c>
    </row>
    <row r="213" spans="1:55" hidden="1">
      <c r="A213" t="s">
        <v>10</v>
      </c>
      <c r="B213">
        <v>4606821</v>
      </c>
      <c r="C213" t="s">
        <v>980</v>
      </c>
      <c r="D213">
        <v>8547.79283037</v>
      </c>
      <c r="E213">
        <v>144</v>
      </c>
      <c r="F213">
        <v>2.88</v>
      </c>
      <c r="G213" t="s">
        <v>1030</v>
      </c>
      <c r="H213" t="s">
        <v>1031</v>
      </c>
      <c r="I213">
        <v>240</v>
      </c>
      <c r="J213" t="s">
        <v>90</v>
      </c>
      <c r="K213" t="s">
        <v>254</v>
      </c>
      <c r="L213" t="s">
        <v>255</v>
      </c>
      <c r="M213">
        <v>40430.35575</v>
      </c>
      <c r="N213">
        <v>161.721423</v>
      </c>
      <c r="O213">
        <v>110038.050225</v>
      </c>
      <c r="P213">
        <v>1222785.6241</v>
      </c>
      <c r="Q213">
        <v>0.36742159341546077</v>
      </c>
      <c r="R213">
        <v>3140.64366192</v>
      </c>
      <c r="S213" t="s">
        <v>173</v>
      </c>
      <c r="T213" t="s">
        <v>93</v>
      </c>
      <c r="U213">
        <v>5</v>
      </c>
      <c r="V213" t="s">
        <v>119</v>
      </c>
      <c r="W213" t="s">
        <v>95</v>
      </c>
      <c r="X213" t="s">
        <v>96</v>
      </c>
      <c r="Y213" s="23" t="s">
        <v>120</v>
      </c>
      <c r="AA213">
        <v>53</v>
      </c>
      <c r="AB213" t="s">
        <v>1032</v>
      </c>
      <c r="AC213" t="s">
        <v>984</v>
      </c>
      <c r="AD213" s="2">
        <v>8</v>
      </c>
      <c r="AE213" s="2" t="s">
        <v>70</v>
      </c>
      <c r="AF213" t="str">
        <f>_xlfn.CONCAT(FINI_grouping_for_wheel[[#This Row],[SEFI/Plant]],"/",IF(FINI_grouping_for_wheel[[#This Row],[RESET recipe combination]]&lt;&gt;"",FINI_grouping_for_wheel[[#This Row],[RESET recipe combination]],FINI_grouping_for_wheel[[#This Row],[Recipe Combination]]),"/",FINI_grouping_for_wheel[[#This Row],[Subgroup]])</f>
        <v>4606821/THDP/x/8</v>
      </c>
      <c r="AG2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0.9197414489631026</v>
      </c>
      <c r="AH213">
        <f>_xlfn.LET(_xlpm.pct, FINI_grouping_for_wheel[[#This Row],[% forecast within subgroup]], _xlpm.lote, FINI_grouping_for_wheel[[#This Row],[Lot size considered]], _xlpm.pct*_xlpm.lote)</f>
        <v>7861.759363240923</v>
      </c>
      <c r="AI213" cm="1">
        <f t="array" aca="1" ref="AI213" ca="1">IFERROR(INDIRECT("FINI_grouping_for_wheel[@["&amp;FINI_grouping_for_wheel[[#This Row],[Selected PV]]&amp;"]]"),"")</f>
        <v>42</v>
      </c>
      <c r="AJ21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33.6</v>
      </c>
      <c r="AL213" s="4"/>
      <c r="AM21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42</v>
      </c>
      <c r="AN21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45</v>
      </c>
      <c r="AO21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61</v>
      </c>
      <c r="AP21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86</v>
      </c>
      <c r="AQ2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1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13" t="str">
        <f>_xlfn.CONCAT(FINI_grouping_for_wheel[[#This Row],[Recipe Combination]],FINI_grouping_for_wheel[[#This Row],[Subgroup]])</f>
        <v>P8</v>
      </c>
    </row>
    <row r="214" spans="1:55" hidden="1">
      <c r="A214" t="s">
        <v>10</v>
      </c>
      <c r="B214">
        <v>4606821</v>
      </c>
      <c r="C214" t="s">
        <v>980</v>
      </c>
      <c r="D214">
        <v>8547.79283037</v>
      </c>
      <c r="E214">
        <v>144</v>
      </c>
      <c r="F214">
        <v>2.88</v>
      </c>
      <c r="G214" t="s">
        <v>1033</v>
      </c>
      <c r="H214" t="s">
        <v>1034</v>
      </c>
      <c r="I214">
        <v>440</v>
      </c>
      <c r="J214" t="s">
        <v>90</v>
      </c>
      <c r="K214" t="s">
        <v>385</v>
      </c>
      <c r="L214" t="s">
        <v>386</v>
      </c>
      <c r="M214">
        <v>312550.92</v>
      </c>
      <c r="N214">
        <v>1250.20368</v>
      </c>
      <c r="O214">
        <v>312550.92</v>
      </c>
      <c r="P214">
        <v>1222785.6241</v>
      </c>
      <c r="Q214">
        <v>1</v>
      </c>
      <c r="R214">
        <v>8547.79283037</v>
      </c>
      <c r="S214" t="s">
        <v>224</v>
      </c>
      <c r="T214" t="s">
        <v>93</v>
      </c>
      <c r="U214">
        <v>10</v>
      </c>
      <c r="V214" t="s">
        <v>94</v>
      </c>
      <c r="W214" t="s">
        <v>95</v>
      </c>
      <c r="X214" t="s">
        <v>96</v>
      </c>
      <c r="Y214" s="23" t="s">
        <v>97</v>
      </c>
      <c r="AA214">
        <v>7</v>
      </c>
      <c r="AB214" t="s">
        <v>1035</v>
      </c>
      <c r="AC214" t="s">
        <v>984</v>
      </c>
      <c r="AD214" s="2">
        <v>1</v>
      </c>
      <c r="AE214" s="2" t="s">
        <v>70</v>
      </c>
      <c r="AF214" t="str">
        <f>_xlfn.CONCAT(FINI_grouping_for_wheel[[#This Row],[SEFI/Plant]],"/",IF(FINI_grouping_for_wheel[[#This Row],[RESET recipe combination]]&lt;&gt;"",FINI_grouping_for_wheel[[#This Row],[RESET recipe combination]],FINI_grouping_for_wheel[[#This Row],[Recipe Combination]]),"/",FINI_grouping_for_wheel[[#This Row],[Subgroup]])</f>
        <v>4606821/THDP/x/1</v>
      </c>
      <c r="AG2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14">
        <f>_xlfn.LET(_xlpm.pct, FINI_grouping_for_wheel[[#This Row],[% forecast within subgroup]], _xlpm.lote, FINI_grouping_for_wheel[[#This Row],[Lot size considered]], _xlpm.pct*_xlpm.lote)</f>
        <v>8547.79283037</v>
      </c>
      <c r="AI214" cm="1">
        <f t="array" aca="1" ref="AI214" ca="1">IFERROR(INDIRECT("FINI_grouping_for_wheel[@["&amp;FINI_grouping_for_wheel[[#This Row],[Selected PV]]&amp;"]]"),"")</f>
        <v>6</v>
      </c>
      <c r="AJ21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v>
      </c>
      <c r="AL214" s="4"/>
      <c r="AM21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v>
      </c>
      <c r="AN21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6</v>
      </c>
      <c r="AO21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9</v>
      </c>
      <c r="AP21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12</v>
      </c>
      <c r="AQ2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1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14" t="str">
        <f>_xlfn.CONCAT(FINI_grouping_for_wheel[[#This Row],[Recipe Combination]],FINI_grouping_for_wheel[[#This Row],[Subgroup]])</f>
        <v>V1</v>
      </c>
    </row>
    <row r="215" spans="1:55" hidden="1">
      <c r="A215" t="s">
        <v>10</v>
      </c>
      <c r="B215">
        <v>4606821</v>
      </c>
      <c r="C215" t="s">
        <v>980</v>
      </c>
      <c r="D215">
        <v>8547.79283037</v>
      </c>
      <c r="E215">
        <v>144</v>
      </c>
      <c r="F215">
        <v>2.88</v>
      </c>
      <c r="G215" t="s">
        <v>1036</v>
      </c>
      <c r="H215" t="s">
        <v>1037</v>
      </c>
      <c r="I215">
        <v>440</v>
      </c>
      <c r="J215" t="s">
        <v>90</v>
      </c>
      <c r="K215" t="s">
        <v>1038</v>
      </c>
      <c r="L215" t="s">
        <v>1039</v>
      </c>
      <c r="M215">
        <v>212274.1665</v>
      </c>
      <c r="N215">
        <v>849.096666</v>
      </c>
      <c r="O215">
        <v>212274.1665</v>
      </c>
      <c r="P215">
        <v>1222785.6241</v>
      </c>
      <c r="Q215">
        <v>1</v>
      </c>
      <c r="R215">
        <v>8547.79283037</v>
      </c>
      <c r="S215" t="s">
        <v>230</v>
      </c>
      <c r="T215" t="s">
        <v>93</v>
      </c>
      <c r="U215">
        <v>10</v>
      </c>
      <c r="V215" t="s">
        <v>94</v>
      </c>
      <c r="W215" t="s">
        <v>95</v>
      </c>
      <c r="X215" t="s">
        <v>96</v>
      </c>
      <c r="Y215" s="23" t="s">
        <v>97</v>
      </c>
      <c r="AA215">
        <v>10</v>
      </c>
      <c r="AB215" t="s">
        <v>1040</v>
      </c>
      <c r="AC215" t="s">
        <v>984</v>
      </c>
      <c r="AD215" s="2">
        <v>3</v>
      </c>
      <c r="AE215" s="2" t="s">
        <v>70</v>
      </c>
      <c r="AF215" t="str">
        <f>_xlfn.CONCAT(FINI_grouping_for_wheel[[#This Row],[SEFI/Plant]],"/",IF(FINI_grouping_for_wheel[[#This Row],[RESET recipe combination]]&lt;&gt;"",FINI_grouping_for_wheel[[#This Row],[RESET recipe combination]],FINI_grouping_for_wheel[[#This Row],[Recipe Combination]]),"/",FINI_grouping_for_wheel[[#This Row],[Subgroup]])</f>
        <v>4606821/THDP/x/3</v>
      </c>
      <c r="AG2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15">
        <f>_xlfn.LET(_xlpm.pct, FINI_grouping_for_wheel[[#This Row],[% forecast within subgroup]], _xlpm.lote, FINI_grouping_for_wheel[[#This Row],[Lot size considered]], _xlpm.pct*_xlpm.lote)</f>
        <v>8547.79283037</v>
      </c>
      <c r="AI215" cm="1">
        <f t="array" aca="1" ref="AI215" ca="1">IFERROR(INDIRECT("FINI_grouping_for_wheel[@["&amp;FINI_grouping_for_wheel[[#This Row],[Selected PV]]&amp;"]]"),"")</f>
        <v>9</v>
      </c>
      <c r="AJ21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v>
      </c>
      <c r="AL215" s="4"/>
      <c r="AM21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v>
      </c>
      <c r="AN21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9</v>
      </c>
      <c r="AO21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13</v>
      </c>
      <c r="AP21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18</v>
      </c>
      <c r="AQ2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1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15" t="str">
        <f>_xlfn.CONCAT(FINI_grouping_for_wheel[[#This Row],[Recipe Combination]],FINI_grouping_for_wheel[[#This Row],[Subgroup]])</f>
        <v>W3</v>
      </c>
    </row>
    <row r="216" spans="1:55" hidden="1">
      <c r="A216" t="s">
        <v>10</v>
      </c>
      <c r="B216">
        <v>4606821</v>
      </c>
      <c r="C216" t="s">
        <v>980</v>
      </c>
      <c r="D216">
        <v>8547.79283037</v>
      </c>
      <c r="E216">
        <v>144</v>
      </c>
      <c r="F216">
        <v>2.88</v>
      </c>
      <c r="G216" t="s">
        <v>1041</v>
      </c>
      <c r="H216" t="s">
        <v>1042</v>
      </c>
      <c r="I216">
        <v>440</v>
      </c>
      <c r="J216" t="s">
        <v>90</v>
      </c>
      <c r="K216" t="s">
        <v>666</v>
      </c>
      <c r="L216" t="s">
        <v>667</v>
      </c>
      <c r="M216">
        <v>86685.5241</v>
      </c>
      <c r="N216">
        <v>346.7420964</v>
      </c>
      <c r="O216">
        <v>335222.70075</v>
      </c>
      <c r="P216">
        <v>1222785.6241</v>
      </c>
      <c r="Q216">
        <v>0.25859085290482076</v>
      </c>
      <c r="R216">
        <v>2210.38103846</v>
      </c>
      <c r="S216" t="s">
        <v>387</v>
      </c>
      <c r="T216" t="s">
        <v>93</v>
      </c>
      <c r="U216">
        <v>10</v>
      </c>
      <c r="V216" t="s">
        <v>94</v>
      </c>
      <c r="W216" t="s">
        <v>95</v>
      </c>
      <c r="X216" t="s">
        <v>96</v>
      </c>
      <c r="Y216" s="23" t="s">
        <v>97</v>
      </c>
      <c r="AA216">
        <v>25</v>
      </c>
      <c r="AB216" t="s">
        <v>1043</v>
      </c>
      <c r="AC216" t="s">
        <v>984</v>
      </c>
      <c r="AD216" s="2">
        <v>4</v>
      </c>
      <c r="AE216" s="2" t="s">
        <v>70</v>
      </c>
      <c r="AF216" t="str">
        <f>_xlfn.CONCAT(FINI_grouping_for_wheel[[#This Row],[SEFI/Plant]],"/",IF(FINI_grouping_for_wheel[[#This Row],[RESET recipe combination]]&lt;&gt;"",FINI_grouping_for_wheel[[#This Row],[RESET recipe combination]],FINI_grouping_for_wheel[[#This Row],[Recipe Combination]]),"/",FINI_grouping_for_wheel[[#This Row],[Subgroup]])</f>
        <v>4606821/THDP/x/4</v>
      </c>
      <c r="AG2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0.8763614602034709</v>
      </c>
      <c r="AH216">
        <f>_xlfn.LET(_xlpm.pct, FINI_grouping_for_wheel[[#This Row],[% forecast within subgroup]], _xlpm.lote, FINI_grouping_for_wheel[[#This Row],[Lot size considered]], _xlpm.pct*_xlpm.lote)</f>
        <v>7490.9562063398125</v>
      </c>
      <c r="AI216" cm="1">
        <f t="array" aca="1" ref="AI216" ca="1">IFERROR(INDIRECT("FINI_grouping_for_wheel[@["&amp;FINI_grouping_for_wheel[[#This Row],[Selected PV]]&amp;"]]"),"")</f>
        <v>19</v>
      </c>
      <c r="AJ21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17.5</v>
      </c>
      <c r="AL216" s="4"/>
      <c r="AM21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21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20</v>
      </c>
      <c r="AO21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27</v>
      </c>
      <c r="AP21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38</v>
      </c>
      <c r="AQ2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1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16" t="str">
        <f>_xlfn.CONCAT(FINI_grouping_for_wheel[[#This Row],[Recipe Combination]],FINI_grouping_for_wheel[[#This Row],[Subgroup]])</f>
        <v>X4</v>
      </c>
    </row>
    <row r="217" spans="1:55" hidden="1">
      <c r="A217" t="s">
        <v>10</v>
      </c>
      <c r="B217">
        <v>4606821</v>
      </c>
      <c r="C217" t="s">
        <v>980</v>
      </c>
      <c r="D217">
        <v>8547.79283037</v>
      </c>
      <c r="E217">
        <v>144</v>
      </c>
      <c r="F217">
        <v>2.88</v>
      </c>
      <c r="G217" t="s">
        <v>1044</v>
      </c>
      <c r="H217" t="s">
        <v>1045</v>
      </c>
      <c r="I217">
        <v>440</v>
      </c>
      <c r="J217" t="s">
        <v>90</v>
      </c>
      <c r="K217" t="s">
        <v>385</v>
      </c>
      <c r="L217" t="s">
        <v>386</v>
      </c>
      <c r="M217">
        <v>12229.73865</v>
      </c>
      <c r="N217">
        <v>48.9189546</v>
      </c>
      <c r="O217">
        <v>335222.70075</v>
      </c>
      <c r="P217">
        <v>1222785.6241</v>
      </c>
      <c r="Q217">
        <v>3.6482429807522518E-2</v>
      </c>
      <c r="R217">
        <v>311.844251943</v>
      </c>
      <c r="S217" t="s">
        <v>387</v>
      </c>
      <c r="T217" t="s">
        <v>93</v>
      </c>
      <c r="U217">
        <v>10</v>
      </c>
      <c r="V217" t="s">
        <v>94</v>
      </c>
      <c r="W217" t="s">
        <v>95</v>
      </c>
      <c r="X217" t="s">
        <v>96</v>
      </c>
      <c r="Y217" s="23" t="s">
        <v>97</v>
      </c>
      <c r="AA217">
        <v>175</v>
      </c>
      <c r="AB217" t="s">
        <v>1046</v>
      </c>
      <c r="AC217" t="s">
        <v>984</v>
      </c>
      <c r="AD217" s="2">
        <v>4</v>
      </c>
      <c r="AE217" s="2" t="s">
        <v>70</v>
      </c>
      <c r="AF217" t="str">
        <f>_xlfn.CONCAT(FINI_grouping_for_wheel[[#This Row],[SEFI/Plant]],"/",IF(FINI_grouping_for_wheel[[#This Row],[RESET recipe combination]]&lt;&gt;"",FINI_grouping_for_wheel[[#This Row],[RESET recipe combination]],FINI_grouping_for_wheel[[#This Row],[Recipe Combination]]),"/",FINI_grouping_for_wheel[[#This Row],[Subgroup]])</f>
        <v>4606821/THDP/x/4</v>
      </c>
      <c r="AG2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0.12363853979652903</v>
      </c>
      <c r="AH217">
        <f>_xlfn.LET(_xlpm.pct, FINI_grouping_for_wheel[[#This Row],[% forecast within subgroup]], _xlpm.lote, FINI_grouping_for_wheel[[#This Row],[Lot size considered]], _xlpm.pct*_xlpm.lote)</f>
        <v>1056.8366240301866</v>
      </c>
      <c r="AI217" cm="1">
        <f t="array" aca="1" ref="AI217" ca="1">IFERROR(INDIRECT("FINI_grouping_for_wheel[@["&amp;FINI_grouping_for_wheel[[#This Row],[Selected PV]]&amp;"]]"),"")</f>
        <v>19</v>
      </c>
      <c r="AJ21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2.5</v>
      </c>
      <c r="AL217" s="4"/>
      <c r="AM21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21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20</v>
      </c>
      <c r="AO21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27</v>
      </c>
      <c r="AP21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38</v>
      </c>
      <c r="AQ2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1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17" t="str">
        <f>_xlfn.CONCAT(FINI_grouping_for_wheel[[#This Row],[Recipe Combination]],FINI_grouping_for_wheel[[#This Row],[Subgroup]])</f>
        <v>X4</v>
      </c>
    </row>
    <row r="218" spans="1:55" hidden="1">
      <c r="A218" t="s">
        <v>10</v>
      </c>
      <c r="B218">
        <v>4606821</v>
      </c>
      <c r="C218" t="s">
        <v>980</v>
      </c>
      <c r="D218">
        <v>8547.79283037</v>
      </c>
      <c r="E218">
        <v>144</v>
      </c>
      <c r="F218">
        <v>2.88</v>
      </c>
      <c r="G218" t="s">
        <v>1047</v>
      </c>
      <c r="H218" t="s">
        <v>1048</v>
      </c>
      <c r="I218">
        <v>440</v>
      </c>
      <c r="J218" t="s">
        <v>90</v>
      </c>
      <c r="K218" t="s">
        <v>1049</v>
      </c>
      <c r="L218" t="s">
        <v>1050</v>
      </c>
      <c r="M218">
        <v>236307.438</v>
      </c>
      <c r="N218">
        <v>945.229752</v>
      </c>
      <c r="O218">
        <v>335222.70075</v>
      </c>
      <c r="P218">
        <v>1222785.6241</v>
      </c>
      <c r="Q218">
        <v>0.70492671728765677</v>
      </c>
      <c r="R218">
        <v>6025.56753997</v>
      </c>
      <c r="S218" t="s">
        <v>387</v>
      </c>
      <c r="T218" t="s">
        <v>93</v>
      </c>
      <c r="U218">
        <v>10</v>
      </c>
      <c r="V218" t="s">
        <v>94</v>
      </c>
      <c r="W218" t="s">
        <v>95</v>
      </c>
      <c r="X218" t="s">
        <v>96</v>
      </c>
      <c r="Y218" s="23" t="s">
        <v>97</v>
      </c>
      <c r="AA218">
        <v>9</v>
      </c>
      <c r="AB218" t="s">
        <v>1051</v>
      </c>
      <c r="AC218" t="s">
        <v>984</v>
      </c>
      <c r="AD218" s="2">
        <v>2</v>
      </c>
      <c r="AE218" s="2" t="s">
        <v>70</v>
      </c>
      <c r="AF218" t="str">
        <f>_xlfn.CONCAT(FINI_grouping_for_wheel[[#This Row],[SEFI/Plant]],"/",IF(FINI_grouping_for_wheel[[#This Row],[RESET recipe combination]]&lt;&gt;"",FINI_grouping_for_wheel[[#This Row],[RESET recipe combination]],FINI_grouping_for_wheel[[#This Row],[Recipe Combination]]),"/",FINI_grouping_for_wheel[[#This Row],[Subgroup]])</f>
        <v>4606821/THDP/x/2</v>
      </c>
      <c r="AG2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18">
        <f>_xlfn.LET(_xlpm.pct, FINI_grouping_for_wheel[[#This Row],[% forecast within subgroup]], _xlpm.lote, FINI_grouping_for_wheel[[#This Row],[Lot size considered]], _xlpm.pct*_xlpm.lote)</f>
        <v>8547.79283037</v>
      </c>
      <c r="AI218" cm="1">
        <f t="array" aca="1" ref="AI218" ca="1">IFERROR(INDIRECT("FINI_grouping_for_wheel[@["&amp;FINI_grouping_for_wheel[[#This Row],[Selected PV]]&amp;"]]"),"")</f>
        <v>8</v>
      </c>
      <c r="AJ21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8778.655575</v>
      </c>
      <c r="AK2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v>
      </c>
      <c r="AL218" s="4"/>
      <c r="AM21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v>
      </c>
      <c r="AN21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8</v>
      </c>
      <c r="AO21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11</v>
      </c>
      <c r="AP21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16</v>
      </c>
      <c r="AQ2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1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18" t="str">
        <f>_xlfn.CONCAT(FINI_grouping_for_wheel[[#This Row],[Recipe Combination]],FINI_grouping_for_wheel[[#This Row],[Subgroup]])</f>
        <v>X2</v>
      </c>
    </row>
    <row r="219" spans="1:55" hidden="1">
      <c r="A219" t="s">
        <v>10</v>
      </c>
      <c r="B219">
        <v>4883656</v>
      </c>
      <c r="C219" t="s">
        <v>1052</v>
      </c>
      <c r="D219">
        <v>8322.79905935</v>
      </c>
      <c r="E219">
        <v>144</v>
      </c>
      <c r="F219">
        <v>2.88</v>
      </c>
      <c r="G219" t="s">
        <v>1053</v>
      </c>
      <c r="H219" t="s">
        <v>1054</v>
      </c>
      <c r="J219" t="s">
        <v>90</v>
      </c>
      <c r="K219" t="s">
        <v>841</v>
      </c>
      <c r="L219" t="s">
        <v>842</v>
      </c>
      <c r="M219">
        <v>1297.55988</v>
      </c>
      <c r="N219">
        <v>5.19023952</v>
      </c>
      <c r="O219">
        <v>662401.95093</v>
      </c>
      <c r="P219">
        <v>1193639.06691</v>
      </c>
      <c r="Q219">
        <v>1.9588708610810252E-3</v>
      </c>
      <c r="R219">
        <v>16.30328856</v>
      </c>
      <c r="S219" t="s">
        <v>471</v>
      </c>
      <c r="T219" t="s">
        <v>93</v>
      </c>
      <c r="U219">
        <v>1</v>
      </c>
      <c r="V219" t="s">
        <v>843</v>
      </c>
      <c r="W219" t="s">
        <v>142</v>
      </c>
      <c r="X219" t="s">
        <v>150</v>
      </c>
      <c r="Y219" s="23" t="s">
        <v>151</v>
      </c>
      <c r="AA219">
        <v>1604</v>
      </c>
      <c r="AB219" t="s">
        <v>1055</v>
      </c>
      <c r="AC219" t="s">
        <v>1056</v>
      </c>
      <c r="AD219" s="2">
        <v>13</v>
      </c>
      <c r="AE219" s="2" t="s">
        <v>70</v>
      </c>
      <c r="AF219" t="str">
        <f>_xlfn.CONCAT(FINI_grouping_for_wheel[[#This Row],[SEFI/Plant]],"/",IF(FINI_grouping_for_wheel[[#This Row],[RESET recipe combination]]&lt;&gt;"",FINI_grouping_for_wheel[[#This Row],[RESET recipe combination]],FINI_grouping_for_wheel[[#This Row],[Recipe Combination]]),"/",FINI_grouping_for_wheel[[#This Row],[Subgroup]])</f>
        <v>4883656/THDP/x/13</v>
      </c>
      <c r="AG2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0.128774527082599</v>
      </c>
      <c r="AH219">
        <f>_xlfn.LET(_xlpm.pct, FINI_grouping_for_wheel[[#This Row],[% forecast within subgroup]], _xlpm.lote, FINI_grouping_for_wheel[[#This Row],[Lot size considered]], _xlpm.pct*_xlpm.lote)</f>
        <v>1071.7645128712961</v>
      </c>
      <c r="AI219" cm="1">
        <f t="array" aca="1" ref="AI219" ca="1">IFERROR(INDIRECT("FINI_grouping_for_wheel[@["&amp;FINI_grouping_for_wheel[[#This Row],[Selected PV]]&amp;"]]"),"")</f>
        <v>186</v>
      </c>
      <c r="AJ21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1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219" s="4"/>
      <c r="AM21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186</v>
      </c>
      <c r="AN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1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19" t="str">
        <f>_xlfn.CONCAT(FINI_grouping_for_wheel[[#This Row],[Recipe Combination]],FINI_grouping_for_wheel[[#This Row],[Subgroup]])</f>
        <v>13</v>
      </c>
    </row>
    <row r="220" spans="1:55" hidden="1">
      <c r="A220" t="s">
        <v>10</v>
      </c>
      <c r="B220">
        <v>4883656</v>
      </c>
      <c r="C220" t="s">
        <v>1052</v>
      </c>
      <c r="D220">
        <v>8322.79905935</v>
      </c>
      <c r="E220">
        <v>144</v>
      </c>
      <c r="F220">
        <v>2.88</v>
      </c>
      <c r="G220" t="s">
        <v>1057</v>
      </c>
      <c r="H220" t="s">
        <v>1058</v>
      </c>
      <c r="I220">
        <v>450</v>
      </c>
      <c r="J220" t="s">
        <v>90</v>
      </c>
      <c r="K220" t="s">
        <v>264</v>
      </c>
      <c r="L220" t="s">
        <v>265</v>
      </c>
      <c r="M220">
        <v>12279.46266</v>
      </c>
      <c r="N220">
        <v>49.11785064</v>
      </c>
      <c r="O220">
        <v>662401.95093</v>
      </c>
      <c r="P220">
        <v>1193639.06691</v>
      </c>
      <c r="Q220">
        <v>1.8537781543004006E-2</v>
      </c>
      <c r="R220">
        <v>154.286230789</v>
      </c>
      <c r="S220" t="s">
        <v>471</v>
      </c>
      <c r="T220" t="s">
        <v>93</v>
      </c>
      <c r="U220">
        <v>2.5</v>
      </c>
      <c r="V220" t="s">
        <v>267</v>
      </c>
      <c r="W220" t="s">
        <v>142</v>
      </c>
      <c r="X220" t="s">
        <v>150</v>
      </c>
      <c r="Y220" s="23" t="s">
        <v>151</v>
      </c>
      <c r="AA220">
        <v>169</v>
      </c>
      <c r="AB220" t="s">
        <v>1059</v>
      </c>
      <c r="AC220" t="s">
        <v>1056</v>
      </c>
      <c r="AD220" s="2">
        <v>11</v>
      </c>
      <c r="AE220" s="2" t="s">
        <v>70</v>
      </c>
      <c r="AF220" t="str">
        <f>_xlfn.CONCAT(FINI_grouping_for_wheel[[#This Row],[SEFI/Plant]],"/",IF(FINI_grouping_for_wheel[[#This Row],[RESET recipe combination]]&lt;&gt;"",FINI_grouping_for_wheel[[#This Row],[RESET recipe combination]],FINI_grouping_for_wheel[[#This Row],[Recipe Combination]]),"/",FINI_grouping_for_wheel[[#This Row],[Subgroup]])</f>
        <v>4883656/THDP/x/11</v>
      </c>
      <c r="AG2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0.5149438983219145</v>
      </c>
      <c r="AH220">
        <f>_xlfn.LET(_xlpm.pct, FINI_grouping_for_wheel[[#This Row],[% forecast within subgroup]], _xlpm.lote, FINI_grouping_for_wheel[[#This Row],[Lot size considered]], _xlpm.pct*_xlpm.lote)</f>
        <v>4285.774592571652</v>
      </c>
      <c r="AI220" cm="1">
        <f t="array" aca="1" ref="AI220" ca="1">IFERROR(INDIRECT("FINI_grouping_for_wheel[@["&amp;FINI_grouping_for_wheel[[#This Row],[Selected PV]]&amp;"]]"),"")</f>
        <v>79</v>
      </c>
      <c r="AJ22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10.1</v>
      </c>
      <c r="AL220" s="4"/>
      <c r="AM22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79</v>
      </c>
      <c r="AN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2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20" t="str">
        <f>_xlfn.CONCAT(FINI_grouping_for_wheel[[#This Row],[Recipe Combination]],FINI_grouping_for_wheel[[#This Row],[Subgroup]])</f>
        <v>11</v>
      </c>
    </row>
    <row r="221" spans="1:55" hidden="1">
      <c r="A221" t="s">
        <v>10</v>
      </c>
      <c r="B221">
        <v>4883656</v>
      </c>
      <c r="C221" t="s">
        <v>1052</v>
      </c>
      <c r="D221">
        <v>8322.79905935</v>
      </c>
      <c r="E221">
        <v>144</v>
      </c>
      <c r="F221">
        <v>2.88</v>
      </c>
      <c r="G221" t="s">
        <v>1060</v>
      </c>
      <c r="H221" t="s">
        <v>1061</v>
      </c>
      <c r="I221">
        <v>462</v>
      </c>
      <c r="J221" t="s">
        <v>90</v>
      </c>
      <c r="K221" t="s">
        <v>312</v>
      </c>
      <c r="L221" t="s">
        <v>313</v>
      </c>
      <c r="M221">
        <v>2493.30393</v>
      </c>
      <c r="N221">
        <v>9.97321572</v>
      </c>
      <c r="O221">
        <v>662401.95093</v>
      </c>
      <c r="P221">
        <v>1193639.06691</v>
      </c>
      <c r="Q221">
        <v>3.7640347020407288E-3</v>
      </c>
      <c r="R221">
        <v>31.3273044775</v>
      </c>
      <c r="S221" t="s">
        <v>471</v>
      </c>
      <c r="T221" t="s">
        <v>93</v>
      </c>
      <c r="U221">
        <v>1</v>
      </c>
      <c r="V221" t="s">
        <v>315</v>
      </c>
      <c r="W221" t="s">
        <v>142</v>
      </c>
      <c r="X221" t="s">
        <v>150</v>
      </c>
      <c r="Y221" s="23" t="s">
        <v>151</v>
      </c>
      <c r="AA221">
        <v>835</v>
      </c>
      <c r="AB221" t="s">
        <v>1062</v>
      </c>
      <c r="AC221" t="s">
        <v>1056</v>
      </c>
      <c r="AD221" s="2">
        <v>13</v>
      </c>
      <c r="AE221" s="2" t="s">
        <v>70</v>
      </c>
      <c r="AF221" t="str">
        <f>_xlfn.CONCAT(FINI_grouping_for_wheel[[#This Row],[SEFI/Plant]],"/",IF(FINI_grouping_for_wheel[[#This Row],[RESET recipe combination]]&lt;&gt;"",FINI_grouping_for_wheel[[#This Row],[RESET recipe combination]],FINI_grouping_for_wheel[[#This Row],[Recipe Combination]]),"/",FINI_grouping_for_wheel[[#This Row],[Subgroup]])</f>
        <v>4883656/THDP/x/13</v>
      </c>
      <c r="AG2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0.24744448360944662</v>
      </c>
      <c r="AH221">
        <f>_xlfn.LET(_xlpm.pct, FINI_grouping_for_wheel[[#This Row],[% forecast within subgroup]], _xlpm.lote, FINI_grouping_for_wheel[[#This Row],[Lot size considered]], _xlpm.pct*_xlpm.lote)</f>
        <v>2059.4307154260487</v>
      </c>
      <c r="AI221" cm="1">
        <f t="array" aca="1" ref="AI221" ca="1">IFERROR(INDIRECT("FINI_grouping_for_wheel[@["&amp;FINI_grouping_for_wheel[[#This Row],[Selected PV]]&amp;"]]"),"")</f>
        <v>186</v>
      </c>
      <c r="AJ22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4.7</v>
      </c>
      <c r="AL221" s="4"/>
      <c r="AM22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186</v>
      </c>
      <c r="AN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2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21" t="str">
        <f>_xlfn.CONCAT(FINI_grouping_for_wheel[[#This Row],[Recipe Combination]],FINI_grouping_for_wheel[[#This Row],[Subgroup]])</f>
        <v>13</v>
      </c>
    </row>
    <row r="222" spans="1:55" hidden="1">
      <c r="A222" t="s">
        <v>10</v>
      </c>
      <c r="B222">
        <v>4883656</v>
      </c>
      <c r="C222" t="s">
        <v>1052</v>
      </c>
      <c r="D222">
        <v>8322.79905935</v>
      </c>
      <c r="E222">
        <v>144</v>
      </c>
      <c r="F222">
        <v>2.88</v>
      </c>
      <c r="G222" t="s">
        <v>1063</v>
      </c>
      <c r="H222" t="s">
        <v>1064</v>
      </c>
      <c r="I222">
        <v>462</v>
      </c>
      <c r="J222" t="s">
        <v>90</v>
      </c>
      <c r="K222" t="s">
        <v>312</v>
      </c>
      <c r="L222" t="s">
        <v>313</v>
      </c>
      <c r="M222">
        <v>3088.808145</v>
      </c>
      <c r="N222">
        <v>12.35523258</v>
      </c>
      <c r="O222">
        <v>662401.95093</v>
      </c>
      <c r="P222">
        <v>1193639.06691</v>
      </c>
      <c r="Q222">
        <v>4.6630420406572944E-3</v>
      </c>
      <c r="R222">
        <v>38.8095619097</v>
      </c>
      <c r="S222" t="s">
        <v>471</v>
      </c>
      <c r="T222" t="s">
        <v>93</v>
      </c>
      <c r="U222">
        <v>1</v>
      </c>
      <c r="V222" t="s">
        <v>315</v>
      </c>
      <c r="W222" t="s">
        <v>142</v>
      </c>
      <c r="X222" t="s">
        <v>150</v>
      </c>
      <c r="Y222" s="23" t="s">
        <v>151</v>
      </c>
      <c r="AA222">
        <v>674</v>
      </c>
      <c r="AB222" t="s">
        <v>1065</v>
      </c>
      <c r="AC222" t="s">
        <v>1056</v>
      </c>
      <c r="AD222" s="2">
        <v>13</v>
      </c>
      <c r="AE222" s="2" t="s">
        <v>70</v>
      </c>
      <c r="AF222" t="str">
        <f>_xlfn.CONCAT(FINI_grouping_for_wheel[[#This Row],[SEFI/Plant]],"/",IF(FINI_grouping_for_wheel[[#This Row],[RESET recipe combination]]&lt;&gt;"",FINI_grouping_for_wheel[[#This Row],[RESET recipe combination]],FINI_grouping_for_wheel[[#This Row],[Recipe Combination]]),"/",FINI_grouping_for_wheel[[#This Row],[Subgroup]])</f>
        <v>4883656/THDP/x/13</v>
      </c>
      <c r="AG2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0.306544471859946</v>
      </c>
      <c r="AH222">
        <f>_xlfn.LET(_xlpm.pct, FINI_grouping_for_wheel[[#This Row],[% forecast within subgroup]], _xlpm.lote, FINI_grouping_for_wheel[[#This Row],[Lot size considered]], _xlpm.pct*_xlpm.lote)</f>
        <v>2551.308042044901</v>
      </c>
      <c r="AI222" cm="1">
        <f t="array" aca="1" ref="AI222" ca="1">IFERROR(INDIRECT("FINI_grouping_for_wheel[@["&amp;FINI_grouping_for_wheel[[#This Row],[Selected PV]]&amp;"]]"),"")</f>
        <v>186</v>
      </c>
      <c r="AJ22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5.9</v>
      </c>
      <c r="AL222" s="4"/>
      <c r="AM22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186</v>
      </c>
      <c r="AN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2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22" t="str">
        <f>_xlfn.CONCAT(FINI_grouping_for_wheel[[#This Row],[Recipe Combination]],FINI_grouping_for_wheel[[#This Row],[Subgroup]])</f>
        <v>13</v>
      </c>
    </row>
    <row r="223" spans="1:55" hidden="1">
      <c r="A223" t="s">
        <v>10</v>
      </c>
      <c r="B223">
        <v>4883656</v>
      </c>
      <c r="C223" t="s">
        <v>1052</v>
      </c>
      <c r="D223">
        <v>8322.79905935</v>
      </c>
      <c r="E223">
        <v>144</v>
      </c>
      <c r="F223">
        <v>2.88</v>
      </c>
      <c r="G223" t="s">
        <v>1066</v>
      </c>
      <c r="H223" t="s">
        <v>1067</v>
      </c>
      <c r="I223">
        <v>420</v>
      </c>
      <c r="J223" t="s">
        <v>90</v>
      </c>
      <c r="K223" t="s">
        <v>632</v>
      </c>
      <c r="L223" t="s">
        <v>633</v>
      </c>
      <c r="M223">
        <v>10806.68484</v>
      </c>
      <c r="N223">
        <v>43.22673936</v>
      </c>
      <c r="O223">
        <v>662401.95093</v>
      </c>
      <c r="P223">
        <v>1193639.06691</v>
      </c>
      <c r="Q223">
        <v>1.6314391624039779E-2</v>
      </c>
      <c r="R223">
        <v>135.781403262</v>
      </c>
      <c r="S223" t="s">
        <v>471</v>
      </c>
      <c r="T223" t="s">
        <v>93</v>
      </c>
      <c r="U223">
        <v>2.5</v>
      </c>
      <c r="V223" t="s">
        <v>166</v>
      </c>
      <c r="W223" t="s">
        <v>142</v>
      </c>
      <c r="X223" t="s">
        <v>96</v>
      </c>
      <c r="Y223" s="23" t="s">
        <v>167</v>
      </c>
      <c r="AA223">
        <v>193</v>
      </c>
      <c r="AB223" t="s">
        <v>1068</v>
      </c>
      <c r="AC223" t="s">
        <v>1056</v>
      </c>
      <c r="AD223" s="2">
        <v>14</v>
      </c>
      <c r="AE223" s="2" t="s">
        <v>70</v>
      </c>
      <c r="AF223" t="str">
        <f>_xlfn.CONCAT(FINI_grouping_for_wheel[[#This Row],[SEFI/Plant]],"/",IF(FINI_grouping_for_wheel[[#This Row],[RESET recipe combination]]&lt;&gt;"",FINI_grouping_for_wheel[[#This Row],[RESET recipe combination]],FINI_grouping_for_wheel[[#This Row],[Recipe Combination]]),"/",FINI_grouping_for_wheel[[#This Row],[Subgroup]])</f>
        <v>4883656/THDP/x/14</v>
      </c>
      <c r="AG2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0.558458244111349</v>
      </c>
      <c r="AH223">
        <f>_xlfn.LET(_xlpm.pct, FINI_grouping_for_wheel[[#This Row],[% forecast within subgroup]], _xlpm.lote, FINI_grouping_for_wheel[[#This Row],[Lot size considered]], _xlpm.pct*_xlpm.lote)</f>
        <v>4647.935748776188</v>
      </c>
      <c r="AI223" cm="1">
        <f t="array" aca="1" ref="AI223" ca="1">IFERROR(INDIRECT("FINI_grouping_for_wheel[@["&amp;FINI_grouping_for_wheel[[#This Row],[Selected PV]]&amp;"]]"),"")</f>
        <v>97</v>
      </c>
      <c r="AJ22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11.8</v>
      </c>
      <c r="AL223" s="4"/>
      <c r="AM22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97</v>
      </c>
      <c r="AN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2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23" t="str">
        <f>_xlfn.CONCAT(FINI_grouping_for_wheel[[#This Row],[Recipe Combination]],FINI_grouping_for_wheel[[#This Row],[Subgroup]])</f>
        <v>14</v>
      </c>
    </row>
    <row r="224" spans="1:55" hidden="1">
      <c r="A224" t="s">
        <v>10</v>
      </c>
      <c r="B224">
        <v>4883656</v>
      </c>
      <c r="C224" t="s">
        <v>1052</v>
      </c>
      <c r="D224">
        <v>8322.79905935</v>
      </c>
      <c r="E224">
        <v>144</v>
      </c>
      <c r="F224">
        <v>2.88</v>
      </c>
      <c r="G224" t="s">
        <v>1069</v>
      </c>
      <c r="H224" t="s">
        <v>1070</v>
      </c>
      <c r="I224">
        <v>420</v>
      </c>
      <c r="J224" t="s">
        <v>90</v>
      </c>
      <c r="K224" t="s">
        <v>632</v>
      </c>
      <c r="L224" t="s">
        <v>633</v>
      </c>
      <c r="M224">
        <v>8544.242385</v>
      </c>
      <c r="N224">
        <v>34.17696954</v>
      </c>
      <c r="O224">
        <v>662401.95093</v>
      </c>
      <c r="P224">
        <v>1193639.06691</v>
      </c>
      <c r="Q224">
        <v>1.2898878653669487E-2</v>
      </c>
      <c r="R224">
        <v>107.354775125</v>
      </c>
      <c r="S224" t="s">
        <v>471</v>
      </c>
      <c r="T224" t="s">
        <v>93</v>
      </c>
      <c r="U224">
        <v>2.5</v>
      </c>
      <c r="V224" t="s">
        <v>166</v>
      </c>
      <c r="W224" t="s">
        <v>142</v>
      </c>
      <c r="X224" t="s">
        <v>96</v>
      </c>
      <c r="Y224" s="23" t="s">
        <v>167</v>
      </c>
      <c r="AA224">
        <v>244</v>
      </c>
      <c r="AB224" t="s">
        <v>1071</v>
      </c>
      <c r="AC224" t="s">
        <v>1056</v>
      </c>
      <c r="AD224" s="2">
        <v>14</v>
      </c>
      <c r="AE224" s="2" t="s">
        <v>70</v>
      </c>
      <c r="AF224" t="str">
        <f>_xlfn.CONCAT(FINI_grouping_for_wheel[[#This Row],[SEFI/Plant]],"/",IF(FINI_grouping_for_wheel[[#This Row],[RESET recipe combination]]&lt;&gt;"",FINI_grouping_for_wheel[[#This Row],[RESET recipe combination]],FINI_grouping_for_wheel[[#This Row],[Recipe Combination]]),"/",FINI_grouping_for_wheel[[#This Row],[Subgroup]])</f>
        <v>4883656/THDP/x/14</v>
      </c>
      <c r="AG2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0.44154175588865097</v>
      </c>
      <c r="AH224">
        <f>_xlfn.LET(_xlpm.pct, FINI_grouping_for_wheel[[#This Row],[% forecast within subgroup]], _xlpm.lote, FINI_grouping_for_wheel[[#This Row],[Lot size considered]], _xlpm.pct*_xlpm.lote)</f>
        <v>3674.8633105738118</v>
      </c>
      <c r="AI224" cm="1">
        <f t="array" aca="1" ref="AI224" ca="1">IFERROR(INDIRECT("FINI_grouping_for_wheel[@["&amp;FINI_grouping_for_wheel[[#This Row],[Selected PV]]&amp;"]]"),"")</f>
        <v>97</v>
      </c>
      <c r="AJ22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9.3</v>
      </c>
      <c r="AL224" s="4"/>
      <c r="AM22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97</v>
      </c>
      <c r="AN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2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24" t="str">
        <f>_xlfn.CONCAT(FINI_grouping_for_wheel[[#This Row],[Recipe Combination]],FINI_grouping_for_wheel[[#This Row],[Subgroup]])</f>
        <v>14</v>
      </c>
    </row>
    <row r="225" spans="1:55" hidden="1">
      <c r="A225" t="s">
        <v>10</v>
      </c>
      <c r="B225">
        <v>4883656</v>
      </c>
      <c r="C225" t="s">
        <v>1052</v>
      </c>
      <c r="D225">
        <v>8322.79905935</v>
      </c>
      <c r="E225">
        <v>144</v>
      </c>
      <c r="F225">
        <v>2.88</v>
      </c>
      <c r="G225" t="s">
        <v>1072</v>
      </c>
      <c r="H225" t="s">
        <v>1073</v>
      </c>
      <c r="I225">
        <v>480</v>
      </c>
      <c r="J225" t="s">
        <v>90</v>
      </c>
      <c r="K225" t="s">
        <v>515</v>
      </c>
      <c r="L225" t="s">
        <v>516</v>
      </c>
      <c r="M225">
        <v>2705.222925</v>
      </c>
      <c r="N225">
        <v>10.8208917</v>
      </c>
      <c r="O225">
        <v>662401.95093</v>
      </c>
      <c r="P225">
        <v>1193639.06691</v>
      </c>
      <c r="Q225">
        <v>4.0839597788048746E-3</v>
      </c>
      <c r="R225">
        <v>33.9899766055</v>
      </c>
      <c r="S225" t="s">
        <v>471</v>
      </c>
      <c r="T225" t="s">
        <v>93</v>
      </c>
      <c r="U225">
        <v>5</v>
      </c>
      <c r="V225" t="s">
        <v>518</v>
      </c>
      <c r="W225" t="s">
        <v>142</v>
      </c>
      <c r="X225" t="s">
        <v>150</v>
      </c>
      <c r="Y225" s="23" t="s">
        <v>151</v>
      </c>
      <c r="AA225">
        <v>769</v>
      </c>
      <c r="AB225" t="s">
        <v>1074</v>
      </c>
      <c r="AC225" t="s">
        <v>1056</v>
      </c>
      <c r="AD225" s="2">
        <v>10</v>
      </c>
      <c r="AE225" s="2" t="s">
        <v>70</v>
      </c>
      <c r="AF225" t="str">
        <f>_xlfn.CONCAT(FINI_grouping_for_wheel[[#This Row],[SEFI/Plant]],"/",IF(FINI_grouping_for_wheel[[#This Row],[RESET recipe combination]]&lt;&gt;"",FINI_grouping_for_wheel[[#This Row],[RESET recipe combination]],FINI_grouping_for_wheel[[#This Row],[Recipe Combination]]),"/",FINI_grouping_for_wheel[[#This Row],[Subgroup]])</f>
        <v>4883656/THDP/x/10</v>
      </c>
      <c r="AG2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0.23901673640167365</v>
      </c>
      <c r="AH225">
        <f>_xlfn.LET(_xlpm.pct, FINI_grouping_for_wheel[[#This Row],[% forecast within subgroup]], _xlpm.lote, FINI_grouping_for_wheel[[#This Row],[Lot size considered]], _xlpm.pct*_xlpm.lote)</f>
        <v>1989.2882688927564</v>
      </c>
      <c r="AI225" cm="1">
        <f t="array" aca="1" ref="AI225" ca="1">IFERROR(INDIRECT("FINI_grouping_for_wheel[@["&amp;FINI_grouping_for_wheel[[#This Row],[Selected PV]]&amp;"]]"),"")</f>
        <v>166</v>
      </c>
      <c r="AJ22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4.4</v>
      </c>
      <c r="AL225" s="4"/>
      <c r="AM22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166</v>
      </c>
      <c r="AN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2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25" t="str">
        <f>_xlfn.CONCAT(FINI_grouping_for_wheel[[#This Row],[Recipe Combination]],FINI_grouping_for_wheel[[#This Row],[Subgroup]])</f>
        <v>10</v>
      </c>
    </row>
    <row r="226" spans="1:55" hidden="1">
      <c r="A226" t="s">
        <v>10</v>
      </c>
      <c r="B226">
        <v>4883656</v>
      </c>
      <c r="C226" t="s">
        <v>1052</v>
      </c>
      <c r="D226">
        <v>8322.79905935</v>
      </c>
      <c r="E226">
        <v>144</v>
      </c>
      <c r="F226">
        <v>2.88</v>
      </c>
      <c r="G226" t="s">
        <v>1075</v>
      </c>
      <c r="H226" t="s">
        <v>1076</v>
      </c>
      <c r="I226">
        <v>280</v>
      </c>
      <c r="J226" t="s">
        <v>90</v>
      </c>
      <c r="K226" t="s">
        <v>140</v>
      </c>
      <c r="L226" t="s">
        <v>141</v>
      </c>
      <c r="M226">
        <v>4327.172775</v>
      </c>
      <c r="N226">
        <v>17.3086911</v>
      </c>
      <c r="O226">
        <v>662401.95093</v>
      </c>
      <c r="P226">
        <v>1193639.06691</v>
      </c>
      <c r="Q226">
        <v>6.5325483551561554E-3</v>
      </c>
      <c r="R226">
        <v>54.3690873054</v>
      </c>
      <c r="S226" t="s">
        <v>471</v>
      </c>
      <c r="T226" t="s">
        <v>93</v>
      </c>
      <c r="U226">
        <v>5</v>
      </c>
      <c r="V226" t="s">
        <v>135</v>
      </c>
      <c r="W226" t="s">
        <v>142</v>
      </c>
      <c r="X226" t="s">
        <v>128</v>
      </c>
      <c r="Y226" s="23" t="s">
        <v>136</v>
      </c>
      <c r="AA226">
        <v>481</v>
      </c>
      <c r="AB226" t="s">
        <v>1077</v>
      </c>
      <c r="AC226" t="s">
        <v>1056</v>
      </c>
      <c r="AD226" s="2">
        <v>9</v>
      </c>
      <c r="AE226" s="2" t="s">
        <v>70</v>
      </c>
      <c r="AF226" t="str">
        <f>_xlfn.CONCAT(FINI_grouping_for_wheel[[#This Row],[SEFI/Plant]],"/",IF(FINI_grouping_for_wheel[[#This Row],[RESET recipe combination]]&lt;&gt;"",FINI_grouping_for_wheel[[#This Row],[RESET recipe combination]],FINI_grouping_for_wheel[[#This Row],[Recipe Combination]]),"/",FINI_grouping_for_wheel[[#This Row],[Subgroup]])</f>
        <v>4883656/THDP/x/9</v>
      </c>
      <c r="AG2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0.09762286324786325</v>
      </c>
      <c r="AH226">
        <f>_xlfn.LET(_xlpm.pct, FINI_grouping_for_wheel[[#This Row],[% forecast within subgroup]], _xlpm.lote, FINI_grouping_for_wheel[[#This Row],[Lot size considered]], _xlpm.pct*_xlpm.lote)</f>
        <v>812.4954744103699</v>
      </c>
      <c r="AI226" cm="1">
        <f t="array" aca="1" ref="AI226" ca="1">IFERROR(INDIRECT("FINI_grouping_for_wheel[@["&amp;FINI_grouping_for_wheel[[#This Row],[Selected PV]]&amp;"]]"),"")</f>
        <v>42</v>
      </c>
      <c r="AJ22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3.1</v>
      </c>
      <c r="AL226" s="4"/>
      <c r="AM22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42</v>
      </c>
      <c r="AN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2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26" t="str">
        <f>_xlfn.CONCAT(FINI_grouping_for_wheel[[#This Row],[Recipe Combination]],FINI_grouping_for_wheel[[#This Row],[Subgroup]])</f>
        <v>9</v>
      </c>
    </row>
    <row r="227" spans="1:55" hidden="1">
      <c r="A227" t="s">
        <v>10</v>
      </c>
      <c r="B227">
        <v>4883656</v>
      </c>
      <c r="C227" t="s">
        <v>1052</v>
      </c>
      <c r="D227">
        <v>8322.79905935</v>
      </c>
      <c r="E227">
        <v>144</v>
      </c>
      <c r="F227">
        <v>2.88</v>
      </c>
      <c r="G227" t="s">
        <v>1078</v>
      </c>
      <c r="H227" t="s">
        <v>1079</v>
      </c>
      <c r="J227" t="s">
        <v>90</v>
      </c>
      <c r="K227" t="s">
        <v>955</v>
      </c>
      <c r="L227" t="s">
        <v>956</v>
      </c>
      <c r="M227">
        <v>6766.017075</v>
      </c>
      <c r="N227">
        <v>27.0640683</v>
      </c>
      <c r="O227">
        <v>662401.95093</v>
      </c>
      <c r="P227">
        <v>1193639.06691</v>
      </c>
      <c r="Q227">
        <v>1.0214367674341293E-2</v>
      </c>
      <c r="R227">
        <v>85.0121296718</v>
      </c>
      <c r="S227" t="s">
        <v>471</v>
      </c>
      <c r="T227" t="s">
        <v>93</v>
      </c>
      <c r="U227">
        <v>5</v>
      </c>
      <c r="V227" t="s">
        <v>174</v>
      </c>
      <c r="W227" t="s">
        <v>142</v>
      </c>
      <c r="X227" t="s">
        <v>96</v>
      </c>
      <c r="Y227" s="23" t="s">
        <v>167</v>
      </c>
      <c r="AA227">
        <v>308</v>
      </c>
      <c r="AB227" t="s">
        <v>1080</v>
      </c>
      <c r="AC227" t="s">
        <v>1056</v>
      </c>
      <c r="AD227" s="2">
        <v>8</v>
      </c>
      <c r="AE227" s="2" t="s">
        <v>70</v>
      </c>
      <c r="AF227" t="str">
        <f>_xlfn.CONCAT(FINI_grouping_for_wheel[[#This Row],[SEFI/Plant]],"/",IF(FINI_grouping_for_wheel[[#This Row],[RESET recipe combination]]&lt;&gt;"",FINI_grouping_for_wheel[[#This Row],[RESET recipe combination]],FINI_grouping_for_wheel[[#This Row],[Recipe Combination]]),"/",FINI_grouping_for_wheel[[#This Row],[Subgroup]])</f>
        <v>4883656/THDP/x/8</v>
      </c>
      <c r="AG2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0.10600018547713994</v>
      </c>
      <c r="AH227">
        <f>_xlfn.LET(_xlpm.pct, FINI_grouping_for_wheel[[#This Row],[% forecast within subgroup]], _xlpm.lote, FINI_grouping_for_wheel[[#This Row],[Lot size considered]], _xlpm.pct*_xlpm.lote)</f>
        <v>882.2182439800657</v>
      </c>
      <c r="AI227" cm="1">
        <f t="array" aca="1" ref="AI227" ca="1">IFERROR(INDIRECT("FINI_grouping_for_wheel[@["&amp;FINI_grouping_for_wheel[[#This Row],[Selected PV]]&amp;"]]"),"")</f>
        <v>29</v>
      </c>
      <c r="AJ22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2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227" s="4"/>
      <c r="AM22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29</v>
      </c>
      <c r="AN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2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27" t="str">
        <f>_xlfn.CONCAT(FINI_grouping_for_wheel[[#This Row],[Recipe Combination]],FINI_grouping_for_wheel[[#This Row],[Subgroup]])</f>
        <v>8</v>
      </c>
    </row>
    <row r="228" spans="1:55" hidden="1">
      <c r="A228" t="s">
        <v>10</v>
      </c>
      <c r="B228">
        <v>4883656</v>
      </c>
      <c r="C228" t="s">
        <v>1052</v>
      </c>
      <c r="D228">
        <v>8322.79905935</v>
      </c>
      <c r="E228">
        <v>144</v>
      </c>
      <c r="F228">
        <v>2.88</v>
      </c>
      <c r="G228" t="s">
        <v>1081</v>
      </c>
      <c r="H228" t="s">
        <v>1082</v>
      </c>
      <c r="I228">
        <v>440</v>
      </c>
      <c r="J228" t="s">
        <v>90</v>
      </c>
      <c r="K228" t="s">
        <v>617</v>
      </c>
      <c r="L228" t="s">
        <v>618</v>
      </c>
      <c r="M228">
        <v>54530.6643</v>
      </c>
      <c r="N228">
        <v>218.1226572</v>
      </c>
      <c r="O228">
        <v>662401.95093</v>
      </c>
      <c r="P228">
        <v>1193639.06691</v>
      </c>
      <c r="Q228">
        <v>8.232262031148907E-2</v>
      </c>
      <c r="R228">
        <v>685.154626891</v>
      </c>
      <c r="S228" t="s">
        <v>471</v>
      </c>
      <c r="T228" t="s">
        <v>93</v>
      </c>
      <c r="U228">
        <v>10</v>
      </c>
      <c r="V228" t="s">
        <v>94</v>
      </c>
      <c r="W228" t="s">
        <v>142</v>
      </c>
      <c r="X228" t="s">
        <v>96</v>
      </c>
      <c r="Y228" s="23" t="s">
        <v>97</v>
      </c>
      <c r="AA228">
        <v>38</v>
      </c>
      <c r="AB228" t="s">
        <v>1083</v>
      </c>
      <c r="AC228" t="s">
        <v>1056</v>
      </c>
      <c r="AD228" s="2">
        <v>2</v>
      </c>
      <c r="AE228" s="2" t="s">
        <v>70</v>
      </c>
      <c r="AF228" t="str">
        <f>_xlfn.CONCAT(FINI_grouping_for_wheel[[#This Row],[SEFI/Plant]],"/",IF(FINI_grouping_for_wheel[[#This Row],[RESET recipe combination]]&lt;&gt;"",FINI_grouping_for_wheel[[#This Row],[RESET recipe combination]],FINI_grouping_for_wheel[[#This Row],[Recipe Combination]]),"/",FINI_grouping_for_wheel[[#This Row],[Subgroup]])</f>
        <v>4883656/THDP/x/2</v>
      </c>
      <c r="AG2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0.30503311258278143</v>
      </c>
      <c r="AH228">
        <f>_xlfn.LET(_xlpm.pct, FINI_grouping_for_wheel[[#This Row],[% forecast within subgroup]], _xlpm.lote, FINI_grouping_for_wheel[[#This Row],[Lot size considered]], _xlpm.pct*_xlpm.lote)</f>
        <v>2538.729302474576</v>
      </c>
      <c r="AI228" cm="1">
        <f t="array" aca="1" ref="AI228" ca="1">IFERROR(INDIRECT("FINI_grouping_for_wheel[@["&amp;FINI_grouping_for_wheel[[#This Row],[Selected PV]]&amp;"]]"),"")</f>
        <v>11</v>
      </c>
      <c r="AJ22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6.1</v>
      </c>
      <c r="AL228" s="4"/>
      <c r="AM22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2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28" t="str">
        <f>_xlfn.CONCAT(FINI_grouping_for_wheel[[#This Row],[Recipe Combination]],FINI_grouping_for_wheel[[#This Row],[Subgroup]])</f>
        <v>2</v>
      </c>
    </row>
    <row r="229" spans="1:55" hidden="1">
      <c r="A229" t="s">
        <v>10</v>
      </c>
      <c r="B229">
        <v>4883656</v>
      </c>
      <c r="C229" t="s">
        <v>1052</v>
      </c>
      <c r="D229">
        <v>8322.79905935</v>
      </c>
      <c r="E229">
        <v>144</v>
      </c>
      <c r="F229">
        <v>2.88</v>
      </c>
      <c r="G229" t="s">
        <v>1084</v>
      </c>
      <c r="H229" t="s">
        <v>1085</v>
      </c>
      <c r="J229" t="s">
        <v>90</v>
      </c>
      <c r="K229" t="s">
        <v>1086</v>
      </c>
      <c r="L229" t="s">
        <v>1087</v>
      </c>
      <c r="M229">
        <v>167913.24615</v>
      </c>
      <c r="N229">
        <v>671.6529846</v>
      </c>
      <c r="O229">
        <v>662401.95093</v>
      </c>
      <c r="P229">
        <v>1193639.06691</v>
      </c>
      <c r="Q229">
        <v>0.25349147283496515</v>
      </c>
      <c r="R229">
        <v>2109.75859166</v>
      </c>
      <c r="S229" t="s">
        <v>471</v>
      </c>
      <c r="T229" t="s">
        <v>93</v>
      </c>
      <c r="U229">
        <v>10</v>
      </c>
      <c r="V229" t="s">
        <v>94</v>
      </c>
      <c r="W229" t="s">
        <v>95</v>
      </c>
      <c r="X229" t="s">
        <v>96</v>
      </c>
      <c r="Y229" s="23" t="s">
        <v>97</v>
      </c>
      <c r="AA229">
        <v>12</v>
      </c>
      <c r="AB229" t="s">
        <v>1088</v>
      </c>
      <c r="AC229" t="s">
        <v>1056</v>
      </c>
      <c r="AD229" s="2">
        <v>6</v>
      </c>
      <c r="AE229" s="2" t="s">
        <v>70</v>
      </c>
      <c r="AF229" t="str">
        <f>_xlfn.CONCAT(FINI_grouping_for_wheel[[#This Row],[SEFI/Plant]],"/",IF(FINI_grouping_for_wheel[[#This Row],[RESET recipe combination]]&lt;&gt;"",FINI_grouping_for_wheel[[#This Row],[RESET recipe combination]],FINI_grouping_for_wheel[[#This Row],[Recipe Combination]]),"/",FINI_grouping_for_wheel[[#This Row],[Subgroup]])</f>
        <v>4883656/THDP/x/6</v>
      </c>
      <c r="AG2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29">
        <f>_xlfn.LET(_xlpm.pct, FINI_grouping_for_wheel[[#This Row],[% forecast within subgroup]], _xlpm.lote, FINI_grouping_for_wheel[[#This Row],[Lot size considered]], _xlpm.pct*_xlpm.lote)</f>
        <v>8322.79905935</v>
      </c>
      <c r="AI229" cm="1">
        <f t="array" aca="1" ref="AI229" ca="1">IFERROR(INDIRECT("FINI_grouping_for_wheel[@["&amp;FINI_grouping_for_wheel[[#This Row],[Selected PV]]&amp;"]]"),"")</f>
        <v>11</v>
      </c>
      <c r="AJ22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2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229" s="4"/>
      <c r="AM22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2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29" t="str">
        <f>_xlfn.CONCAT(FINI_grouping_for_wheel[[#This Row],[Recipe Combination]],FINI_grouping_for_wheel[[#This Row],[Subgroup]])</f>
        <v>6</v>
      </c>
    </row>
    <row r="230" spans="1:55" hidden="1">
      <c r="A230" t="s">
        <v>10</v>
      </c>
      <c r="B230">
        <v>4883656</v>
      </c>
      <c r="C230" t="s">
        <v>1052</v>
      </c>
      <c r="D230">
        <v>8322.79905935</v>
      </c>
      <c r="E230">
        <v>144</v>
      </c>
      <c r="F230">
        <v>2.88</v>
      </c>
      <c r="G230" t="s">
        <v>1089</v>
      </c>
      <c r="H230" t="s">
        <v>1090</v>
      </c>
      <c r="I230">
        <v>495</v>
      </c>
      <c r="J230" t="s">
        <v>90</v>
      </c>
      <c r="K230" t="s">
        <v>1091</v>
      </c>
      <c r="L230" t="s">
        <v>1092</v>
      </c>
      <c r="M230">
        <v>93534.414525</v>
      </c>
      <c r="N230">
        <v>374.1376581</v>
      </c>
      <c r="O230">
        <v>662401.95093</v>
      </c>
      <c r="P230">
        <v>1193639.06691</v>
      </c>
      <c r="Q230">
        <v>0.14120492005447663</v>
      </c>
      <c r="R230">
        <v>1175.2201758</v>
      </c>
      <c r="S230" t="s">
        <v>471</v>
      </c>
      <c r="T230" t="s">
        <v>93</v>
      </c>
      <c r="U230">
        <v>15</v>
      </c>
      <c r="V230" t="s">
        <v>408</v>
      </c>
      <c r="W230" t="s">
        <v>95</v>
      </c>
      <c r="X230" t="s">
        <v>96</v>
      </c>
      <c r="Y230" s="23" t="s">
        <v>97</v>
      </c>
      <c r="AA230">
        <v>22</v>
      </c>
      <c r="AB230" t="s">
        <v>1093</v>
      </c>
      <c r="AC230" t="s">
        <v>1056</v>
      </c>
      <c r="AD230" s="2">
        <v>7</v>
      </c>
      <c r="AE230" s="2" t="s">
        <v>70</v>
      </c>
      <c r="AF230" t="str">
        <f>_xlfn.CONCAT(FINI_grouping_for_wheel[[#This Row],[SEFI/Plant]],"/",IF(FINI_grouping_for_wheel[[#This Row],[RESET recipe combination]]&lt;&gt;"",FINI_grouping_for_wheel[[#This Row],[RESET recipe combination]],FINI_grouping_for_wheel[[#This Row],[Recipe Combination]]),"/",FINI_grouping_for_wheel[[#This Row],[Subgroup]])</f>
        <v>4883656/THDP/x/7</v>
      </c>
      <c r="AG2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30">
        <f>_xlfn.LET(_xlpm.pct, FINI_grouping_for_wheel[[#This Row],[% forecast within subgroup]], _xlpm.lote, FINI_grouping_for_wheel[[#This Row],[Lot size considered]], _xlpm.pct*_xlpm.lote)</f>
        <v>8322.79905935</v>
      </c>
      <c r="AI230" cm="1">
        <f t="array" aca="1" ref="AI230" ca="1">IFERROR(INDIRECT("FINI_grouping_for_wheel[@["&amp;FINI_grouping_for_wheel[[#This Row],[Selected PV]]&amp;"]]"),"")</f>
        <v>20</v>
      </c>
      <c r="AJ23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17.9</v>
      </c>
      <c r="AL230" s="4"/>
      <c r="AM23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v>
      </c>
      <c r="AN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3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30" t="str">
        <f>_xlfn.CONCAT(FINI_grouping_for_wheel[[#This Row],[Recipe Combination]],FINI_grouping_for_wheel[[#This Row],[Subgroup]])</f>
        <v>7</v>
      </c>
    </row>
    <row r="231" spans="1:55" hidden="1">
      <c r="A231" t="s">
        <v>10</v>
      </c>
      <c r="B231">
        <v>4883656</v>
      </c>
      <c r="C231" t="s">
        <v>1052</v>
      </c>
      <c r="D231">
        <v>8322.79905935</v>
      </c>
      <c r="E231">
        <v>144</v>
      </c>
      <c r="F231">
        <v>2.88</v>
      </c>
      <c r="G231" t="s">
        <v>1094</v>
      </c>
      <c r="H231" t="s">
        <v>1095</v>
      </c>
      <c r="I231">
        <v>450</v>
      </c>
      <c r="J231" t="s">
        <v>90</v>
      </c>
      <c r="K231" t="s">
        <v>1096</v>
      </c>
      <c r="L231" t="s">
        <v>1097</v>
      </c>
      <c r="M231">
        <v>2642.47596</v>
      </c>
      <c r="N231">
        <v>10.56990384</v>
      </c>
      <c r="O231">
        <v>662401.95093</v>
      </c>
      <c r="P231">
        <v>1193639.06691</v>
      </c>
      <c r="Q231">
        <v>3.989233359427781E-3</v>
      </c>
      <c r="R231">
        <v>33.2015876514</v>
      </c>
      <c r="S231" t="s">
        <v>471</v>
      </c>
      <c r="T231" t="s">
        <v>93</v>
      </c>
      <c r="U231">
        <v>2.5</v>
      </c>
      <c r="V231" t="s">
        <v>267</v>
      </c>
      <c r="W231" t="s">
        <v>142</v>
      </c>
      <c r="X231" t="s">
        <v>150</v>
      </c>
      <c r="Y231" s="23" t="s">
        <v>151</v>
      </c>
      <c r="AA231">
        <v>787</v>
      </c>
      <c r="AB231" t="s">
        <v>1098</v>
      </c>
      <c r="AC231" t="s">
        <v>1056</v>
      </c>
      <c r="AD231" s="2">
        <v>10</v>
      </c>
      <c r="AE231" s="2" t="s">
        <v>70</v>
      </c>
      <c r="AF231" t="str">
        <f>_xlfn.CONCAT(FINI_grouping_for_wheel[[#This Row],[SEFI/Plant]],"/",IF(FINI_grouping_for_wheel[[#This Row],[RESET recipe combination]]&lt;&gt;"",FINI_grouping_for_wheel[[#This Row],[RESET recipe combination]],FINI_grouping_for_wheel[[#This Row],[Recipe Combination]]),"/",FINI_grouping_for_wheel[[#This Row],[Subgroup]])</f>
        <v>4883656/THDP/x/10</v>
      </c>
      <c r="AG2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0.23347280334728038</v>
      </c>
      <c r="AH231">
        <f>_xlfn.LET(_xlpm.pct, FINI_grouping_for_wheel[[#This Row],[% forecast within subgroup]], _xlpm.lote, FINI_grouping_for_wheel[[#This Row],[Lot size considered]], _xlpm.pct*_xlpm.lote)</f>
        <v>1943.1472280825526</v>
      </c>
      <c r="AI231" cm="1">
        <f t="array" aca="1" ref="AI231" ca="1">IFERROR(INDIRECT("FINI_grouping_for_wheel[@["&amp;FINI_grouping_for_wheel[[#This Row],[Selected PV]]&amp;"]]"),"")</f>
        <v>166</v>
      </c>
      <c r="AJ23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4.6</v>
      </c>
      <c r="AL231" s="4"/>
      <c r="AM23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166</v>
      </c>
      <c r="AN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3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31" t="str">
        <f>_xlfn.CONCAT(FINI_grouping_for_wheel[[#This Row],[Recipe Combination]],FINI_grouping_for_wheel[[#This Row],[Subgroup]])</f>
        <v>10</v>
      </c>
    </row>
    <row r="232" spans="1:55" hidden="1">
      <c r="A232" t="s">
        <v>10</v>
      </c>
      <c r="B232">
        <v>4883656</v>
      </c>
      <c r="C232" t="s">
        <v>1052</v>
      </c>
      <c r="D232">
        <v>8322.79905935</v>
      </c>
      <c r="E232">
        <v>144</v>
      </c>
      <c r="F232">
        <v>2.88</v>
      </c>
      <c r="G232" t="s">
        <v>1099</v>
      </c>
      <c r="H232" t="s">
        <v>1100</v>
      </c>
      <c r="I232">
        <v>450</v>
      </c>
      <c r="J232" t="s">
        <v>90</v>
      </c>
      <c r="K232" t="s">
        <v>264</v>
      </c>
      <c r="L232" t="s">
        <v>265</v>
      </c>
      <c r="M232">
        <v>873.72189</v>
      </c>
      <c r="N232">
        <v>3.49488756</v>
      </c>
      <c r="O232">
        <v>662401.95093</v>
      </c>
      <c r="P232">
        <v>1193639.06691</v>
      </c>
      <c r="Q232">
        <v>1.319020707552734E-3</v>
      </c>
      <c r="R232">
        <v>10.9779443041</v>
      </c>
      <c r="S232" t="s">
        <v>471</v>
      </c>
      <c r="T232" t="s">
        <v>93</v>
      </c>
      <c r="U232">
        <v>2.5</v>
      </c>
      <c r="V232" t="s">
        <v>267</v>
      </c>
      <c r="W232" t="s">
        <v>142</v>
      </c>
      <c r="X232" t="s">
        <v>150</v>
      </c>
      <c r="Y232" s="23" t="s">
        <v>151</v>
      </c>
      <c r="AA232">
        <v>2381</v>
      </c>
      <c r="AB232" t="s">
        <v>1101</v>
      </c>
      <c r="AC232" t="s">
        <v>1056</v>
      </c>
      <c r="AD232" s="2">
        <v>10</v>
      </c>
      <c r="AE232" s="2" t="s">
        <v>70</v>
      </c>
      <c r="AF232" t="str">
        <f>_xlfn.CONCAT(FINI_grouping_for_wheel[[#This Row],[SEFI/Plant]],"/",IF(FINI_grouping_for_wheel[[#This Row],[RESET recipe combination]]&lt;&gt;"",FINI_grouping_for_wheel[[#This Row],[RESET recipe combination]],FINI_grouping_for_wheel[[#This Row],[Recipe Combination]]),"/",FINI_grouping_for_wheel[[#This Row],[Subgroup]])</f>
        <v>4883656/THDP/x/10</v>
      </c>
      <c r="AG2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0.07719665271966528</v>
      </c>
      <c r="AH232">
        <f>_xlfn.LET(_xlpm.pct, FINI_grouping_for_wheel[[#This Row],[% forecast within subgroup]], _xlpm.lote, FINI_grouping_for_wheel[[#This Row],[Lot size considered]], _xlpm.pct*_xlpm.lote)</f>
        <v>642.4922286401987</v>
      </c>
      <c r="AI232" cm="1">
        <f t="array" aca="1" ref="AI232" ca="1">IFERROR(INDIRECT("FINI_grouping_for_wheel[@["&amp;FINI_grouping_for_wheel[[#This Row],[Selected PV]]&amp;"]]"),"")</f>
        <v>166</v>
      </c>
      <c r="AJ23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232" s="4"/>
      <c r="AM23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166</v>
      </c>
      <c r="AN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3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32" t="str">
        <f>_xlfn.CONCAT(FINI_grouping_for_wheel[[#This Row],[Recipe Combination]],FINI_grouping_for_wheel[[#This Row],[Subgroup]])</f>
        <v>10</v>
      </c>
    </row>
    <row r="233" spans="1:55" hidden="1">
      <c r="A233" t="s">
        <v>10</v>
      </c>
      <c r="B233">
        <v>4883656</v>
      </c>
      <c r="C233" t="s">
        <v>1052</v>
      </c>
      <c r="D233">
        <v>8322.79905935</v>
      </c>
      <c r="E233">
        <v>144</v>
      </c>
      <c r="F233">
        <v>2.88</v>
      </c>
      <c r="G233" t="s">
        <v>1102</v>
      </c>
      <c r="H233" t="s">
        <v>1103</v>
      </c>
      <c r="I233">
        <v>462</v>
      </c>
      <c r="J233" t="s">
        <v>90</v>
      </c>
      <c r="K233" t="s">
        <v>312</v>
      </c>
      <c r="L233" t="s">
        <v>313</v>
      </c>
      <c r="M233">
        <v>1986.59259</v>
      </c>
      <c r="N233">
        <v>7.94637036</v>
      </c>
      <c r="O233">
        <v>662401.95093</v>
      </c>
      <c r="P233">
        <v>1193639.06691</v>
      </c>
      <c r="Q233">
        <v>2.9990741832974089E-3</v>
      </c>
      <c r="R233">
        <v>24.9606917917</v>
      </c>
      <c r="S233" t="s">
        <v>471</v>
      </c>
      <c r="T233" t="s">
        <v>93</v>
      </c>
      <c r="U233">
        <v>1</v>
      </c>
      <c r="V233" t="s">
        <v>315</v>
      </c>
      <c r="W233" t="s">
        <v>142</v>
      </c>
      <c r="X233" t="s">
        <v>150</v>
      </c>
      <c r="Y233" s="23" t="s">
        <v>151</v>
      </c>
      <c r="AA233">
        <v>1047</v>
      </c>
      <c r="AB233" t="s">
        <v>1104</v>
      </c>
      <c r="AC233" t="s">
        <v>1056</v>
      </c>
      <c r="AD233" s="2">
        <v>13</v>
      </c>
      <c r="AE233" s="2" t="s">
        <v>70</v>
      </c>
      <c r="AF233" t="str">
        <f>_xlfn.CONCAT(FINI_grouping_for_wheel[[#This Row],[SEFI/Plant]],"/",IF(FINI_grouping_for_wheel[[#This Row],[RESET recipe combination]]&lt;&gt;"",FINI_grouping_for_wheel[[#This Row],[RESET recipe combination]],FINI_grouping_for_wheel[[#This Row],[Recipe Combination]]),"/",FINI_grouping_for_wheel[[#This Row],[Subgroup]])</f>
        <v>4883656/THDP/x/13</v>
      </c>
      <c r="AG2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0.19715662084361416</v>
      </c>
      <c r="AH233">
        <f>_xlfn.LET(_xlpm.pct, FINI_grouping_for_wheel[[#This Row],[% forecast within subgroup]], _xlpm.lote, FINI_grouping_for_wheel[[#This Row],[Lot size considered]], _xlpm.pct*_xlpm.lote)</f>
        <v>1640.8949385018564</v>
      </c>
      <c r="AI233" cm="1">
        <f t="array" aca="1" ref="AI233" ca="1">IFERROR(INDIRECT("FINI_grouping_for_wheel[@["&amp;FINI_grouping_for_wheel[[#This Row],[Selected PV]]&amp;"]]"),"")</f>
        <v>186</v>
      </c>
      <c r="AJ23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3.8</v>
      </c>
      <c r="AL233" s="4"/>
      <c r="AM23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186</v>
      </c>
      <c r="AN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3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33" t="str">
        <f>_xlfn.CONCAT(FINI_grouping_for_wheel[[#This Row],[Recipe Combination]],FINI_grouping_for_wheel[[#This Row],[Subgroup]])</f>
        <v>13</v>
      </c>
    </row>
    <row r="234" spans="1:55" hidden="1">
      <c r="A234" t="s">
        <v>10</v>
      </c>
      <c r="B234">
        <v>4883656</v>
      </c>
      <c r="C234" t="s">
        <v>1052</v>
      </c>
      <c r="D234">
        <v>8322.79905935</v>
      </c>
      <c r="E234">
        <v>144</v>
      </c>
      <c r="F234">
        <v>2.88</v>
      </c>
      <c r="G234" t="s">
        <v>1105</v>
      </c>
      <c r="H234" t="s">
        <v>1106</v>
      </c>
      <c r="I234">
        <v>300</v>
      </c>
      <c r="J234" t="s">
        <v>90</v>
      </c>
      <c r="K234" t="s">
        <v>292</v>
      </c>
      <c r="L234" t="s">
        <v>293</v>
      </c>
      <c r="M234">
        <v>76075.36749</v>
      </c>
      <c r="N234">
        <v>304.30146996</v>
      </c>
      <c r="O234">
        <v>662401.95093</v>
      </c>
      <c r="P234">
        <v>1193639.06691</v>
      </c>
      <c r="Q234">
        <v>0.11484774068553331</v>
      </c>
      <c r="R234">
        <v>955.854668146</v>
      </c>
      <c r="S234" t="s">
        <v>471</v>
      </c>
      <c r="T234" t="s">
        <v>93</v>
      </c>
      <c r="U234">
        <v>12.5</v>
      </c>
      <c r="V234" t="s">
        <v>295</v>
      </c>
      <c r="W234" t="s">
        <v>142</v>
      </c>
      <c r="X234" t="s">
        <v>128</v>
      </c>
      <c r="Y234" s="23" t="s">
        <v>120</v>
      </c>
      <c r="AA234">
        <v>27</v>
      </c>
      <c r="AB234" t="s">
        <v>1107</v>
      </c>
      <c r="AC234" t="s">
        <v>1056</v>
      </c>
      <c r="AD234" s="2">
        <v>4</v>
      </c>
      <c r="AE234" s="2" t="s">
        <v>70</v>
      </c>
      <c r="AF234" t="str">
        <f>_xlfn.CONCAT(FINI_grouping_for_wheel[[#This Row],[SEFI/Plant]],"/",IF(FINI_grouping_for_wheel[[#This Row],[RESET recipe combination]]&lt;&gt;"",FINI_grouping_for_wheel[[#This Row],[RESET recipe combination]],FINI_grouping_for_wheel[[#This Row],[Recipe Combination]]),"/",FINI_grouping_for_wheel[[#This Row],[Subgroup]])</f>
        <v>4883656/THDP/x/4</v>
      </c>
      <c r="AG2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34">
        <f>_xlfn.LET(_xlpm.pct, FINI_grouping_for_wheel[[#This Row],[% forecast within subgroup]], _xlpm.lote, FINI_grouping_for_wheel[[#This Row],[Lot size considered]], _xlpm.pct*_xlpm.lote)</f>
        <v>8322.79905935</v>
      </c>
      <c r="AI234" cm="1">
        <f t="array" aca="1" ref="AI234" ca="1">IFERROR(INDIRECT("FINI_grouping_for_wheel[@["&amp;FINI_grouping_for_wheel[[#This Row],[Selected PV]]&amp;"]]"),"")</f>
        <v>25</v>
      </c>
      <c r="AJ23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29.5</v>
      </c>
      <c r="AL234" s="4"/>
      <c r="AM23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25</v>
      </c>
      <c r="AN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3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34" t="str">
        <f>_xlfn.CONCAT(FINI_grouping_for_wheel[[#This Row],[Recipe Combination]],FINI_grouping_for_wheel[[#This Row],[Subgroup]])</f>
        <v>4</v>
      </c>
    </row>
    <row r="235" spans="1:55" hidden="1">
      <c r="A235" t="s">
        <v>10</v>
      </c>
      <c r="B235">
        <v>4883656</v>
      </c>
      <c r="C235" t="s">
        <v>1052</v>
      </c>
      <c r="D235">
        <v>8322.79905935</v>
      </c>
      <c r="E235">
        <v>144</v>
      </c>
      <c r="F235">
        <v>2.88</v>
      </c>
      <c r="G235" t="s">
        <v>1108</v>
      </c>
      <c r="H235" t="s">
        <v>1109</v>
      </c>
      <c r="I235">
        <v>440</v>
      </c>
      <c r="J235" t="s">
        <v>90</v>
      </c>
      <c r="K235" t="s">
        <v>666</v>
      </c>
      <c r="L235" t="s">
        <v>667</v>
      </c>
      <c r="M235">
        <v>79309.79595</v>
      </c>
      <c r="N235">
        <v>317.2391838</v>
      </c>
      <c r="O235">
        <v>662401.95093</v>
      </c>
      <c r="P235">
        <v>1193639.06691</v>
      </c>
      <c r="Q235">
        <v>0.11973061951078273</v>
      </c>
      <c r="R235">
        <v>996.493887439</v>
      </c>
      <c r="S235" t="s">
        <v>471</v>
      </c>
      <c r="T235" t="s">
        <v>93</v>
      </c>
      <c r="U235">
        <v>10</v>
      </c>
      <c r="V235" t="s">
        <v>94</v>
      </c>
      <c r="W235" t="s">
        <v>95</v>
      </c>
      <c r="X235" t="s">
        <v>96</v>
      </c>
      <c r="Y235" s="23" t="s">
        <v>97</v>
      </c>
      <c r="AA235">
        <v>26</v>
      </c>
      <c r="AB235" t="s">
        <v>1110</v>
      </c>
      <c r="AC235" t="s">
        <v>1056</v>
      </c>
      <c r="AD235" s="2">
        <v>3</v>
      </c>
      <c r="AE235" s="2" t="s">
        <v>70</v>
      </c>
      <c r="AF235" t="str">
        <f>_xlfn.CONCAT(FINI_grouping_for_wheel[[#This Row],[SEFI/Plant]],"/",IF(FINI_grouping_for_wheel[[#This Row],[RESET recipe combination]]&lt;&gt;"",FINI_grouping_for_wheel[[#This Row],[RESET recipe combination]],FINI_grouping_for_wheel[[#This Row],[Recipe Combination]]),"/",FINI_grouping_for_wheel[[#This Row],[Subgroup]])</f>
        <v>4883656/THDP/x/3</v>
      </c>
      <c r="AG2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35">
        <f>_xlfn.LET(_xlpm.pct, FINI_grouping_for_wheel[[#This Row],[% forecast within subgroup]], _xlpm.lote, FINI_grouping_for_wheel[[#This Row],[Lot size considered]], _xlpm.pct*_xlpm.lote)</f>
        <v>8322.79905935</v>
      </c>
      <c r="AI235" cm="1">
        <f t="array" aca="1" ref="AI235" ca="1">IFERROR(INDIRECT("FINI_grouping_for_wheel[@["&amp;FINI_grouping_for_wheel[[#This Row],[Selected PV]]&amp;"]]"),"")</f>
        <v>24</v>
      </c>
      <c r="AJ23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20.1</v>
      </c>
      <c r="AL235" s="4"/>
      <c r="AM23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v>
      </c>
      <c r="AN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3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35" t="str">
        <f>_xlfn.CONCAT(FINI_grouping_for_wheel[[#This Row],[Recipe Combination]],FINI_grouping_for_wheel[[#This Row],[Subgroup]])</f>
        <v>3</v>
      </c>
    </row>
    <row r="236" spans="1:55" hidden="1">
      <c r="A236" t="s">
        <v>10</v>
      </c>
      <c r="B236">
        <v>4883656</v>
      </c>
      <c r="C236" t="s">
        <v>1052</v>
      </c>
      <c r="D236">
        <v>8322.79905935</v>
      </c>
      <c r="E236">
        <v>144</v>
      </c>
      <c r="F236">
        <v>2.88</v>
      </c>
      <c r="G236" t="s">
        <v>1111</v>
      </c>
      <c r="H236" t="s">
        <v>1112</v>
      </c>
      <c r="I236">
        <v>300</v>
      </c>
      <c r="J236" t="s">
        <v>90</v>
      </c>
      <c r="K236" t="s">
        <v>440</v>
      </c>
      <c r="L236" t="s">
        <v>441</v>
      </c>
      <c r="M236">
        <v>8423.484075</v>
      </c>
      <c r="N236">
        <v>33.6939363</v>
      </c>
      <c r="O236">
        <v>662401.95093</v>
      </c>
      <c r="P236">
        <v>1193639.06691</v>
      </c>
      <c r="Q236">
        <v>1.2716574978641874E-2</v>
      </c>
      <c r="R236">
        <v>105.83749827</v>
      </c>
      <c r="S236" t="s">
        <v>471</v>
      </c>
      <c r="T236" t="s">
        <v>93</v>
      </c>
      <c r="U236">
        <v>5</v>
      </c>
      <c r="V236" t="s">
        <v>119</v>
      </c>
      <c r="W236" t="s">
        <v>95</v>
      </c>
      <c r="X236" t="s">
        <v>96</v>
      </c>
      <c r="Y236" s="23" t="s">
        <v>120</v>
      </c>
      <c r="AA236">
        <v>247</v>
      </c>
      <c r="AB236" t="s">
        <v>1113</v>
      </c>
      <c r="AC236" t="s">
        <v>1056</v>
      </c>
      <c r="AD236" s="2">
        <v>9</v>
      </c>
      <c r="AE236" s="2" t="s">
        <v>70</v>
      </c>
      <c r="AF236" t="str">
        <f>_xlfn.CONCAT(FINI_grouping_for_wheel[[#This Row],[SEFI/Plant]],"/",IF(FINI_grouping_for_wheel[[#This Row],[RESET recipe combination]]&lt;&gt;"",FINI_grouping_for_wheel[[#This Row],[RESET recipe combination]],FINI_grouping_for_wheel[[#This Row],[Recipe Combination]]),"/",FINI_grouping_for_wheel[[#This Row],[Subgroup]])</f>
        <v>4883656/THDP/x/9</v>
      </c>
      <c r="AG2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0.19003739316239315</v>
      </c>
      <c r="AH236">
        <f>_xlfn.LET(_xlpm.pct, FINI_grouping_for_wheel[[#This Row],[% forecast within subgroup]], _xlpm.lote, FINI_grouping_for_wheel[[#This Row],[Lot size considered]], _xlpm.pct*_xlpm.lote)</f>
        <v>1581.643037053292</v>
      </c>
      <c r="AI236" cm="1">
        <f t="array" aca="1" ref="AI236" ca="1">IFERROR(INDIRECT("FINI_grouping_for_wheel[@["&amp;FINI_grouping_for_wheel[[#This Row],[Selected PV]]&amp;"]]"),"")</f>
        <v>42</v>
      </c>
      <c r="AJ23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5.6</v>
      </c>
      <c r="AL236" s="4"/>
      <c r="AM23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42</v>
      </c>
      <c r="AN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3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36" t="str">
        <f>_xlfn.CONCAT(FINI_grouping_for_wheel[[#This Row],[Recipe Combination]],FINI_grouping_for_wheel[[#This Row],[Subgroup]])</f>
        <v>9</v>
      </c>
    </row>
    <row r="237" spans="1:55" hidden="1">
      <c r="A237" t="s">
        <v>10</v>
      </c>
      <c r="B237">
        <v>4883656</v>
      </c>
      <c r="C237" t="s">
        <v>1052</v>
      </c>
      <c r="D237">
        <v>8322.79905935</v>
      </c>
      <c r="E237">
        <v>144</v>
      </c>
      <c r="F237">
        <v>2.88</v>
      </c>
      <c r="G237" t="s">
        <v>1114</v>
      </c>
      <c r="H237" t="s">
        <v>1115</v>
      </c>
      <c r="I237">
        <v>330</v>
      </c>
      <c r="J237" t="s">
        <v>90</v>
      </c>
      <c r="K237" t="s">
        <v>312</v>
      </c>
      <c r="L237" t="s">
        <v>313</v>
      </c>
      <c r="M237">
        <v>2736.004455</v>
      </c>
      <c r="N237">
        <v>10.94401782</v>
      </c>
      <c r="O237">
        <v>662401.95093</v>
      </c>
      <c r="P237">
        <v>1193639.06691</v>
      </c>
      <c r="Q237">
        <v>4.1304293430275991E-3</v>
      </c>
      <c r="R237">
        <v>34.3767334509</v>
      </c>
      <c r="S237" t="s">
        <v>471</v>
      </c>
      <c r="T237" t="s">
        <v>93</v>
      </c>
      <c r="U237">
        <v>1</v>
      </c>
      <c r="V237" t="s">
        <v>315</v>
      </c>
      <c r="W237" t="s">
        <v>142</v>
      </c>
      <c r="X237" t="s">
        <v>150</v>
      </c>
      <c r="Y237" s="23" t="s">
        <v>151</v>
      </c>
      <c r="AA237">
        <v>760</v>
      </c>
      <c r="AB237" t="s">
        <v>1116</v>
      </c>
      <c r="AC237" t="s">
        <v>1056</v>
      </c>
      <c r="AD237" s="2">
        <v>12</v>
      </c>
      <c r="AE237" s="2" t="s">
        <v>70</v>
      </c>
      <c r="AF237" t="str">
        <f>_xlfn.CONCAT(FINI_grouping_for_wheel[[#This Row],[SEFI/Plant]],"/",IF(FINI_grouping_for_wheel[[#This Row],[RESET recipe combination]]&lt;&gt;"",FINI_grouping_for_wheel[[#This Row],[RESET recipe combination]],FINI_grouping_for_wheel[[#This Row],[Recipe Combination]]),"/",FINI_grouping_for_wheel[[#This Row],[Subgroup]])</f>
        <v>4883656/THDP/x/12</v>
      </c>
      <c r="AG2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0.10137743463765572</v>
      </c>
      <c r="AH237">
        <f>_xlfn.LET(_xlpm.pct, FINI_grouping_for_wheel[[#This Row],[% forecast within subgroup]], _xlpm.lote, FINI_grouping_for_wheel[[#This Row],[Lot size considered]], _xlpm.pct*_xlpm.lote)</f>
        <v>843.7440176415971</v>
      </c>
      <c r="AI237" cm="1">
        <f t="array" aca="1" ref="AI237" ca="1">IFERROR(INDIRECT("FINI_grouping_for_wheel[@["&amp;FINI_grouping_for_wheel[[#This Row],[Selected PV]]&amp;"]]"),"")</f>
        <v>70</v>
      </c>
      <c r="AJ23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v>
      </c>
      <c r="AL237" s="4"/>
      <c r="AM23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v>
      </c>
      <c r="AN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3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37" t="str">
        <f>_xlfn.CONCAT(FINI_grouping_for_wheel[[#This Row],[Recipe Combination]],FINI_grouping_for_wheel[[#This Row],[Subgroup]])</f>
        <v>12</v>
      </c>
    </row>
    <row r="238" spans="1:55" hidden="1">
      <c r="A238" t="s">
        <v>10</v>
      </c>
      <c r="B238">
        <v>4883656</v>
      </c>
      <c r="C238" t="s">
        <v>1052</v>
      </c>
      <c r="D238">
        <v>8322.79905935</v>
      </c>
      <c r="E238">
        <v>144</v>
      </c>
      <c r="F238">
        <v>2.88</v>
      </c>
      <c r="G238" t="s">
        <v>1117</v>
      </c>
      <c r="H238" t="s">
        <v>1118</v>
      </c>
      <c r="J238" t="s">
        <v>90</v>
      </c>
      <c r="K238" t="s">
        <v>254</v>
      </c>
      <c r="L238" t="s">
        <v>255</v>
      </c>
      <c r="M238">
        <v>57064.221</v>
      </c>
      <c r="N238">
        <v>228.256884</v>
      </c>
      <c r="O238">
        <v>662401.95093</v>
      </c>
      <c r="P238">
        <v>1193639.06691</v>
      </c>
      <c r="Q238">
        <v>8.6147422905205662E-2</v>
      </c>
      <c r="R238">
        <v>716.987690321</v>
      </c>
      <c r="S238" t="s">
        <v>471</v>
      </c>
      <c r="T238" t="s">
        <v>93</v>
      </c>
      <c r="U238">
        <v>5</v>
      </c>
      <c r="V238" t="s">
        <v>119</v>
      </c>
      <c r="W238" t="s">
        <v>95</v>
      </c>
      <c r="X238" t="s">
        <v>96</v>
      </c>
      <c r="Y238" s="23" t="s">
        <v>120</v>
      </c>
      <c r="AA238">
        <v>36</v>
      </c>
      <c r="AB238" t="s">
        <v>1119</v>
      </c>
      <c r="AC238" t="s">
        <v>1056</v>
      </c>
      <c r="AD238" s="2">
        <v>8</v>
      </c>
      <c r="AE238" s="2" t="s">
        <v>70</v>
      </c>
      <c r="AF238" t="str">
        <f>_xlfn.CONCAT(FINI_grouping_for_wheel[[#This Row],[SEFI/Plant]],"/",IF(FINI_grouping_for_wheel[[#This Row],[RESET recipe combination]]&lt;&gt;"",FINI_grouping_for_wheel[[#This Row],[RESET recipe combination]],FINI_grouping_for_wheel[[#This Row],[Recipe Combination]]),"/",FINI_grouping_for_wheel[[#This Row],[Subgroup]])</f>
        <v>4883656/THDP/x/8</v>
      </c>
      <c r="AG2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0.89399981452286</v>
      </c>
      <c r="AH238">
        <f>_xlfn.LET(_xlpm.pct, FINI_grouping_for_wheel[[#This Row],[% forecast within subgroup]], _xlpm.lote, FINI_grouping_for_wheel[[#This Row],[Lot size considered]], _xlpm.pct*_xlpm.lote)</f>
        <v>7440.580815369934</v>
      </c>
      <c r="AI238" cm="1">
        <f t="array" aca="1" ref="AI238" ca="1">IFERROR(INDIRECT("FINI_grouping_for_wheel[@["&amp;FINI_grouping_for_wheel[[#This Row],[Selected PV]]&amp;"]]"),"")</f>
        <v>29</v>
      </c>
      <c r="AJ23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3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238" s="4"/>
      <c r="AM23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29</v>
      </c>
      <c r="AN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3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38" t="str">
        <f>_xlfn.CONCAT(FINI_grouping_for_wheel[[#This Row],[Recipe Combination]],FINI_grouping_for_wheel[[#This Row],[Subgroup]])</f>
        <v>8</v>
      </c>
    </row>
    <row r="239" spans="1:55" hidden="1">
      <c r="A239" t="s">
        <v>10</v>
      </c>
      <c r="B239">
        <v>4883656</v>
      </c>
      <c r="C239" t="s">
        <v>1052</v>
      </c>
      <c r="D239">
        <v>8322.79905935</v>
      </c>
      <c r="E239">
        <v>144</v>
      </c>
      <c r="F239">
        <v>2.88</v>
      </c>
      <c r="G239" t="s">
        <v>1120</v>
      </c>
      <c r="H239" t="s">
        <v>1121</v>
      </c>
      <c r="J239" t="s">
        <v>90</v>
      </c>
      <c r="K239" t="s">
        <v>264</v>
      </c>
      <c r="L239" t="s">
        <v>265</v>
      </c>
      <c r="M239">
        <v>9176.447655</v>
      </c>
      <c r="N239">
        <v>36.70579062</v>
      </c>
      <c r="O239">
        <v>662401.95093</v>
      </c>
      <c r="P239">
        <v>1193639.06691</v>
      </c>
      <c r="Q239">
        <v>1.3853292011166994E-2</v>
      </c>
      <c r="R239">
        <v>115.298165719</v>
      </c>
      <c r="S239" t="s">
        <v>471</v>
      </c>
      <c r="T239" t="s">
        <v>93</v>
      </c>
      <c r="U239">
        <v>2.5</v>
      </c>
      <c r="V239" t="s">
        <v>267</v>
      </c>
      <c r="W239" t="s">
        <v>142</v>
      </c>
      <c r="X239" t="s">
        <v>150</v>
      </c>
      <c r="Y239" s="23" t="s">
        <v>151</v>
      </c>
      <c r="AA239">
        <v>227</v>
      </c>
      <c r="AB239" t="s">
        <v>1122</v>
      </c>
      <c r="AC239" t="s">
        <v>1056</v>
      </c>
      <c r="AD239" s="2">
        <v>11</v>
      </c>
      <c r="AE239" s="2" t="s">
        <v>70</v>
      </c>
      <c r="AF239" t="str">
        <f>_xlfn.CONCAT(FINI_grouping_for_wheel[[#This Row],[SEFI/Plant]],"/",IF(FINI_grouping_for_wheel[[#This Row],[RESET recipe combination]]&lt;&gt;"",FINI_grouping_for_wheel[[#This Row],[RESET recipe combination]],FINI_grouping_for_wheel[[#This Row],[Recipe Combination]]),"/",FINI_grouping_for_wheel[[#This Row],[Subgroup]])</f>
        <v>4883656/THDP/x/11</v>
      </c>
      <c r="AG2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0.3848177936649787</v>
      </c>
      <c r="AH239">
        <f>_xlfn.LET(_xlpm.pct, FINI_grouping_for_wheel[[#This Row],[% forecast within subgroup]], _xlpm.lote, FINI_grouping_for_wheel[[#This Row],[Lot size considered]], _xlpm.pct*_xlpm.lote)</f>
        <v>3202.761171136027</v>
      </c>
      <c r="AI239" cm="1">
        <f t="array" aca="1" ref="AI239" ca="1">IFERROR(INDIRECT("FINI_grouping_for_wheel[@["&amp;FINI_grouping_for_wheel[[#This Row],[Selected PV]]&amp;"]]"),"")</f>
        <v>79</v>
      </c>
      <c r="AJ23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3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239" s="4"/>
      <c r="AM23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79</v>
      </c>
      <c r="AN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3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39" t="str">
        <f>_xlfn.CONCAT(FINI_grouping_for_wheel[[#This Row],[Recipe Combination]],FINI_grouping_for_wheel[[#This Row],[Subgroup]])</f>
        <v>11</v>
      </c>
    </row>
    <row r="240" spans="1:55" hidden="1">
      <c r="A240" t="s">
        <v>10</v>
      </c>
      <c r="B240">
        <v>4883656</v>
      </c>
      <c r="C240" t="s">
        <v>1052</v>
      </c>
      <c r="D240">
        <v>8322.79905935</v>
      </c>
      <c r="E240">
        <v>144</v>
      </c>
      <c r="F240">
        <v>2.88</v>
      </c>
      <c r="G240" t="s">
        <v>1123</v>
      </c>
      <c r="H240" t="s">
        <v>1124</v>
      </c>
      <c r="J240" t="s">
        <v>90</v>
      </c>
      <c r="K240" t="s">
        <v>1125</v>
      </c>
      <c r="L240" t="s">
        <v>1126</v>
      </c>
      <c r="M240">
        <v>31574.74635</v>
      </c>
      <c r="N240">
        <v>126.2989854</v>
      </c>
      <c r="O240">
        <v>662401.95093</v>
      </c>
      <c r="P240">
        <v>1193639.06691</v>
      </c>
      <c r="Q240">
        <v>4.7667049146926037E-2</v>
      </c>
      <c r="R240">
        <v>396.723271802</v>
      </c>
      <c r="S240" t="s">
        <v>471</v>
      </c>
      <c r="T240" t="s">
        <v>93</v>
      </c>
      <c r="U240">
        <v>5</v>
      </c>
      <c r="V240" t="s">
        <v>119</v>
      </c>
      <c r="W240" t="s">
        <v>95</v>
      </c>
      <c r="X240" t="s">
        <v>96</v>
      </c>
      <c r="Y240" s="23" t="s">
        <v>120</v>
      </c>
      <c r="AA240">
        <v>66</v>
      </c>
      <c r="AB240" t="s">
        <v>1127</v>
      </c>
      <c r="AC240" t="s">
        <v>1056</v>
      </c>
      <c r="AD240" s="2">
        <v>9</v>
      </c>
      <c r="AE240" s="2" t="s">
        <v>70</v>
      </c>
      <c r="AF240" t="str">
        <f>_xlfn.CONCAT(FINI_grouping_for_wheel[[#This Row],[SEFI/Plant]],"/",IF(FINI_grouping_for_wheel[[#This Row],[RESET recipe combination]]&lt;&gt;"",FINI_grouping_for_wheel[[#This Row],[RESET recipe combination]],FINI_grouping_for_wheel[[#This Row],[Recipe Combination]]),"/",FINI_grouping_for_wheel[[#This Row],[Subgroup]])</f>
        <v>4883656/THDP/x/9</v>
      </c>
      <c r="AG2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0.7123397435897436</v>
      </c>
      <c r="AH240">
        <f>_xlfn.LET(_xlpm.pct, FINI_grouping_for_wheel[[#This Row],[% forecast within subgroup]], _xlpm.lote, FINI_grouping_for_wheel[[#This Row],[Lot size considered]], _xlpm.pct*_xlpm.lote)</f>
        <v>5928.6605478863385</v>
      </c>
      <c r="AI240" cm="1">
        <f t="array" aca="1" ref="AI240" ca="1">IFERROR(INDIRECT("FINI_grouping_for_wheel[@["&amp;FINI_grouping_for_wheel[[#This Row],[Selected PV]]&amp;"]]"),"")</f>
        <v>42</v>
      </c>
      <c r="AJ24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4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240" s="4"/>
      <c r="AM24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42</v>
      </c>
      <c r="AN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4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40" t="str">
        <f>_xlfn.CONCAT(FINI_grouping_for_wheel[[#This Row],[Recipe Combination]],FINI_grouping_for_wheel[[#This Row],[Subgroup]])</f>
        <v>9</v>
      </c>
    </row>
    <row r="241" spans="1:55" hidden="1">
      <c r="A241" t="s">
        <v>10</v>
      </c>
      <c r="B241">
        <v>4883656</v>
      </c>
      <c r="C241" t="s">
        <v>1052</v>
      </c>
      <c r="D241">
        <v>8322.79905935</v>
      </c>
      <c r="E241">
        <v>144</v>
      </c>
      <c r="F241">
        <v>2.88</v>
      </c>
      <c r="G241" t="s">
        <v>1128</v>
      </c>
      <c r="H241" t="s">
        <v>1129</v>
      </c>
      <c r="I241">
        <v>462</v>
      </c>
      <c r="J241" t="s">
        <v>90</v>
      </c>
      <c r="K241" t="s">
        <v>312</v>
      </c>
      <c r="L241" t="s">
        <v>313</v>
      </c>
      <c r="M241">
        <v>24252.293925</v>
      </c>
      <c r="N241">
        <v>97.0091757</v>
      </c>
      <c r="O241">
        <v>662401.95093</v>
      </c>
      <c r="P241">
        <v>1193639.06691</v>
      </c>
      <c r="Q241">
        <v>3.661265473471241E-2</v>
      </c>
      <c r="R241">
        <v>304.719768386</v>
      </c>
      <c r="S241" t="s">
        <v>471</v>
      </c>
      <c r="T241" t="s">
        <v>93</v>
      </c>
      <c r="U241">
        <v>1</v>
      </c>
      <c r="V241" t="s">
        <v>315</v>
      </c>
      <c r="W241" t="s">
        <v>142</v>
      </c>
      <c r="X241" t="s">
        <v>150</v>
      </c>
      <c r="Y241" s="23" t="s">
        <v>151</v>
      </c>
      <c r="AA241">
        <v>86</v>
      </c>
      <c r="AB241" t="s">
        <v>1130</v>
      </c>
      <c r="AC241" t="s">
        <v>1056</v>
      </c>
      <c r="AD241" s="2">
        <v>12</v>
      </c>
      <c r="AE241" s="2" t="s">
        <v>70</v>
      </c>
      <c r="AF241" t="str">
        <f>_xlfn.CONCAT(FINI_grouping_for_wheel[[#This Row],[SEFI/Plant]],"/",IF(FINI_grouping_for_wheel[[#This Row],[RESET recipe combination]]&lt;&gt;"",FINI_grouping_for_wheel[[#This Row],[RESET recipe combination]],FINI_grouping_for_wheel[[#This Row],[Recipe Combination]]),"/",FINI_grouping_for_wheel[[#This Row],[Subgroup]])</f>
        <v>4883656/THDP/x/12</v>
      </c>
      <c r="AG2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0.8986225653623443</v>
      </c>
      <c r="AH241">
        <f>_xlfn.LET(_xlpm.pct, FINI_grouping_for_wheel[[#This Row],[% forecast within subgroup]], _xlpm.lote, FINI_grouping_for_wheel[[#This Row],[Lot size considered]], _xlpm.pct*_xlpm.lote)</f>
        <v>7479.055041708403</v>
      </c>
      <c r="AI241" cm="1">
        <f t="array" aca="1" ref="AI241" ca="1">IFERROR(INDIRECT("FINI_grouping_for_wheel[@["&amp;FINI_grouping_for_wheel[[#This Row],[Selected PV]]&amp;"]]"),"")</f>
        <v>70</v>
      </c>
      <c r="AJ24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17.2</v>
      </c>
      <c r="AL241" s="4"/>
      <c r="AM24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v>
      </c>
      <c r="AN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4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41" t="str">
        <f>_xlfn.CONCAT(FINI_grouping_for_wheel[[#This Row],[Recipe Combination]],FINI_grouping_for_wheel[[#This Row],[Subgroup]])</f>
        <v>12</v>
      </c>
    </row>
    <row r="242" spans="1:55" hidden="1">
      <c r="A242" t="s">
        <v>10</v>
      </c>
      <c r="B242">
        <v>4883656</v>
      </c>
      <c r="C242" t="s">
        <v>1052</v>
      </c>
      <c r="D242">
        <v>8322.79905935</v>
      </c>
      <c r="E242">
        <v>144</v>
      </c>
      <c r="F242">
        <v>2.88</v>
      </c>
      <c r="G242" t="s">
        <v>1131</v>
      </c>
      <c r="H242" t="s">
        <v>1132</v>
      </c>
      <c r="I242">
        <v>480</v>
      </c>
      <c r="J242" t="s">
        <v>90</v>
      </c>
      <c r="K242" t="s">
        <v>515</v>
      </c>
      <c r="L242" t="s">
        <v>516</v>
      </c>
      <c r="M242">
        <v>5096.711025</v>
      </c>
      <c r="N242">
        <v>20.3868441</v>
      </c>
      <c r="O242">
        <v>8696.96613</v>
      </c>
      <c r="P242">
        <v>1193639.06691</v>
      </c>
      <c r="Q242">
        <v>0.5860332153552954</v>
      </c>
      <c r="R242">
        <v>4877.43669351</v>
      </c>
      <c r="S242" t="s">
        <v>1133</v>
      </c>
      <c r="T242" t="s">
        <v>93</v>
      </c>
      <c r="U242">
        <v>5</v>
      </c>
      <c r="V242" t="s">
        <v>518</v>
      </c>
      <c r="W242" t="s">
        <v>142</v>
      </c>
      <c r="X242" t="s">
        <v>150</v>
      </c>
      <c r="Y242" s="23" t="s">
        <v>151</v>
      </c>
      <c r="AA242">
        <v>408</v>
      </c>
      <c r="AB242" t="s">
        <v>1134</v>
      </c>
      <c r="AC242" t="s">
        <v>1056</v>
      </c>
      <c r="AD242" s="2">
        <v>10</v>
      </c>
      <c r="AE242" s="2" t="s">
        <v>70</v>
      </c>
      <c r="AF242" t="str">
        <f>_xlfn.CONCAT(FINI_grouping_for_wheel[[#This Row],[SEFI/Plant]],"/",IF(FINI_grouping_for_wheel[[#This Row],[RESET recipe combination]]&lt;&gt;"",FINI_grouping_for_wheel[[#This Row],[RESET recipe combination]],FINI_grouping_for_wheel[[#This Row],[Recipe Combination]]),"/",FINI_grouping_for_wheel[[#This Row],[Subgroup]])</f>
        <v>4883656/THDP/x/10</v>
      </c>
      <c r="AG2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0.4503138075313807</v>
      </c>
      <c r="AH242">
        <f>_xlfn.LET(_xlpm.pct, FINI_grouping_for_wheel[[#This Row],[% forecast within subgroup]], _xlpm.lote, FINI_grouping_for_wheel[[#This Row],[Lot size considered]], _xlpm.pct*_xlpm.lote)</f>
        <v>3747.8713337344925</v>
      </c>
      <c r="AI242" cm="1">
        <f t="array" aca="1" ref="AI242" ca="1">IFERROR(INDIRECT("FINI_grouping_for_wheel[@["&amp;FINI_grouping_for_wheel[[#This Row],[Selected PV]]&amp;"]]"),"")</f>
        <v>166</v>
      </c>
      <c r="AJ24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8.3</v>
      </c>
      <c r="AL242" s="4"/>
      <c r="AM24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166</v>
      </c>
      <c r="AN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4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42" t="str">
        <f>_xlfn.CONCAT(FINI_grouping_for_wheel[[#This Row],[Recipe Combination]],FINI_grouping_for_wheel[[#This Row],[Subgroup]])</f>
        <v>310</v>
      </c>
    </row>
    <row r="243" spans="1:55" hidden="1">
      <c r="A243" t="s">
        <v>10</v>
      </c>
      <c r="B243">
        <v>4883656</v>
      </c>
      <c r="C243" t="s">
        <v>1052</v>
      </c>
      <c r="D243">
        <v>8322.79905935</v>
      </c>
      <c r="E243">
        <v>144</v>
      </c>
      <c r="F243">
        <v>2.88</v>
      </c>
      <c r="G243" t="s">
        <v>1135</v>
      </c>
      <c r="H243" t="s">
        <v>1136</v>
      </c>
      <c r="I243">
        <v>450</v>
      </c>
      <c r="J243" t="s">
        <v>90</v>
      </c>
      <c r="K243" t="s">
        <v>264</v>
      </c>
      <c r="L243" t="s">
        <v>265</v>
      </c>
      <c r="M243">
        <v>2390.304195</v>
      </c>
      <c r="N243">
        <v>9.56121678</v>
      </c>
      <c r="O243">
        <v>8696.96613</v>
      </c>
      <c r="P243">
        <v>1193639.06691</v>
      </c>
      <c r="Q243">
        <v>0.27484345221889461</v>
      </c>
      <c r="R243">
        <v>2287.4668256</v>
      </c>
      <c r="S243" t="s">
        <v>1133</v>
      </c>
      <c r="T243" t="s">
        <v>93</v>
      </c>
      <c r="U243">
        <v>2.5</v>
      </c>
      <c r="V243" t="s">
        <v>267</v>
      </c>
      <c r="W243" t="s">
        <v>142</v>
      </c>
      <c r="X243" t="s">
        <v>150</v>
      </c>
      <c r="Y243" s="23" t="s">
        <v>151</v>
      </c>
      <c r="AA243">
        <v>870</v>
      </c>
      <c r="AB243" t="s">
        <v>1137</v>
      </c>
      <c r="AC243" t="s">
        <v>1056</v>
      </c>
      <c r="AD243" s="2">
        <v>11</v>
      </c>
      <c r="AE243" s="2" t="s">
        <v>70</v>
      </c>
      <c r="AF243" t="str">
        <f>_xlfn.CONCAT(FINI_grouping_for_wheel[[#This Row],[SEFI/Plant]],"/",IF(FINI_grouping_for_wheel[[#This Row],[RESET recipe combination]]&lt;&gt;"",FINI_grouping_for_wheel[[#This Row],[RESET recipe combination]],FINI_grouping_for_wheel[[#This Row],[Recipe Combination]]),"/",FINI_grouping_for_wheel[[#This Row],[Subgroup]])</f>
        <v>4883656/THDP/x/11</v>
      </c>
      <c r="AG2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0.10023830801310696</v>
      </c>
      <c r="AH243">
        <f>_xlfn.LET(_xlpm.pct, FINI_grouping_for_wheel[[#This Row],[% forecast within subgroup]], _xlpm.lote, FINI_grouping_for_wheel[[#This Row],[Lot size considered]], _xlpm.pct*_xlpm.lote)</f>
        <v>834.2632956423222</v>
      </c>
      <c r="AI243" cm="1">
        <f t="array" aca="1" ref="AI243" ca="1">IFERROR(INDIRECT("FINI_grouping_for_wheel[@["&amp;FINI_grouping_for_wheel[[#This Row],[Selected PV]]&amp;"]]"),"")</f>
        <v>79</v>
      </c>
      <c r="AJ24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v>
      </c>
      <c r="AL243" s="4"/>
      <c r="AM24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79</v>
      </c>
      <c r="AN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4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43" t="str">
        <f>_xlfn.CONCAT(FINI_grouping_for_wheel[[#This Row],[Recipe Combination]],FINI_grouping_for_wheel[[#This Row],[Subgroup]])</f>
        <v>311</v>
      </c>
    </row>
    <row r="244" spans="1:55" hidden="1">
      <c r="A244" t="s">
        <v>10</v>
      </c>
      <c r="B244">
        <v>4883656</v>
      </c>
      <c r="C244" t="s">
        <v>1052</v>
      </c>
      <c r="D244">
        <v>8322.79905935</v>
      </c>
      <c r="E244">
        <v>144</v>
      </c>
      <c r="F244">
        <v>2.88</v>
      </c>
      <c r="G244" t="s">
        <v>1138</v>
      </c>
      <c r="H244" t="s">
        <v>1139</v>
      </c>
      <c r="I244">
        <v>462</v>
      </c>
      <c r="J244" t="s">
        <v>90</v>
      </c>
      <c r="K244" t="s">
        <v>312</v>
      </c>
      <c r="L244" t="s">
        <v>313</v>
      </c>
      <c r="M244">
        <v>1209.95091</v>
      </c>
      <c r="N244">
        <v>4.83980364</v>
      </c>
      <c r="O244">
        <v>8696.96613</v>
      </c>
      <c r="P244">
        <v>1193639.06691</v>
      </c>
      <c r="Q244">
        <v>0.13912333242580996</v>
      </c>
      <c r="R244">
        <v>1157.89554025</v>
      </c>
      <c r="S244" t="s">
        <v>1133</v>
      </c>
      <c r="T244" t="s">
        <v>93</v>
      </c>
      <c r="U244">
        <v>1</v>
      </c>
      <c r="V244" t="s">
        <v>315</v>
      </c>
      <c r="W244" t="s">
        <v>142</v>
      </c>
      <c r="X244" t="s">
        <v>150</v>
      </c>
      <c r="Y244" s="23" t="s">
        <v>151</v>
      </c>
      <c r="AA244">
        <v>1720</v>
      </c>
      <c r="AB244" t="s">
        <v>1140</v>
      </c>
      <c r="AC244" t="s">
        <v>1056</v>
      </c>
      <c r="AD244" s="2">
        <v>13</v>
      </c>
      <c r="AE244" s="2" t="s">
        <v>70</v>
      </c>
      <c r="AF244" t="str">
        <f>_xlfn.CONCAT(FINI_grouping_for_wheel[[#This Row],[SEFI/Plant]],"/",IF(FINI_grouping_for_wheel[[#This Row],[RESET recipe combination]]&lt;&gt;"",FINI_grouping_for_wheel[[#This Row],[RESET recipe combination]],FINI_grouping_for_wheel[[#This Row],[Recipe Combination]]),"/",FINI_grouping_for_wheel[[#This Row],[Subgroup]])</f>
        <v>4883656/THDP/x/13</v>
      </c>
      <c r="AG2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0.12007989660439432</v>
      </c>
      <c r="AH244">
        <f>_xlfn.LET(_xlpm.pct, FINI_grouping_for_wheel[[#This Row],[% forecast within subgroup]], _xlpm.lote, FINI_grouping_for_wheel[[#This Row],[Lot size considered]], _xlpm.pct*_xlpm.lote)</f>
        <v>999.4008505058982</v>
      </c>
      <c r="AI244" cm="1">
        <f t="array" aca="1" ref="AI244" ca="1">IFERROR(INDIRECT("FINI_grouping_for_wheel[@["&amp;FINI_grouping_for_wheel[[#This Row],[Selected PV]]&amp;"]]"),"")</f>
        <v>186</v>
      </c>
      <c r="AJ24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v>
      </c>
      <c r="AL244" s="4"/>
      <c r="AM24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186</v>
      </c>
      <c r="AN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4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44" t="str">
        <f>_xlfn.CONCAT(FINI_grouping_for_wheel[[#This Row],[Recipe Combination]],FINI_grouping_for_wheel[[#This Row],[Subgroup]])</f>
        <v>313</v>
      </c>
    </row>
    <row r="245" spans="1:55" hidden="1">
      <c r="A245" t="s">
        <v>10</v>
      </c>
      <c r="B245">
        <v>4883656</v>
      </c>
      <c r="C245" t="s">
        <v>1052</v>
      </c>
      <c r="D245">
        <v>8322.79905935</v>
      </c>
      <c r="E245">
        <v>144</v>
      </c>
      <c r="F245">
        <v>2.88</v>
      </c>
      <c r="G245" t="s">
        <v>1141</v>
      </c>
      <c r="H245" t="s">
        <v>1142</v>
      </c>
      <c r="I245">
        <v>440</v>
      </c>
      <c r="J245" t="s">
        <v>90</v>
      </c>
      <c r="K245" t="s">
        <v>385</v>
      </c>
      <c r="L245" t="s">
        <v>386</v>
      </c>
      <c r="M245">
        <v>26993.034</v>
      </c>
      <c r="N245">
        <v>107.972136</v>
      </c>
      <c r="O245">
        <v>26993.034</v>
      </c>
      <c r="P245">
        <v>1193639.06691</v>
      </c>
      <c r="Q245">
        <v>1</v>
      </c>
      <c r="R245">
        <v>8322.79905935</v>
      </c>
      <c r="S245" t="s">
        <v>517</v>
      </c>
      <c r="T245" t="s">
        <v>93</v>
      </c>
      <c r="U245">
        <v>10</v>
      </c>
      <c r="V245" t="s">
        <v>94</v>
      </c>
      <c r="W245" t="s">
        <v>95</v>
      </c>
      <c r="X245" t="s">
        <v>96</v>
      </c>
      <c r="Y245" s="23" t="s">
        <v>97</v>
      </c>
      <c r="AA245">
        <v>77</v>
      </c>
      <c r="AB245" t="s">
        <v>1143</v>
      </c>
      <c r="AC245" t="s">
        <v>1056</v>
      </c>
      <c r="AD245" s="2">
        <v>5</v>
      </c>
      <c r="AE245" s="2" t="s">
        <v>70</v>
      </c>
      <c r="AF245" t="str">
        <f>_xlfn.CONCAT(FINI_grouping_for_wheel[[#This Row],[SEFI/Plant]],"/",IF(FINI_grouping_for_wheel[[#This Row],[RESET recipe combination]]&lt;&gt;"",FINI_grouping_for_wheel[[#This Row],[RESET recipe combination]],FINI_grouping_for_wheel[[#This Row],[Recipe Combination]]),"/",FINI_grouping_for_wheel[[#This Row],[Subgroup]])</f>
        <v>4883656/THDP/x/5</v>
      </c>
      <c r="AG2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0.3263670197537933</v>
      </c>
      <c r="AH245">
        <f>_xlfn.LET(_xlpm.pct, FINI_grouping_for_wheel[[#This Row],[% forecast within subgroup]], _xlpm.lote, FINI_grouping_for_wheel[[#This Row],[Lot size considered]], _xlpm.pct*_xlpm.lote)</f>
        <v>2716.2871250097337</v>
      </c>
      <c r="AI245" cm="1">
        <f t="array" aca="1" ref="AI245" ca="1">IFERROR(INDIRECT("FINI_grouping_for_wheel[@["&amp;FINI_grouping_for_wheel[[#This Row],[Selected PV]]&amp;"]]"),"")</f>
        <v>23</v>
      </c>
      <c r="AJ24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6.6</v>
      </c>
      <c r="AL245" s="4"/>
      <c r="AM24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23</v>
      </c>
      <c r="AN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4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45" t="str">
        <f>_xlfn.CONCAT(FINI_grouping_for_wheel[[#This Row],[Recipe Combination]],FINI_grouping_for_wheel[[#This Row],[Subgroup]])</f>
        <v>55</v>
      </c>
    </row>
    <row r="246" spans="1:55" hidden="1">
      <c r="A246" t="s">
        <v>10</v>
      </c>
      <c r="B246">
        <v>4883656</v>
      </c>
      <c r="C246" t="s">
        <v>1052</v>
      </c>
      <c r="D246">
        <v>8322.79905935</v>
      </c>
      <c r="E246">
        <v>144</v>
      </c>
      <c r="F246">
        <v>2.88</v>
      </c>
      <c r="G246" t="s">
        <v>1144</v>
      </c>
      <c r="H246" t="s">
        <v>1145</v>
      </c>
      <c r="I246">
        <v>440</v>
      </c>
      <c r="J246" t="s">
        <v>90</v>
      </c>
      <c r="K246" t="s">
        <v>1146</v>
      </c>
      <c r="L246" t="s">
        <v>1147</v>
      </c>
      <c r="M246">
        <v>315593.55585</v>
      </c>
      <c r="N246">
        <v>1262.3742234</v>
      </c>
      <c r="O246">
        <v>371308.12515</v>
      </c>
      <c r="P246">
        <v>1193639.06691</v>
      </c>
      <c r="Q246">
        <v>0.8499505787073941</v>
      </c>
      <c r="R246">
        <v>7073.96787696</v>
      </c>
      <c r="S246" t="s">
        <v>118</v>
      </c>
      <c r="T246" t="s">
        <v>93</v>
      </c>
      <c r="U246">
        <v>10</v>
      </c>
      <c r="V246" t="s">
        <v>94</v>
      </c>
      <c r="W246" t="s">
        <v>95</v>
      </c>
      <c r="X246" t="s">
        <v>96</v>
      </c>
      <c r="Y246" s="23" t="s">
        <v>97</v>
      </c>
      <c r="AA246">
        <v>7</v>
      </c>
      <c r="AB246" t="s">
        <v>1148</v>
      </c>
      <c r="AC246" t="s">
        <v>1056</v>
      </c>
      <c r="AD246" s="2">
        <v>1</v>
      </c>
      <c r="AE246" s="2" t="s">
        <v>70</v>
      </c>
      <c r="AF246" t="str">
        <f>_xlfn.CONCAT(FINI_grouping_for_wheel[[#This Row],[SEFI/Plant]],"/",IF(FINI_grouping_for_wheel[[#This Row],[RESET recipe combination]]&lt;&gt;"",FINI_grouping_for_wheel[[#This Row],[RESET recipe combination]],FINI_grouping_for_wheel[[#This Row],[Recipe Combination]]),"/",FINI_grouping_for_wheel[[#This Row],[Subgroup]])</f>
        <v>4883656/THDP/x/1</v>
      </c>
      <c r="AG2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46">
        <f>_xlfn.LET(_xlpm.pct, FINI_grouping_for_wheel[[#This Row],[% forecast within subgroup]], _xlpm.lote, FINI_grouping_for_wheel[[#This Row],[Lot size considered]], _xlpm.pct*_xlpm.lote)</f>
        <v>8322.79905935</v>
      </c>
      <c r="AI246" cm="1">
        <f t="array" aca="1" ref="AI246" ca="1">IFERROR(INDIRECT("FINI_grouping_for_wheel[@["&amp;FINI_grouping_for_wheel[[#This Row],[Selected PV]]&amp;"]]"),"")</f>
        <v>6</v>
      </c>
      <c r="AJ24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20.1</v>
      </c>
      <c r="AL246" s="4"/>
      <c r="AM24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v>
      </c>
      <c r="AN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4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46" t="str">
        <f>_xlfn.CONCAT(FINI_grouping_for_wheel[[#This Row],[Recipe Combination]],FINI_grouping_for_wheel[[#This Row],[Subgroup]])</f>
        <v>A1</v>
      </c>
    </row>
    <row r="247" spans="1:55" hidden="1">
      <c r="A247" t="s">
        <v>10</v>
      </c>
      <c r="B247">
        <v>4883656</v>
      </c>
      <c r="C247" t="s">
        <v>1052</v>
      </c>
      <c r="D247">
        <v>8322.79905935</v>
      </c>
      <c r="E247">
        <v>144</v>
      </c>
      <c r="F247">
        <v>2.88</v>
      </c>
      <c r="G247" t="s">
        <v>1149</v>
      </c>
      <c r="H247" t="s">
        <v>1150</v>
      </c>
      <c r="I247">
        <v>440</v>
      </c>
      <c r="J247" t="s">
        <v>90</v>
      </c>
      <c r="K247" t="s">
        <v>617</v>
      </c>
      <c r="L247" t="s">
        <v>618</v>
      </c>
      <c r="M247">
        <v>55714.5693</v>
      </c>
      <c r="N247">
        <v>222.8582772</v>
      </c>
      <c r="O247">
        <v>371308.12515</v>
      </c>
      <c r="P247">
        <v>1193639.06691</v>
      </c>
      <c r="Q247">
        <v>0.15004942129260593</v>
      </c>
      <c r="R247">
        <v>1248.83118239</v>
      </c>
      <c r="S247" t="s">
        <v>118</v>
      </c>
      <c r="T247" t="s">
        <v>93</v>
      </c>
      <c r="U247">
        <v>10</v>
      </c>
      <c r="V247" t="s">
        <v>94</v>
      </c>
      <c r="W247" t="s">
        <v>142</v>
      </c>
      <c r="X247" t="s">
        <v>96</v>
      </c>
      <c r="Y247" s="23" t="s">
        <v>97</v>
      </c>
      <c r="AA247">
        <v>37</v>
      </c>
      <c r="AB247" t="s">
        <v>1151</v>
      </c>
      <c r="AC247" t="s">
        <v>1056</v>
      </c>
      <c r="AD247" s="2">
        <v>5</v>
      </c>
      <c r="AE247" s="2" t="s">
        <v>70</v>
      </c>
      <c r="AF247" t="str">
        <f>_xlfn.CONCAT(FINI_grouping_for_wheel[[#This Row],[SEFI/Plant]],"/",IF(FINI_grouping_for_wheel[[#This Row],[RESET recipe combination]]&lt;&gt;"",FINI_grouping_for_wheel[[#This Row],[RESET recipe combination]],FINI_grouping_for_wheel[[#This Row],[Recipe Combination]]),"/",FINI_grouping_for_wheel[[#This Row],[Subgroup]])</f>
        <v>4883656/THDP/x/5</v>
      </c>
      <c r="AG2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0.6736329802462067</v>
      </c>
      <c r="AH247">
        <f>_xlfn.LET(_xlpm.pct, FINI_grouping_for_wheel[[#This Row],[% forecast within subgroup]], _xlpm.lote, FINI_grouping_for_wheel[[#This Row],[Lot size considered]], _xlpm.pct*_xlpm.lote)</f>
        <v>5606.511934340266</v>
      </c>
      <c r="AI247" cm="1">
        <f t="array" aca="1" ref="AI247" ca="1">IFERROR(INDIRECT("FINI_grouping_for_wheel[@["&amp;FINI_grouping_for_wheel[[#This Row],[Selected PV]]&amp;"]]"),"")</f>
        <v>23</v>
      </c>
      <c r="AJ24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13.5</v>
      </c>
      <c r="AL247" s="4"/>
      <c r="AM24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23</v>
      </c>
      <c r="AN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4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47" t="str">
        <f>_xlfn.CONCAT(FINI_grouping_for_wheel[[#This Row],[Recipe Combination]],FINI_grouping_for_wheel[[#This Row],[Subgroup]])</f>
        <v>A5</v>
      </c>
    </row>
    <row r="248" spans="1:55" hidden="1">
      <c r="A248" t="s">
        <v>10</v>
      </c>
      <c r="B248">
        <v>4883656</v>
      </c>
      <c r="C248" t="s">
        <v>1052</v>
      </c>
      <c r="D248">
        <v>8322.79905935</v>
      </c>
      <c r="E248">
        <v>144</v>
      </c>
      <c r="F248">
        <v>2.88</v>
      </c>
      <c r="G248" t="s">
        <v>1152</v>
      </c>
      <c r="H248" t="s">
        <v>1153</v>
      </c>
      <c r="I248">
        <v>360</v>
      </c>
      <c r="J248" t="s">
        <v>90</v>
      </c>
      <c r="K248" t="s">
        <v>1154</v>
      </c>
      <c r="L248" t="s">
        <v>1155</v>
      </c>
      <c r="M248">
        <v>124238.9907</v>
      </c>
      <c r="N248">
        <v>496.9559628</v>
      </c>
      <c r="O248">
        <v>124238.9907</v>
      </c>
      <c r="P248">
        <v>1193639.06691</v>
      </c>
      <c r="Q248">
        <v>1</v>
      </c>
      <c r="R248">
        <v>8322.79905935</v>
      </c>
      <c r="S248" t="s">
        <v>1156</v>
      </c>
      <c r="T248" t="s">
        <v>93</v>
      </c>
      <c r="U248">
        <v>10</v>
      </c>
      <c r="V248" t="s">
        <v>158</v>
      </c>
      <c r="W248" t="s">
        <v>159</v>
      </c>
      <c r="X248" t="s">
        <v>96</v>
      </c>
      <c r="Y248" s="23" t="s">
        <v>97</v>
      </c>
      <c r="AA248">
        <v>17</v>
      </c>
      <c r="AB248" t="s">
        <v>1157</v>
      </c>
      <c r="AC248" t="s">
        <v>1056</v>
      </c>
      <c r="AD248" s="2">
        <v>2</v>
      </c>
      <c r="AE248" s="2" t="s">
        <v>70</v>
      </c>
      <c r="AF248" t="str">
        <f>_xlfn.CONCAT(FINI_grouping_for_wheel[[#This Row],[SEFI/Plant]],"/",IF(FINI_grouping_for_wheel[[#This Row],[RESET recipe combination]]&lt;&gt;"",FINI_grouping_for_wheel[[#This Row],[RESET recipe combination]],FINI_grouping_for_wheel[[#This Row],[Recipe Combination]]),"/",FINI_grouping_for_wheel[[#This Row],[Subgroup]])</f>
        <v>4883656/THDP/x/2</v>
      </c>
      <c r="AG2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0.6949668874172186</v>
      </c>
      <c r="AH248">
        <f>_xlfn.LET(_xlpm.pct, FINI_grouping_for_wheel[[#This Row],[% forecast within subgroup]], _xlpm.lote, FINI_grouping_for_wheel[[#This Row],[Lot size considered]], _xlpm.pct*_xlpm.lote)</f>
        <v>5784.069756875424</v>
      </c>
      <c r="AI248" cm="1">
        <f t="array" aca="1" ref="AI248" ca="1">IFERROR(INDIRECT("FINI_grouping_for_wheel[@["&amp;FINI_grouping_for_wheel[[#This Row],[Selected PV]]&amp;"]]"),"")</f>
        <v>11</v>
      </c>
      <c r="AJ24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2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17.1</v>
      </c>
      <c r="AL248" s="4"/>
      <c r="AM24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4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48" t="str">
        <f>_xlfn.CONCAT(FINI_grouping_for_wheel[[#This Row],[Recipe Combination]],FINI_grouping_for_wheel[[#This Row],[Subgroup]])</f>
        <v>B2</v>
      </c>
    </row>
    <row r="249" spans="1:55" hidden="1">
      <c r="A249" t="s">
        <v>10</v>
      </c>
      <c r="B249">
        <v>4240512</v>
      </c>
      <c r="C249" t="s">
        <v>1158</v>
      </c>
      <c r="D249">
        <v>8583.29788041</v>
      </c>
      <c r="E249">
        <v>124</v>
      </c>
      <c r="F249">
        <v>2.48</v>
      </c>
      <c r="G249" t="s">
        <v>1159</v>
      </c>
      <c r="H249" t="s">
        <v>1160</v>
      </c>
      <c r="I249">
        <v>375</v>
      </c>
      <c r="J249" t="s">
        <v>90</v>
      </c>
      <c r="K249" t="s">
        <v>1161</v>
      </c>
      <c r="L249" t="s">
        <v>1162</v>
      </c>
      <c r="M249">
        <v>7069.096755</v>
      </c>
      <c r="N249">
        <v>28.27638702</v>
      </c>
      <c r="O249">
        <v>8097.9102</v>
      </c>
      <c r="P249">
        <v>1064071.3198</v>
      </c>
      <c r="Q249">
        <v>0.87295321637426904</v>
      </c>
      <c r="R249">
        <v>7492.8174918</v>
      </c>
      <c r="S249" t="s">
        <v>104</v>
      </c>
      <c r="T249" t="s">
        <v>93</v>
      </c>
      <c r="U249">
        <v>2.5</v>
      </c>
      <c r="V249" t="s">
        <v>105</v>
      </c>
      <c r="W249" t="s">
        <v>95</v>
      </c>
      <c r="X249" t="s">
        <v>106</v>
      </c>
      <c r="Y249" s="23" t="s">
        <v>107</v>
      </c>
      <c r="AA249">
        <v>304</v>
      </c>
      <c r="AB249" t="s">
        <v>1163</v>
      </c>
      <c r="AC249" t="s">
        <v>1164</v>
      </c>
      <c r="AD249" s="2">
        <v>7</v>
      </c>
      <c r="AE249" s="2" t="s">
        <v>70</v>
      </c>
      <c r="AF249" t="str">
        <f>_xlfn.CONCAT(FINI_grouping_for_wheel[[#This Row],[SEFI/Plant]],"/",IF(FINI_grouping_for_wheel[[#This Row],[RESET recipe combination]]&lt;&gt;"",FINI_grouping_for_wheel[[#This Row],[RESET recipe combination]],FINI_grouping_for_wheel[[#This Row],[Recipe Combination]]),"/",FINI_grouping_for_wheel[[#This Row],[Subgroup]])</f>
        <v>4240512/THDP/x/7</v>
      </c>
      <c r="AG2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0.5707321735805773</v>
      </c>
      <c r="AH249">
        <f>_xlfn.LET(_xlpm.pct, FINI_grouping_for_wheel[[#This Row],[% forecast within subgroup]], _xlpm.lote, FINI_grouping_for_wheel[[#This Row],[Lot size considered]], _xlpm.pct*_xlpm.lote)</f>
        <v>4898.764255775961</v>
      </c>
      <c r="AI249" cm="1">
        <f t="array" aca="1" ref="AI249" ca="1">IFERROR(INDIRECT("FINI_grouping_for_wheel[@["&amp;FINI_grouping_for_wheel[[#This Row],[Selected PV]]&amp;"]]"),"")</f>
        <v>152</v>
      </c>
      <c r="AJ24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13.5</v>
      </c>
      <c r="AL249" s="4"/>
      <c r="AM24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152</v>
      </c>
      <c r="AN24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281</v>
      </c>
      <c r="AO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4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49" t="str">
        <f>_xlfn.CONCAT(FINI_grouping_for_wheel[[#This Row],[Recipe Combination]],FINI_grouping_for_wheel[[#This Row],[Subgroup]])</f>
        <v>07</v>
      </c>
    </row>
    <row r="250" spans="1:55" hidden="1">
      <c r="A250" t="s">
        <v>10</v>
      </c>
      <c r="B250">
        <v>4240512</v>
      </c>
      <c r="C250" t="s">
        <v>1158</v>
      </c>
      <c r="D250">
        <v>8583.29788041</v>
      </c>
      <c r="E250">
        <v>124</v>
      </c>
      <c r="F250">
        <v>2.48</v>
      </c>
      <c r="G250" t="s">
        <v>1165</v>
      </c>
      <c r="H250" t="s">
        <v>1166</v>
      </c>
      <c r="I250">
        <v>213.75</v>
      </c>
      <c r="J250" t="s">
        <v>90</v>
      </c>
      <c r="K250" t="s">
        <v>602</v>
      </c>
      <c r="L250" t="s">
        <v>603</v>
      </c>
      <c r="M250">
        <v>1028.813445</v>
      </c>
      <c r="N250">
        <v>4.11525378</v>
      </c>
      <c r="O250">
        <v>8097.9102</v>
      </c>
      <c r="P250">
        <v>1064071.3198</v>
      </c>
      <c r="Q250">
        <v>0.12704678362573099</v>
      </c>
      <c r="R250">
        <v>1090.48038861</v>
      </c>
      <c r="S250" t="s">
        <v>104</v>
      </c>
      <c r="T250" t="s">
        <v>93</v>
      </c>
      <c r="U250">
        <v>2.5</v>
      </c>
      <c r="V250" t="s">
        <v>604</v>
      </c>
      <c r="W250" t="s">
        <v>142</v>
      </c>
      <c r="X250" t="s">
        <v>128</v>
      </c>
      <c r="Y250" s="23" t="s">
        <v>136</v>
      </c>
      <c r="AA250">
        <v>2086</v>
      </c>
      <c r="AB250" t="s">
        <v>1167</v>
      </c>
      <c r="AC250" t="s">
        <v>1164</v>
      </c>
      <c r="AD250" s="2">
        <v>9</v>
      </c>
      <c r="AE250" s="2" t="s">
        <v>70</v>
      </c>
      <c r="AF250" t="str">
        <f>_xlfn.CONCAT(FINI_grouping_for_wheel[[#This Row],[SEFI/Plant]],"/",IF(FINI_grouping_for_wheel[[#This Row],[RESET recipe combination]]&lt;&gt;"",FINI_grouping_for_wheel[[#This Row],[RESET recipe combination]],FINI_grouping_for_wheel[[#This Row],[Recipe Combination]]),"/",FINI_grouping_for_wheel[[#This Row],[Subgroup]])</f>
        <v>4240512/THDP/x/9</v>
      </c>
      <c r="AG2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0.07925939438161254</v>
      </c>
      <c r="AH250">
        <f>_xlfn.LET(_xlpm.pct, FINI_grouping_for_wheel[[#This Row],[% forecast within subgroup]], _xlpm.lote, FINI_grouping_for_wheel[[#This Row],[Lot size considered]], _xlpm.pct*_xlpm.lote)</f>
        <v>680.3069917982752</v>
      </c>
      <c r="AI250" cm="1">
        <f t="array" aca="1" ref="AI250" ca="1">IFERROR(INDIRECT("FINI_grouping_for_wheel[@["&amp;FINI_grouping_for_wheel[[#This Row],[Selected PV]]&amp;"]]"),"")</f>
        <v>145</v>
      </c>
      <c r="AJ25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3.3</v>
      </c>
      <c r="AL250" s="4"/>
      <c r="AM25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145</v>
      </c>
      <c r="AN25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268</v>
      </c>
      <c r="AO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5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50" t="str">
        <f>_xlfn.CONCAT(FINI_grouping_for_wheel[[#This Row],[Recipe Combination]],FINI_grouping_for_wheel[[#This Row],[Subgroup]])</f>
        <v>09</v>
      </c>
    </row>
    <row r="251" spans="1:55" hidden="1">
      <c r="A251" t="s">
        <v>10</v>
      </c>
      <c r="B251">
        <v>4240512</v>
      </c>
      <c r="C251" t="s">
        <v>1158</v>
      </c>
      <c r="D251">
        <v>8583.29788041</v>
      </c>
      <c r="E251">
        <v>124</v>
      </c>
      <c r="F251">
        <v>2.48</v>
      </c>
      <c r="G251" t="s">
        <v>1168</v>
      </c>
      <c r="H251" t="s">
        <v>1169</v>
      </c>
      <c r="J251" t="s">
        <v>90</v>
      </c>
      <c r="K251" t="s">
        <v>264</v>
      </c>
      <c r="L251" t="s">
        <v>265</v>
      </c>
      <c r="M251">
        <v>1015.79049</v>
      </c>
      <c r="N251">
        <v>4.06316196</v>
      </c>
      <c r="O251">
        <v>1015.79049</v>
      </c>
      <c r="P251">
        <v>1064071.3198</v>
      </c>
      <c r="Q251">
        <v>1</v>
      </c>
      <c r="R251">
        <v>8583.29788041</v>
      </c>
      <c r="S251" t="s">
        <v>266</v>
      </c>
      <c r="T251" t="s">
        <v>93</v>
      </c>
      <c r="U251">
        <v>2.5</v>
      </c>
      <c r="V251" t="s">
        <v>267</v>
      </c>
      <c r="W251" t="s">
        <v>142</v>
      </c>
      <c r="X251" t="s">
        <v>150</v>
      </c>
      <c r="Y251" s="23" t="s">
        <v>151</v>
      </c>
      <c r="AA251">
        <v>2112</v>
      </c>
      <c r="AB251" t="s">
        <v>1170</v>
      </c>
      <c r="AC251" t="s">
        <v>1164</v>
      </c>
      <c r="AD251" s="2">
        <v>5</v>
      </c>
      <c r="AE251" s="2" t="s">
        <v>70</v>
      </c>
      <c r="AF251" t="str">
        <f>_xlfn.CONCAT(FINI_grouping_for_wheel[[#This Row],[SEFI/Plant]],"/",IF(FINI_grouping_for_wheel[[#This Row],[RESET recipe combination]]&lt;&gt;"",FINI_grouping_for_wheel[[#This Row],[RESET recipe combination]],FINI_grouping_for_wheel[[#This Row],[Recipe Combination]]),"/",FINI_grouping_for_wheel[[#This Row],[Subgroup]])</f>
        <v>4240512/THDP/x/5</v>
      </c>
      <c r="AG2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0.04495206161261592</v>
      </c>
      <c r="AH251">
        <f>_xlfn.LET(_xlpm.pct, FINI_grouping_for_wheel[[#This Row],[% forecast within subgroup]], _xlpm.lote, FINI_grouping_for_wheel[[#This Row],[Lot size considered]], _xlpm.pct*_xlpm.lote)</f>
        <v>385.83693515962597</v>
      </c>
      <c r="AI251" cm="1">
        <f t="array" aca="1" ref="AI251" ca="1">IFERROR(INDIRECT("FINI_grouping_for_wheel[@["&amp;FINI_grouping_for_wheel[[#This Row],[Selected PV]]&amp;"]]"),"")</f>
        <v>83</v>
      </c>
      <c r="AJ25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5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251" s="4"/>
      <c r="AM25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83</v>
      </c>
      <c r="AN25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154</v>
      </c>
      <c r="AO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5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51" t="str">
        <f>_xlfn.CONCAT(FINI_grouping_for_wheel[[#This Row],[Recipe Combination]],FINI_grouping_for_wheel[[#This Row],[Subgroup]])</f>
        <v>15</v>
      </c>
    </row>
    <row r="252" spans="1:55" hidden="1">
      <c r="A252" t="s">
        <v>10</v>
      </c>
      <c r="B252">
        <v>4240512</v>
      </c>
      <c r="C252" t="s">
        <v>1158</v>
      </c>
      <c r="D252">
        <v>8583.29788041</v>
      </c>
      <c r="E252">
        <v>124</v>
      </c>
      <c r="F252">
        <v>2.48</v>
      </c>
      <c r="G252" t="s">
        <v>1171</v>
      </c>
      <c r="H252" t="s">
        <v>1172</v>
      </c>
      <c r="I252">
        <v>450</v>
      </c>
      <c r="J252" t="s">
        <v>90</v>
      </c>
      <c r="K252" t="s">
        <v>264</v>
      </c>
      <c r="L252" t="s">
        <v>265</v>
      </c>
      <c r="M252">
        <v>14643.720945</v>
      </c>
      <c r="N252">
        <v>58.57488378</v>
      </c>
      <c r="O252">
        <v>21581.404245</v>
      </c>
      <c r="P252">
        <v>1064071.3198</v>
      </c>
      <c r="Q252">
        <v>0.67853420374129136</v>
      </c>
      <c r="R252">
        <v>5824.06119275</v>
      </c>
      <c r="S252" t="s">
        <v>594</v>
      </c>
      <c r="T252" t="s">
        <v>93</v>
      </c>
      <c r="U252">
        <v>2.5</v>
      </c>
      <c r="V252" t="s">
        <v>267</v>
      </c>
      <c r="W252" t="s">
        <v>142</v>
      </c>
      <c r="X252" t="s">
        <v>150</v>
      </c>
      <c r="Y252" s="23" t="s">
        <v>151</v>
      </c>
      <c r="AA252">
        <v>147</v>
      </c>
      <c r="AB252" t="s">
        <v>1173</v>
      </c>
      <c r="AC252" t="s">
        <v>1164</v>
      </c>
      <c r="AD252" s="2">
        <v>5</v>
      </c>
      <c r="AE252" s="2" t="s">
        <v>70</v>
      </c>
      <c r="AF252" t="str">
        <f>_xlfn.CONCAT(FINI_grouping_for_wheel[[#This Row],[SEFI/Plant]],"/",IF(FINI_grouping_for_wheel[[#This Row],[RESET recipe combination]]&lt;&gt;"",FINI_grouping_for_wheel[[#This Row],[RESET recipe combination]],FINI_grouping_for_wheel[[#This Row],[Recipe Combination]]),"/",FINI_grouping_for_wheel[[#This Row],[Subgroup]])</f>
        <v>4240512/THDP/x/5</v>
      </c>
      <c r="AG2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0.6480326924084456</v>
      </c>
      <c r="AH252">
        <f>_xlfn.LET(_xlpm.pct, FINI_grouping_for_wheel[[#This Row],[% forecast within subgroup]], _xlpm.lote, FINI_grouping_for_wheel[[#This Row],[Lot size considered]], _xlpm.pct*_xlpm.lote)</f>
        <v>5562.257635185797</v>
      </c>
      <c r="AI252" cm="1">
        <f t="array" aca="1" ref="AI252" ca="1">IFERROR(INDIRECT("FINI_grouping_for_wheel[@["&amp;FINI_grouping_for_wheel[[#This Row],[Selected PV]]&amp;"]]"),"")</f>
        <v>83</v>
      </c>
      <c r="AJ25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12.8</v>
      </c>
      <c r="AL252" s="4"/>
      <c r="AM25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83</v>
      </c>
      <c r="AN25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154</v>
      </c>
      <c r="AO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5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52" t="str">
        <f>_xlfn.CONCAT(FINI_grouping_for_wheel[[#This Row],[Recipe Combination]],FINI_grouping_for_wheel[[#This Row],[Subgroup]])</f>
        <v>45</v>
      </c>
    </row>
    <row r="253" spans="1:55" hidden="1">
      <c r="A253" t="s">
        <v>10</v>
      </c>
      <c r="B253">
        <v>4240512</v>
      </c>
      <c r="C253" t="s">
        <v>1158</v>
      </c>
      <c r="D253">
        <v>8583.29788041</v>
      </c>
      <c r="E253">
        <v>124</v>
      </c>
      <c r="F253">
        <v>2.48</v>
      </c>
      <c r="G253" t="s">
        <v>1174</v>
      </c>
      <c r="H253" t="s">
        <v>1175</v>
      </c>
      <c r="I253">
        <v>480</v>
      </c>
      <c r="J253" t="s">
        <v>90</v>
      </c>
      <c r="K253" t="s">
        <v>515</v>
      </c>
      <c r="L253" t="s">
        <v>516</v>
      </c>
      <c r="M253">
        <v>6937.6833</v>
      </c>
      <c r="N253">
        <v>27.7507332</v>
      </c>
      <c r="O253">
        <v>21581.404245</v>
      </c>
      <c r="P253">
        <v>1064071.3198</v>
      </c>
      <c r="Q253">
        <v>0.32146579625870864</v>
      </c>
      <c r="R253">
        <v>2759.23668765</v>
      </c>
      <c r="S253" t="s">
        <v>594</v>
      </c>
      <c r="T253" t="s">
        <v>93</v>
      </c>
      <c r="U253">
        <v>5</v>
      </c>
      <c r="V253" t="s">
        <v>518</v>
      </c>
      <c r="W253" t="s">
        <v>142</v>
      </c>
      <c r="X253" t="s">
        <v>150</v>
      </c>
      <c r="Y253" s="23" t="s">
        <v>151</v>
      </c>
      <c r="AA253">
        <v>309</v>
      </c>
      <c r="AB253" t="s">
        <v>1176</v>
      </c>
      <c r="AC253" t="s">
        <v>1164</v>
      </c>
      <c r="AD253" s="2">
        <v>5</v>
      </c>
      <c r="AE253" s="2" t="s">
        <v>70</v>
      </c>
      <c r="AF253" t="str">
        <f>_xlfn.CONCAT(FINI_grouping_for_wheel[[#This Row],[SEFI/Plant]],"/",IF(FINI_grouping_for_wheel[[#This Row],[RESET recipe combination]]&lt;&gt;"",FINI_grouping_for_wheel[[#This Row],[RESET recipe combination]],FINI_grouping_for_wheel[[#This Row],[Recipe Combination]]),"/",FINI_grouping_for_wheel[[#This Row],[Subgroup]])</f>
        <v>4240512/THDP/x/5</v>
      </c>
      <c r="AG2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0.3070152459789386</v>
      </c>
      <c r="AH253">
        <f>_xlfn.LET(_xlpm.pct, FINI_grouping_for_wheel[[#This Row],[% forecast within subgroup]], _xlpm.lote, FINI_grouping_for_wheel[[#This Row],[Lot size considered]], _xlpm.pct*_xlpm.lote)</f>
        <v>2635.2033100645785</v>
      </c>
      <c r="AI253" cm="1">
        <f t="array" aca="1" ref="AI253" ca="1">IFERROR(INDIRECT("FINI_grouping_for_wheel[@["&amp;FINI_grouping_for_wheel[[#This Row],[Selected PV]]&amp;"]]"),"")</f>
        <v>83</v>
      </c>
      <c r="AJ25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5.7</v>
      </c>
      <c r="AL253" s="4"/>
      <c r="AM25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83</v>
      </c>
      <c r="AN25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154</v>
      </c>
      <c r="AO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5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53" t="str">
        <f>_xlfn.CONCAT(FINI_grouping_for_wheel[[#This Row],[Recipe Combination]],FINI_grouping_for_wheel[[#This Row],[Subgroup]])</f>
        <v>45</v>
      </c>
    </row>
    <row r="254" spans="1:55" hidden="1">
      <c r="A254" t="s">
        <v>10</v>
      </c>
      <c r="B254">
        <v>4240512</v>
      </c>
      <c r="C254" t="s">
        <v>1158</v>
      </c>
      <c r="D254">
        <v>8583.29788041</v>
      </c>
      <c r="E254">
        <v>124</v>
      </c>
      <c r="F254">
        <v>2.48</v>
      </c>
      <c r="G254" t="s">
        <v>1177</v>
      </c>
      <c r="H254" t="s">
        <v>1178</v>
      </c>
      <c r="I254">
        <v>315</v>
      </c>
      <c r="J254" t="s">
        <v>90</v>
      </c>
      <c r="K254" t="s">
        <v>140</v>
      </c>
      <c r="L254" t="s">
        <v>141</v>
      </c>
      <c r="M254">
        <v>4522.5171</v>
      </c>
      <c r="N254">
        <v>18.0900684</v>
      </c>
      <c r="O254">
        <v>4522.5171</v>
      </c>
      <c r="P254">
        <v>1064071.3198</v>
      </c>
      <c r="Q254">
        <v>1</v>
      </c>
      <c r="R254">
        <v>8583.29788041</v>
      </c>
      <c r="S254" t="s">
        <v>126</v>
      </c>
      <c r="T254" t="s">
        <v>93</v>
      </c>
      <c r="U254">
        <v>5</v>
      </c>
      <c r="V254" t="s">
        <v>135</v>
      </c>
      <c r="W254" t="s">
        <v>142</v>
      </c>
      <c r="X254" t="s">
        <v>128</v>
      </c>
      <c r="Y254" s="23" t="s">
        <v>136</v>
      </c>
      <c r="AA254">
        <v>474</v>
      </c>
      <c r="AB254" t="s">
        <v>1179</v>
      </c>
      <c r="AC254" t="s">
        <v>1164</v>
      </c>
      <c r="AD254" s="2">
        <v>9</v>
      </c>
      <c r="AE254" s="2" t="s">
        <v>70</v>
      </c>
      <c r="AF254" t="str">
        <f>_xlfn.CONCAT(FINI_grouping_for_wheel[[#This Row],[SEFI/Plant]],"/",IF(FINI_grouping_for_wheel[[#This Row],[RESET recipe combination]]&lt;&gt;"",FINI_grouping_for_wheel[[#This Row],[RESET recipe combination]],FINI_grouping_for_wheel[[#This Row],[Recipe Combination]]),"/",FINI_grouping_for_wheel[[#This Row],[Subgroup]])</f>
        <v>4240512/THDP/x/9</v>
      </c>
      <c r="AG2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0.3484129879605983</v>
      </c>
      <c r="AH254">
        <f>_xlfn.LET(_xlpm.pct, FINI_grouping_for_wheel[[#This Row],[% forecast within subgroup]], _xlpm.lote, FINI_grouping_for_wheel[[#This Row],[Lot size considered]], _xlpm.pct*_xlpm.lote)</f>
        <v>2990.532461069518</v>
      </c>
      <c r="AI254" cm="1">
        <f t="array" aca="1" ref="AI254" ca="1">IFERROR(INDIRECT("FINI_grouping_for_wheel[@["&amp;FINI_grouping_for_wheel[[#This Row],[Selected PV]]&amp;"]]"),"")</f>
        <v>145</v>
      </c>
      <c r="AJ25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9.8</v>
      </c>
      <c r="AL254" s="4"/>
      <c r="AM25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145</v>
      </c>
      <c r="AN25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268</v>
      </c>
      <c r="AO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5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54" t="str">
        <f>_xlfn.CONCAT(FINI_grouping_for_wheel[[#This Row],[Recipe Combination]],FINI_grouping_for_wheel[[#This Row],[Subgroup]])</f>
        <v>E9</v>
      </c>
    </row>
    <row r="255" spans="1:55" hidden="1">
      <c r="A255" t="s">
        <v>10</v>
      </c>
      <c r="B255">
        <v>4240512</v>
      </c>
      <c r="C255" t="s">
        <v>1158</v>
      </c>
      <c r="D255">
        <v>8583.29788041</v>
      </c>
      <c r="E255">
        <v>124</v>
      </c>
      <c r="F255">
        <v>2.48</v>
      </c>
      <c r="G255" t="s">
        <v>1180</v>
      </c>
      <c r="H255" t="s">
        <v>1181</v>
      </c>
      <c r="I255">
        <v>280</v>
      </c>
      <c r="J255" t="s">
        <v>90</v>
      </c>
      <c r="K255" t="s">
        <v>140</v>
      </c>
      <c r="L255" t="s">
        <v>141</v>
      </c>
      <c r="M255">
        <v>7429.003875</v>
      </c>
      <c r="N255">
        <v>29.7160155</v>
      </c>
      <c r="O255">
        <v>7429.003875</v>
      </c>
      <c r="P255">
        <v>1064071.3198</v>
      </c>
      <c r="Q255">
        <v>1</v>
      </c>
      <c r="R255">
        <v>8583.29788041</v>
      </c>
      <c r="S255" t="s">
        <v>905</v>
      </c>
      <c r="T255" t="s">
        <v>93</v>
      </c>
      <c r="U255">
        <v>5</v>
      </c>
      <c r="V255" t="s">
        <v>135</v>
      </c>
      <c r="W255" t="s">
        <v>142</v>
      </c>
      <c r="X255" t="s">
        <v>128</v>
      </c>
      <c r="Y255" s="23" t="s">
        <v>136</v>
      </c>
      <c r="AA255">
        <v>289</v>
      </c>
      <c r="AB255" t="s">
        <v>1182</v>
      </c>
      <c r="AC255" t="s">
        <v>1164</v>
      </c>
      <c r="AD255" s="2">
        <v>9</v>
      </c>
      <c r="AE255" s="2" t="s">
        <v>70</v>
      </c>
      <c r="AF255" t="str">
        <f>_xlfn.CONCAT(FINI_grouping_for_wheel[[#This Row],[SEFI/Plant]],"/",IF(FINI_grouping_for_wheel[[#This Row],[RESET recipe combination]]&lt;&gt;"",FINI_grouping_for_wheel[[#This Row],[RESET recipe combination]],FINI_grouping_for_wheel[[#This Row],[Recipe Combination]]),"/",FINI_grouping_for_wheel[[#This Row],[Subgroup]])</f>
        <v>4240512/THDP/x/9</v>
      </c>
      <c r="AG2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0.5723276176577891</v>
      </c>
      <c r="AH255">
        <f>_xlfn.LET(_xlpm.pct, FINI_grouping_for_wheel[[#This Row],[% forecast within subgroup]], _xlpm.lote, FINI_grouping_for_wheel[[#This Row],[Lot size considered]], _xlpm.pct*_xlpm.lote)</f>
        <v>4912.458427542206</v>
      </c>
      <c r="AI255" cm="1">
        <f t="array" aca="1" ref="AI255" ca="1">IFERROR(INDIRECT("FINI_grouping_for_wheel[@["&amp;FINI_grouping_for_wheel[[#This Row],[Selected PV]]&amp;"]]"),"")</f>
        <v>145</v>
      </c>
      <c r="AJ25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18.1</v>
      </c>
      <c r="AL255" s="4"/>
      <c r="AM25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145</v>
      </c>
      <c r="AN25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268</v>
      </c>
      <c r="AO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5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55" t="str">
        <f>_xlfn.CONCAT(FINI_grouping_for_wheel[[#This Row],[Recipe Combination]],FINI_grouping_for_wheel[[#This Row],[Subgroup]])</f>
        <v>F9</v>
      </c>
    </row>
    <row r="256" spans="1:55" hidden="1">
      <c r="A256" t="s">
        <v>10</v>
      </c>
      <c r="B256">
        <v>4240512</v>
      </c>
      <c r="C256" t="s">
        <v>1158</v>
      </c>
      <c r="D256">
        <v>8583.29788041</v>
      </c>
      <c r="E256">
        <v>124</v>
      </c>
      <c r="F256">
        <v>2.48</v>
      </c>
      <c r="G256" t="s">
        <v>1183</v>
      </c>
      <c r="H256" t="s">
        <v>1184</v>
      </c>
      <c r="I256">
        <v>396</v>
      </c>
      <c r="J256" t="s">
        <v>90</v>
      </c>
      <c r="K256" t="s">
        <v>912</v>
      </c>
      <c r="L256" t="s">
        <v>913</v>
      </c>
      <c r="M256">
        <v>3777.840855</v>
      </c>
      <c r="N256">
        <v>15.11136342</v>
      </c>
      <c r="O256">
        <v>3777.840855</v>
      </c>
      <c r="P256">
        <v>1064071.3198</v>
      </c>
      <c r="Q256">
        <v>1</v>
      </c>
      <c r="R256">
        <v>8583.29788041</v>
      </c>
      <c r="S256" t="s">
        <v>914</v>
      </c>
      <c r="T256" t="s">
        <v>93</v>
      </c>
      <c r="U256">
        <v>1</v>
      </c>
      <c r="V256" t="s">
        <v>505</v>
      </c>
      <c r="W256" t="s">
        <v>142</v>
      </c>
      <c r="X256" t="s">
        <v>150</v>
      </c>
      <c r="Y256" s="23" t="s">
        <v>151</v>
      </c>
      <c r="AA256">
        <v>568</v>
      </c>
      <c r="AB256" t="s">
        <v>1185</v>
      </c>
      <c r="AC256" t="s">
        <v>1164</v>
      </c>
      <c r="AD256" s="2">
        <v>4</v>
      </c>
      <c r="AE256" s="2" t="s">
        <v>70</v>
      </c>
      <c r="AF256" t="str">
        <f>_xlfn.CONCAT(FINI_grouping_for_wheel[[#This Row],[SEFI/Plant]],"/",IF(FINI_grouping_for_wheel[[#This Row],[RESET recipe combination]]&lt;&gt;"",FINI_grouping_for_wheel[[#This Row],[RESET recipe combination]],FINI_grouping_for_wheel[[#This Row],[Recipe Combination]]),"/",FINI_grouping_for_wheel[[#This Row],[Subgroup]])</f>
        <v>4240512/THDP/x/4</v>
      </c>
      <c r="AG2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0.05682182413903628</v>
      </c>
      <c r="AH256">
        <f>_xlfn.LET(_xlpm.pct, FINI_grouping_for_wheel[[#This Row],[% forecast within subgroup]], _xlpm.lote, FINI_grouping_for_wheel[[#This Row],[Lot size considered]], _xlpm.pct*_xlpm.lote)</f>
        <v>487.7186426936199</v>
      </c>
      <c r="AI256" cm="1">
        <f t="array" aca="1" ref="AI256" ca="1">IFERROR(INDIRECT("FINI_grouping_for_wheel[@["&amp;FINI_grouping_for_wheel[[#This Row],[Selected PV]]&amp;"]]"),"")</f>
        <v>28</v>
      </c>
      <c r="AJ25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v>
      </c>
      <c r="AL256" s="4"/>
      <c r="AM25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v>
      </c>
      <c r="AN25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52</v>
      </c>
      <c r="AO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5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56" t="str">
        <f>_xlfn.CONCAT(FINI_grouping_for_wheel[[#This Row],[Recipe Combination]],FINI_grouping_for_wheel[[#This Row],[Subgroup]])</f>
        <v>G4</v>
      </c>
    </row>
    <row r="257" spans="1:55" hidden="1">
      <c r="A257" t="s">
        <v>10</v>
      </c>
      <c r="B257">
        <v>4240512</v>
      </c>
      <c r="C257" t="s">
        <v>1158</v>
      </c>
      <c r="D257">
        <v>8583.29788041</v>
      </c>
      <c r="E257">
        <v>124</v>
      </c>
      <c r="F257">
        <v>2.48</v>
      </c>
      <c r="G257" t="s">
        <v>1186</v>
      </c>
      <c r="H257" t="s">
        <v>1187</v>
      </c>
      <c r="I257">
        <v>336</v>
      </c>
      <c r="J257" t="s">
        <v>90</v>
      </c>
      <c r="K257" t="s">
        <v>312</v>
      </c>
      <c r="L257" t="s">
        <v>313</v>
      </c>
      <c r="M257">
        <v>62707.896135</v>
      </c>
      <c r="N257">
        <v>250.83158454</v>
      </c>
      <c r="O257">
        <v>62707.896135</v>
      </c>
      <c r="P257">
        <v>1064071.3198</v>
      </c>
      <c r="Q257">
        <v>1</v>
      </c>
      <c r="R257">
        <v>8583.29788041</v>
      </c>
      <c r="S257" t="s">
        <v>307</v>
      </c>
      <c r="T257" t="s">
        <v>93</v>
      </c>
      <c r="U257">
        <v>1</v>
      </c>
      <c r="V257" t="s">
        <v>315</v>
      </c>
      <c r="W257" t="s">
        <v>142</v>
      </c>
      <c r="X257" t="s">
        <v>150</v>
      </c>
      <c r="Y257" s="23" t="s">
        <v>151</v>
      </c>
      <c r="AA257">
        <v>34</v>
      </c>
      <c r="AB257" t="s">
        <v>1188</v>
      </c>
      <c r="AC257" t="s">
        <v>1164</v>
      </c>
      <c r="AD257" s="2">
        <v>4</v>
      </c>
      <c r="AE257" s="2" t="s">
        <v>70</v>
      </c>
      <c r="AF257" t="str">
        <f>_xlfn.CONCAT(FINI_grouping_for_wheel[[#This Row],[SEFI/Plant]],"/",IF(FINI_grouping_for_wheel[[#This Row],[RESET recipe combination]]&lt;&gt;"",FINI_grouping_for_wheel[[#This Row],[RESET recipe combination]],FINI_grouping_for_wheel[[#This Row],[Recipe Combination]]),"/",FINI_grouping_for_wheel[[#This Row],[Subgroup]])</f>
        <v>4240512/THDP/x/4</v>
      </c>
      <c r="AG2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0.9431781758609636</v>
      </c>
      <c r="AH257">
        <f>_xlfn.LET(_xlpm.pct, FINI_grouping_for_wheel[[#This Row],[% forecast within subgroup]], _xlpm.lote, FINI_grouping_for_wheel[[#This Row],[Lot size considered]], _xlpm.pct*_xlpm.lote)</f>
        <v>8095.57923771638</v>
      </c>
      <c r="AI257" cm="1">
        <f t="array" aca="1" ref="AI257" ca="1">IFERROR(INDIRECT("FINI_grouping_for_wheel[@["&amp;FINI_grouping_for_wheel[[#This Row],[Selected PV]]&amp;"]]"),"")</f>
        <v>28</v>
      </c>
      <c r="AJ25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24.9</v>
      </c>
      <c r="AL257" s="4"/>
      <c r="AM25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v>
      </c>
      <c r="AN25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52</v>
      </c>
      <c r="AO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5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57" t="str">
        <f>_xlfn.CONCAT(FINI_grouping_for_wheel[[#This Row],[Recipe Combination]],FINI_grouping_for_wheel[[#This Row],[Subgroup]])</f>
        <v>H4</v>
      </c>
    </row>
    <row r="258" spans="1:55" hidden="1">
      <c r="A258" t="s">
        <v>10</v>
      </c>
      <c r="B258">
        <v>4240512</v>
      </c>
      <c r="C258" t="s">
        <v>1158</v>
      </c>
      <c r="D258">
        <v>8583.29788041</v>
      </c>
      <c r="E258">
        <v>124</v>
      </c>
      <c r="F258">
        <v>2.48</v>
      </c>
      <c r="G258" t="s">
        <v>1189</v>
      </c>
      <c r="H258" t="s">
        <v>1190</v>
      </c>
      <c r="I258">
        <v>360</v>
      </c>
      <c r="J258" t="s">
        <v>90</v>
      </c>
      <c r="K258" t="s">
        <v>1191</v>
      </c>
      <c r="L258" t="s">
        <v>1192</v>
      </c>
      <c r="M258">
        <v>6546.99465</v>
      </c>
      <c r="N258">
        <v>26.1879786</v>
      </c>
      <c r="O258">
        <v>6546.99465</v>
      </c>
      <c r="P258">
        <v>1064071.3198</v>
      </c>
      <c r="Q258">
        <v>1</v>
      </c>
      <c r="R258">
        <v>8583.29788041</v>
      </c>
      <c r="S258" t="s">
        <v>157</v>
      </c>
      <c r="T258" t="s">
        <v>93</v>
      </c>
      <c r="U258">
        <v>10</v>
      </c>
      <c r="V258" t="s">
        <v>1193</v>
      </c>
      <c r="W258" t="s">
        <v>159</v>
      </c>
      <c r="X258" t="s">
        <v>96</v>
      </c>
      <c r="Y258" s="23" t="s">
        <v>1194</v>
      </c>
      <c r="AA258">
        <v>328</v>
      </c>
      <c r="AB258" t="s">
        <v>1195</v>
      </c>
      <c r="AC258" t="s">
        <v>1164</v>
      </c>
      <c r="AD258" s="2">
        <v>8</v>
      </c>
      <c r="AE258" s="2" t="s">
        <v>70</v>
      </c>
      <c r="AF258" t="str">
        <f>_xlfn.CONCAT(FINI_grouping_for_wheel[[#This Row],[SEFI/Plant]],"/",IF(FINI_grouping_for_wheel[[#This Row],[RESET recipe combination]]&lt;&gt;"",FINI_grouping_for_wheel[[#This Row],[RESET recipe combination]],FINI_grouping_for_wheel[[#This Row],[Recipe Combination]]),"/",FINI_grouping_for_wheel[[#This Row],[Subgroup]])</f>
        <v>4240512/THDP/x/8</v>
      </c>
      <c r="AG2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0.6960352422907489</v>
      </c>
      <c r="AH258">
        <f>_xlfn.LET(_xlpm.pct, FINI_grouping_for_wheel[[#This Row],[% forecast within subgroup]], _xlpm.lote, FINI_grouping_for_wheel[[#This Row],[Lot size considered]], _xlpm.pct*_xlpm.lote)</f>
        <v>5974.277819844846</v>
      </c>
      <c r="AI258" cm="1">
        <f t="array" aca="1" ref="AI258" ca="1">IFERROR(INDIRECT("FINI_grouping_for_wheel[@["&amp;FINI_grouping_for_wheel[[#This Row],[Selected PV]]&amp;"]]"),"")</f>
        <v>201</v>
      </c>
      <c r="AJ25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17.2</v>
      </c>
      <c r="AL258" s="4"/>
      <c r="AM25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201</v>
      </c>
      <c r="AN25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370</v>
      </c>
      <c r="AO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5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58" t="str">
        <f>_xlfn.CONCAT(FINI_grouping_for_wheel[[#This Row],[Recipe Combination]],FINI_grouping_for_wheel[[#This Row],[Subgroup]])</f>
        <v>M8</v>
      </c>
    </row>
    <row r="259" spans="1:55" hidden="1">
      <c r="A259" t="s">
        <v>10</v>
      </c>
      <c r="B259">
        <v>4240512</v>
      </c>
      <c r="C259" t="s">
        <v>1158</v>
      </c>
      <c r="D259">
        <v>8583.29788041</v>
      </c>
      <c r="E259">
        <v>124</v>
      </c>
      <c r="F259">
        <v>2.48</v>
      </c>
      <c r="G259" t="s">
        <v>1196</v>
      </c>
      <c r="H259" t="s">
        <v>1197</v>
      </c>
      <c r="I259">
        <v>360</v>
      </c>
      <c r="J259" t="s">
        <v>90</v>
      </c>
      <c r="K259" t="s">
        <v>1198</v>
      </c>
      <c r="L259" t="s">
        <v>1199</v>
      </c>
      <c r="M259">
        <v>323943.637815</v>
      </c>
      <c r="N259">
        <v>1295.77455126</v>
      </c>
      <c r="O259">
        <v>323943.637815</v>
      </c>
      <c r="P259">
        <v>1064071.3198</v>
      </c>
      <c r="Q259">
        <v>1</v>
      </c>
      <c r="R259">
        <v>8583.29788041</v>
      </c>
      <c r="S259" t="s">
        <v>165</v>
      </c>
      <c r="T259" t="s">
        <v>93</v>
      </c>
      <c r="U259">
        <v>2.5</v>
      </c>
      <c r="V259" t="s">
        <v>166</v>
      </c>
      <c r="W259" t="s">
        <v>95</v>
      </c>
      <c r="X259" t="s">
        <v>96</v>
      </c>
      <c r="Y259" s="23" t="s">
        <v>167</v>
      </c>
      <c r="AA259">
        <v>7</v>
      </c>
      <c r="AB259" t="s">
        <v>1200</v>
      </c>
      <c r="AC259" t="s">
        <v>1164</v>
      </c>
      <c r="AD259" s="2">
        <v>2</v>
      </c>
      <c r="AE259" s="2" t="s">
        <v>70</v>
      </c>
      <c r="AF259" t="str">
        <f>_xlfn.CONCAT(FINI_grouping_for_wheel[[#This Row],[SEFI/Plant]],"/",IF(FINI_grouping_for_wheel[[#This Row],[RESET recipe combination]]&lt;&gt;"",FINI_grouping_for_wheel[[#This Row],[RESET recipe combination]],FINI_grouping_for_wheel[[#This Row],[Recipe Combination]]),"/",FINI_grouping_for_wheel[[#This Row],[Subgroup]])</f>
        <v>4240512/THDP/x/2</v>
      </c>
      <c r="AG2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59">
        <f>_xlfn.LET(_xlpm.pct, FINI_grouping_for_wheel[[#This Row],[% forecast within subgroup]], _xlpm.lote, FINI_grouping_for_wheel[[#This Row],[Lot size considered]], _xlpm.pct*_xlpm.lote)</f>
        <v>8583.29788041</v>
      </c>
      <c r="AI259" cm="1">
        <f t="array" aca="1" ref="AI259" ca="1">IFERROR(INDIRECT("FINI_grouping_for_wheel[@["&amp;FINI_grouping_for_wheel[[#This Row],[Selected PV]]&amp;"]]"),"")</f>
        <v>6</v>
      </c>
      <c r="AJ25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24.7</v>
      </c>
      <c r="AL259" s="4"/>
      <c r="AM25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v>
      </c>
      <c r="AN25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11</v>
      </c>
      <c r="AO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5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59" t="str">
        <f>_xlfn.CONCAT(FINI_grouping_for_wheel[[#This Row],[Recipe Combination]],FINI_grouping_for_wheel[[#This Row],[Subgroup]])</f>
        <v>N2</v>
      </c>
    </row>
    <row r="260" spans="1:55" hidden="1">
      <c r="A260" t="s">
        <v>10</v>
      </c>
      <c r="B260">
        <v>4240512</v>
      </c>
      <c r="C260" t="s">
        <v>1158</v>
      </c>
      <c r="D260">
        <v>8583.29788041</v>
      </c>
      <c r="E260">
        <v>124</v>
      </c>
      <c r="F260">
        <v>2.48</v>
      </c>
      <c r="G260" t="s">
        <v>1201</v>
      </c>
      <c r="H260" t="s">
        <v>1202</v>
      </c>
      <c r="I260">
        <v>300</v>
      </c>
      <c r="J260" t="s">
        <v>90</v>
      </c>
      <c r="K260" t="s">
        <v>440</v>
      </c>
      <c r="L260" t="s">
        <v>441</v>
      </c>
      <c r="M260">
        <v>2859.130575</v>
      </c>
      <c r="N260">
        <v>11.4365223</v>
      </c>
      <c r="O260">
        <v>2859.130575</v>
      </c>
      <c r="P260">
        <v>1064071.3198</v>
      </c>
      <c r="Q260">
        <v>1</v>
      </c>
      <c r="R260">
        <v>8583.29788041</v>
      </c>
      <c r="S260" t="s">
        <v>173</v>
      </c>
      <c r="T260" t="s">
        <v>93</v>
      </c>
      <c r="U260">
        <v>5</v>
      </c>
      <c r="V260" t="s">
        <v>119</v>
      </c>
      <c r="W260" t="s">
        <v>95</v>
      </c>
      <c r="X260" t="s">
        <v>96</v>
      </c>
      <c r="Y260" s="23" t="s">
        <v>120</v>
      </c>
      <c r="AA260">
        <v>751</v>
      </c>
      <c r="AB260" t="s">
        <v>1203</v>
      </c>
      <c r="AC260" t="s">
        <v>1164</v>
      </c>
      <c r="AD260" s="2">
        <v>8</v>
      </c>
      <c r="AE260" s="2" t="s">
        <v>70</v>
      </c>
      <c r="AF260" t="str">
        <f>_xlfn.CONCAT(FINI_grouping_for_wheel[[#This Row],[SEFI/Plant]],"/",IF(FINI_grouping_for_wheel[[#This Row],[RESET recipe combination]]&lt;&gt;"",FINI_grouping_for_wheel[[#This Row],[RESET recipe combination]],FINI_grouping_for_wheel[[#This Row],[Recipe Combination]]),"/",FINI_grouping_for_wheel[[#This Row],[Subgroup]])</f>
        <v>4240512/THDP/x/8</v>
      </c>
      <c r="AG2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0.30396475770925113</v>
      </c>
      <c r="AH260">
        <f>_xlfn.LET(_xlpm.pct, FINI_grouping_for_wheel[[#This Row],[% forecast within subgroup]], _xlpm.lote, FINI_grouping_for_wheel[[#This Row],[Lot size considered]], _xlpm.pct*_xlpm.lote)</f>
        <v>2609.0200605651544</v>
      </c>
      <c r="AI260" cm="1">
        <f t="array" aca="1" ref="AI260" ca="1">IFERROR(INDIRECT("FINI_grouping_for_wheel[@["&amp;FINI_grouping_for_wheel[[#This Row],[Selected PV]]&amp;"]]"),"")</f>
        <v>201</v>
      </c>
      <c r="AJ26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v>
      </c>
      <c r="AL260" s="4"/>
      <c r="AM26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201</v>
      </c>
      <c r="AN26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370</v>
      </c>
      <c r="AO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6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60" t="str">
        <f>_xlfn.CONCAT(FINI_grouping_for_wheel[[#This Row],[Recipe Combination]],FINI_grouping_for_wheel[[#This Row],[Subgroup]])</f>
        <v>P8</v>
      </c>
    </row>
    <row r="261" spans="1:55" hidden="1">
      <c r="A261" t="s">
        <v>10</v>
      </c>
      <c r="B261">
        <v>4240512</v>
      </c>
      <c r="C261" t="s">
        <v>1158</v>
      </c>
      <c r="D261">
        <v>8583.29788041</v>
      </c>
      <c r="E261">
        <v>124</v>
      </c>
      <c r="F261">
        <v>2.48</v>
      </c>
      <c r="G261" t="s">
        <v>1204</v>
      </c>
      <c r="H261" t="s">
        <v>1205</v>
      </c>
      <c r="I261">
        <v>320</v>
      </c>
      <c r="J261" t="s">
        <v>90</v>
      </c>
      <c r="K261" t="s">
        <v>1206</v>
      </c>
      <c r="L261" t="s">
        <v>1207</v>
      </c>
      <c r="M261">
        <v>10027.67535</v>
      </c>
      <c r="N261">
        <v>40.1107014</v>
      </c>
      <c r="O261">
        <v>25264.5327</v>
      </c>
      <c r="P261">
        <v>1064071.3198</v>
      </c>
      <c r="Q261">
        <v>0.39690721649484534</v>
      </c>
      <c r="R261">
        <v>3406.77287006</v>
      </c>
      <c r="S261" t="s">
        <v>195</v>
      </c>
      <c r="T261" t="s">
        <v>93</v>
      </c>
      <c r="U261">
        <v>5</v>
      </c>
      <c r="V261" t="s">
        <v>657</v>
      </c>
      <c r="W261" t="s">
        <v>159</v>
      </c>
      <c r="X261" t="s">
        <v>106</v>
      </c>
      <c r="Y261" s="23" t="s">
        <v>107</v>
      </c>
      <c r="AA261">
        <v>214</v>
      </c>
      <c r="AB261" t="s">
        <v>1208</v>
      </c>
      <c r="AC261" t="s">
        <v>1164</v>
      </c>
      <c r="AD261" s="2">
        <v>6</v>
      </c>
      <c r="AE261" s="2" t="s">
        <v>70</v>
      </c>
      <c r="AF261" t="str">
        <f>_xlfn.CONCAT(FINI_grouping_for_wheel[[#This Row],[SEFI/Plant]],"/",IF(FINI_grouping_for_wheel[[#This Row],[RESET recipe combination]]&lt;&gt;"",FINI_grouping_for_wheel[[#This Row],[RESET recipe combination]],FINI_grouping_for_wheel[[#This Row],[Recipe Combination]]),"/",FINI_grouping_for_wheel[[#This Row],[Subgroup]])</f>
        <v>4240512/THDP/x/6</v>
      </c>
      <c r="AG2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0.3147528799702713</v>
      </c>
      <c r="AH261">
        <f>_xlfn.LET(_xlpm.pct, FINI_grouping_for_wheel[[#This Row],[% forecast within subgroup]], _xlpm.lote, FINI_grouping_for_wheel[[#This Row],[Lot size considered]], _xlpm.pct*_xlpm.lote)</f>
        <v>2701.6177275017726</v>
      </c>
      <c r="AI261" cm="1">
        <f t="array" aca="1" ref="AI261" ca="1">IFERROR(INDIRECT("FINI_grouping_for_wheel[@["&amp;FINI_grouping_for_wheel[[#This Row],[Selected PV]]&amp;"]]"),"")</f>
        <v>59</v>
      </c>
      <c r="AJ26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8.7</v>
      </c>
      <c r="AL261" s="4"/>
      <c r="AM26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59</v>
      </c>
      <c r="AN26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109</v>
      </c>
      <c r="AO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6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61" t="str">
        <f>_xlfn.CONCAT(FINI_grouping_for_wheel[[#This Row],[Recipe Combination]],FINI_grouping_for_wheel[[#This Row],[Subgroup]])</f>
        <v>S6</v>
      </c>
    </row>
    <row r="262" spans="1:55" hidden="1">
      <c r="A262" t="s">
        <v>10</v>
      </c>
      <c r="B262">
        <v>4240512</v>
      </c>
      <c r="C262" t="s">
        <v>1158</v>
      </c>
      <c r="D262">
        <v>8583.29788041</v>
      </c>
      <c r="E262">
        <v>124</v>
      </c>
      <c r="F262">
        <v>2.48</v>
      </c>
      <c r="G262" t="s">
        <v>1209</v>
      </c>
      <c r="H262" t="s">
        <v>1210</v>
      </c>
      <c r="I262">
        <v>240</v>
      </c>
      <c r="J262" t="s">
        <v>90</v>
      </c>
      <c r="K262" t="s">
        <v>1211</v>
      </c>
      <c r="L262" t="s">
        <v>1212</v>
      </c>
      <c r="M262">
        <v>15236.85735</v>
      </c>
      <c r="N262">
        <v>60.9474294</v>
      </c>
      <c r="O262">
        <v>25264.5327</v>
      </c>
      <c r="P262">
        <v>1064071.3198</v>
      </c>
      <c r="Q262">
        <v>0.60309278350515461</v>
      </c>
      <c r="R262">
        <v>5176.52501035</v>
      </c>
      <c r="S262" t="s">
        <v>195</v>
      </c>
      <c r="T262" t="s">
        <v>93</v>
      </c>
      <c r="U262">
        <v>5</v>
      </c>
      <c r="V262" t="s">
        <v>196</v>
      </c>
      <c r="W262" t="s">
        <v>95</v>
      </c>
      <c r="X262" t="s">
        <v>106</v>
      </c>
      <c r="Y262" s="23" t="s">
        <v>107</v>
      </c>
      <c r="AA262">
        <v>141</v>
      </c>
      <c r="AB262" t="s">
        <v>1213</v>
      </c>
      <c r="AC262" t="s">
        <v>1164</v>
      </c>
      <c r="AD262" s="2">
        <v>6</v>
      </c>
      <c r="AE262" s="2" t="s">
        <v>70</v>
      </c>
      <c r="AF262" t="str">
        <f>_xlfn.CONCAT(FINI_grouping_for_wheel[[#This Row],[SEFI/Plant]],"/",IF(FINI_grouping_for_wheel[[#This Row],[RESET recipe combination]]&lt;&gt;"",FINI_grouping_for_wheel[[#This Row],[RESET recipe combination]],FINI_grouping_for_wheel[[#This Row],[Recipe Combination]]),"/",FINI_grouping_for_wheel[[#This Row],[Subgroup]])</f>
        <v>4240512/THDP/x/6</v>
      </c>
      <c r="AG2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0.4782608695652174</v>
      </c>
      <c r="AH262">
        <f>_xlfn.LET(_xlpm.pct, FINI_grouping_for_wheel[[#This Row],[% forecast within subgroup]], _xlpm.lote, FINI_grouping_for_wheel[[#This Row],[Lot size considered]], _xlpm.pct*_xlpm.lote)</f>
        <v>4105.055508022174</v>
      </c>
      <c r="AI262" cm="1">
        <f t="array" aca="1" ref="AI262" ca="1">IFERROR(INDIRECT("FINI_grouping_for_wheel[@["&amp;FINI_grouping_for_wheel[[#This Row],[Selected PV]]&amp;"]]"),"")</f>
        <v>59</v>
      </c>
      <c r="AJ26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17.7</v>
      </c>
      <c r="AL262" s="4"/>
      <c r="AM26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59</v>
      </c>
      <c r="AN26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109</v>
      </c>
      <c r="AO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6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62" t="str">
        <f>_xlfn.CONCAT(FINI_grouping_for_wheel[[#This Row],[Recipe Combination]],FINI_grouping_for_wheel[[#This Row],[Subgroup]])</f>
        <v>S6</v>
      </c>
    </row>
    <row r="263" spans="1:55" hidden="1">
      <c r="A263" t="s">
        <v>10</v>
      </c>
      <c r="B263">
        <v>4240512</v>
      </c>
      <c r="C263" t="s">
        <v>1158</v>
      </c>
      <c r="D263">
        <v>8583.29788041</v>
      </c>
      <c r="E263">
        <v>124</v>
      </c>
      <c r="F263">
        <v>2.48</v>
      </c>
      <c r="G263" t="s">
        <v>1214</v>
      </c>
      <c r="H263" t="s">
        <v>1215</v>
      </c>
      <c r="I263">
        <v>375</v>
      </c>
      <c r="J263" t="s">
        <v>90</v>
      </c>
      <c r="K263" t="s">
        <v>1216</v>
      </c>
      <c r="L263" t="s">
        <v>1217</v>
      </c>
      <c r="M263">
        <v>5316.917355</v>
      </c>
      <c r="N263">
        <v>21.26766942</v>
      </c>
      <c r="O263">
        <v>11911.268205</v>
      </c>
      <c r="P263">
        <v>1064071.3198</v>
      </c>
      <c r="Q263">
        <v>0.44637709969187955</v>
      </c>
      <c r="R263">
        <v>3831.38761365</v>
      </c>
      <c r="S263" t="s">
        <v>207</v>
      </c>
      <c r="T263" t="s">
        <v>93</v>
      </c>
      <c r="U263">
        <v>2.5</v>
      </c>
      <c r="V263" t="s">
        <v>105</v>
      </c>
      <c r="W263" t="s">
        <v>142</v>
      </c>
      <c r="X263" t="s">
        <v>106</v>
      </c>
      <c r="Y263" s="23" t="s">
        <v>107</v>
      </c>
      <c r="AA263">
        <v>404</v>
      </c>
      <c r="AB263" t="s">
        <v>1218</v>
      </c>
      <c r="AC263" t="s">
        <v>1164</v>
      </c>
      <c r="AD263" s="2">
        <v>7</v>
      </c>
      <c r="AE263" s="2" t="s">
        <v>70</v>
      </c>
      <c r="AF263" t="str">
        <f>_xlfn.CONCAT(FINI_grouping_for_wheel[[#This Row],[SEFI/Plant]],"/",IF(FINI_grouping_for_wheel[[#This Row],[RESET recipe combination]]&lt;&gt;"",FINI_grouping_for_wheel[[#This Row],[RESET recipe combination]],FINI_grouping_for_wheel[[#This Row],[Recipe Combination]]),"/",FINI_grouping_for_wheel[[#This Row],[Subgroup]])</f>
        <v>4240512/THDP/x/7</v>
      </c>
      <c r="AG2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0.4292678264194226</v>
      </c>
      <c r="AH263">
        <f>_xlfn.LET(_xlpm.pct, FINI_grouping_for_wheel[[#This Row],[% forecast within subgroup]], _xlpm.lote, FINI_grouping_for_wheel[[#This Row],[Lot size considered]], _xlpm.pct*_xlpm.lote)</f>
        <v>3684.533624634038</v>
      </c>
      <c r="AI263" cm="1">
        <f t="array" aca="1" ref="AI263" ca="1">IFERROR(INDIRECT("FINI_grouping_for_wheel[@["&amp;FINI_grouping_for_wheel[[#This Row],[Selected PV]]&amp;"]]"),"")</f>
        <v>152</v>
      </c>
      <c r="AJ26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10.2</v>
      </c>
      <c r="AL263" s="4"/>
      <c r="AM26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152</v>
      </c>
      <c r="AN26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281</v>
      </c>
      <c r="AO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6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63" t="str">
        <f>_xlfn.CONCAT(FINI_grouping_for_wheel[[#This Row],[Recipe Combination]],FINI_grouping_for_wheel[[#This Row],[Subgroup]])</f>
        <v>T7</v>
      </c>
    </row>
    <row r="264" spans="1:55" hidden="1">
      <c r="A264" t="s">
        <v>10</v>
      </c>
      <c r="B264">
        <v>4240512</v>
      </c>
      <c r="C264" t="s">
        <v>1158</v>
      </c>
      <c r="D264">
        <v>8583.29788041</v>
      </c>
      <c r="E264">
        <v>124</v>
      </c>
      <c r="F264">
        <v>2.48</v>
      </c>
      <c r="G264" t="s">
        <v>1219</v>
      </c>
      <c r="H264" t="s">
        <v>1220</v>
      </c>
      <c r="I264">
        <v>240</v>
      </c>
      <c r="J264" t="s">
        <v>90</v>
      </c>
      <c r="K264" t="s">
        <v>1221</v>
      </c>
      <c r="L264" t="s">
        <v>1222</v>
      </c>
      <c r="M264">
        <v>6594.35085</v>
      </c>
      <c r="N264">
        <v>26.3774034</v>
      </c>
      <c r="O264">
        <v>11911.268205</v>
      </c>
      <c r="P264">
        <v>1064071.3198</v>
      </c>
      <c r="Q264">
        <v>0.55362290030812045</v>
      </c>
      <c r="R264">
        <v>4751.91026676</v>
      </c>
      <c r="S264" t="s">
        <v>207</v>
      </c>
      <c r="T264" t="s">
        <v>93</v>
      </c>
      <c r="U264">
        <v>5</v>
      </c>
      <c r="V264" t="s">
        <v>196</v>
      </c>
      <c r="W264" t="s">
        <v>142</v>
      </c>
      <c r="X264" t="s">
        <v>106</v>
      </c>
      <c r="Y264" s="23" t="s">
        <v>107</v>
      </c>
      <c r="AA264">
        <v>325</v>
      </c>
      <c r="AB264" t="s">
        <v>1223</v>
      </c>
      <c r="AC264" t="s">
        <v>1164</v>
      </c>
      <c r="AD264" s="2">
        <v>6</v>
      </c>
      <c r="AE264" s="2" t="s">
        <v>70</v>
      </c>
      <c r="AF264" t="str">
        <f>_xlfn.CONCAT(FINI_grouping_for_wheel[[#This Row],[SEFI/Plant]],"/",IF(FINI_grouping_for_wheel[[#This Row],[RESET recipe combination]]&lt;&gt;"",FINI_grouping_for_wheel[[#This Row],[RESET recipe combination]],FINI_grouping_for_wheel[[#This Row],[Recipe Combination]]),"/",FINI_grouping_for_wheel[[#This Row],[Subgroup]])</f>
        <v>4240512/THDP/x/6</v>
      </c>
      <c r="AG2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0.20698625046451133</v>
      </c>
      <c r="AH264">
        <f>_xlfn.LET(_xlpm.pct, FINI_grouping_for_wheel[[#This Row],[% forecast within subgroup]], _xlpm.lote, FINI_grouping_for_wheel[[#This Row],[Lot size considered]], _xlpm.pct*_xlpm.lote)</f>
        <v>1776.6246448860536</v>
      </c>
      <c r="AI264" cm="1">
        <f t="array" aca="1" ref="AI264" ca="1">IFERROR(INDIRECT("FINI_grouping_for_wheel[@["&amp;FINI_grouping_for_wheel[[#This Row],[Selected PV]]&amp;"]]"),"")</f>
        <v>59</v>
      </c>
      <c r="AJ26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7.7</v>
      </c>
      <c r="AL264" s="4"/>
      <c r="AM26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59</v>
      </c>
      <c r="AN26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109</v>
      </c>
      <c r="AO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6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64" t="str">
        <f>_xlfn.CONCAT(FINI_grouping_for_wheel[[#This Row],[Recipe Combination]],FINI_grouping_for_wheel[[#This Row],[Subgroup]])</f>
        <v>T6</v>
      </c>
    </row>
    <row r="265" spans="1:55" hidden="1">
      <c r="A265" t="s">
        <v>10</v>
      </c>
      <c r="B265">
        <v>4240512</v>
      </c>
      <c r="C265" t="s">
        <v>1158</v>
      </c>
      <c r="D265">
        <v>8583.29788041</v>
      </c>
      <c r="E265">
        <v>124</v>
      </c>
      <c r="F265">
        <v>2.48</v>
      </c>
      <c r="G265" t="s">
        <v>1224</v>
      </c>
      <c r="H265" t="s">
        <v>1225</v>
      </c>
      <c r="I265">
        <v>300</v>
      </c>
      <c r="J265" t="s">
        <v>90</v>
      </c>
      <c r="K265" t="s">
        <v>1226</v>
      </c>
      <c r="L265" t="s">
        <v>1227</v>
      </c>
      <c r="M265">
        <v>405108.6129</v>
      </c>
      <c r="N265">
        <v>1620.4344516</v>
      </c>
      <c r="O265">
        <v>405108.6129</v>
      </c>
      <c r="P265">
        <v>1064071.3198</v>
      </c>
      <c r="Q265">
        <v>1</v>
      </c>
      <c r="R265">
        <v>8583.29788041</v>
      </c>
      <c r="S265" t="s">
        <v>218</v>
      </c>
      <c r="T265" t="s">
        <v>93</v>
      </c>
      <c r="U265">
        <v>5</v>
      </c>
      <c r="V265" t="s">
        <v>174</v>
      </c>
      <c r="W265" t="s">
        <v>95</v>
      </c>
      <c r="X265" t="s">
        <v>96</v>
      </c>
      <c r="Y265" s="23" t="s">
        <v>167</v>
      </c>
      <c r="AA265">
        <v>5</v>
      </c>
      <c r="AB265" t="s">
        <v>1228</v>
      </c>
      <c r="AC265" t="s">
        <v>1164</v>
      </c>
      <c r="AD265" s="2">
        <v>1</v>
      </c>
      <c r="AE265" s="2" t="s">
        <v>70</v>
      </c>
      <c r="AF265" t="str">
        <f>_xlfn.CONCAT(FINI_grouping_for_wheel[[#This Row],[SEFI/Plant]],"/",IF(FINI_grouping_for_wheel[[#This Row],[RESET recipe combination]]&lt;&gt;"",FINI_grouping_for_wheel[[#This Row],[RESET recipe combination]],FINI_grouping_for_wheel[[#This Row],[Recipe Combination]]),"/",FINI_grouping_for_wheel[[#This Row],[Subgroup]])</f>
        <v>4240512/THDP/x/1</v>
      </c>
      <c r="AG2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65">
        <f>_xlfn.LET(_xlpm.pct, FINI_grouping_for_wheel[[#This Row],[% forecast within subgroup]], _xlpm.lote, FINI_grouping_for_wheel[[#This Row],[Lot size considered]], _xlpm.pct*_xlpm.lote)</f>
        <v>8583.29788041</v>
      </c>
      <c r="AI265" cm="1">
        <f t="array" aca="1" ref="AI265" ca="1">IFERROR(INDIRECT("FINI_grouping_for_wheel[@["&amp;FINI_grouping_for_wheel[[#This Row],[Selected PV]]&amp;"]]"),"")</f>
        <v>5</v>
      </c>
      <c r="AJ26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29.6</v>
      </c>
      <c r="AL265" s="4"/>
      <c r="AM26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v>
      </c>
      <c r="AN26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9</v>
      </c>
      <c r="AO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6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65" t="str">
        <f>_xlfn.CONCAT(FINI_grouping_for_wheel[[#This Row],[Recipe Combination]],FINI_grouping_for_wheel[[#This Row],[Subgroup]])</f>
        <v>U1</v>
      </c>
    </row>
    <row r="266" spans="1:55" hidden="1">
      <c r="A266" t="s">
        <v>10</v>
      </c>
      <c r="B266">
        <v>4240512</v>
      </c>
      <c r="C266" t="s">
        <v>1158</v>
      </c>
      <c r="D266">
        <v>8583.29788041</v>
      </c>
      <c r="E266">
        <v>124</v>
      </c>
      <c r="F266">
        <v>2.48</v>
      </c>
      <c r="G266" t="s">
        <v>1229</v>
      </c>
      <c r="H266" t="s">
        <v>1230</v>
      </c>
      <c r="I266">
        <v>324</v>
      </c>
      <c r="J266" t="s">
        <v>90</v>
      </c>
      <c r="K266" t="s">
        <v>1231</v>
      </c>
      <c r="L266" t="s">
        <v>1232</v>
      </c>
      <c r="M266">
        <v>179304.78006</v>
      </c>
      <c r="N266">
        <v>717.21912024</v>
      </c>
      <c r="O266">
        <v>179304.78006</v>
      </c>
      <c r="P266">
        <v>1064071.3198</v>
      </c>
      <c r="Q266">
        <v>1</v>
      </c>
      <c r="R266">
        <v>8583.29788041</v>
      </c>
      <c r="S266" t="s">
        <v>387</v>
      </c>
      <c r="T266" t="s">
        <v>93</v>
      </c>
      <c r="U266">
        <v>12</v>
      </c>
      <c r="V266" t="s">
        <v>231</v>
      </c>
      <c r="W266" t="s">
        <v>159</v>
      </c>
      <c r="X266" t="s">
        <v>96</v>
      </c>
      <c r="Y266" s="23" t="s">
        <v>97</v>
      </c>
      <c r="AA266">
        <v>12</v>
      </c>
      <c r="AB266" t="s">
        <v>1233</v>
      </c>
      <c r="AC266" t="s">
        <v>1164</v>
      </c>
      <c r="AD266" s="2">
        <v>3</v>
      </c>
      <c r="AE266" s="2" t="s">
        <v>70</v>
      </c>
      <c r="AF266" t="str">
        <f>_xlfn.CONCAT(FINI_grouping_for_wheel[[#This Row],[SEFI/Plant]],"/",IF(FINI_grouping_for_wheel[[#This Row],[RESET recipe combination]]&lt;&gt;"",FINI_grouping_for_wheel[[#This Row],[RESET recipe combination]],FINI_grouping_for_wheel[[#This Row],[Recipe Combination]]),"/",FINI_grouping_for_wheel[[#This Row],[Subgroup]])</f>
        <v>4240512/THDP/x/3</v>
      </c>
      <c r="AG2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66">
        <f>_xlfn.LET(_xlpm.pct, FINI_grouping_for_wheel[[#This Row],[% forecast within subgroup]], _xlpm.lote, FINI_grouping_for_wheel[[#This Row],[Lot size considered]], _xlpm.pct*_xlpm.lote)</f>
        <v>8583.29788041</v>
      </c>
      <c r="AI266" cm="1">
        <f t="array" aca="1" ref="AI266" ca="1">IFERROR(INDIRECT("FINI_grouping_for_wheel[@["&amp;FINI_grouping_for_wheel[[#This Row],[Selected PV]]&amp;"]]"),"")</f>
        <v>11</v>
      </c>
      <c r="AJ26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2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27.4</v>
      </c>
      <c r="AL266" s="4"/>
      <c r="AM26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26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19</v>
      </c>
      <c r="AO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6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66" t="str">
        <f>_xlfn.CONCAT(FINI_grouping_for_wheel[[#This Row],[Recipe Combination]],FINI_grouping_for_wheel[[#This Row],[Subgroup]])</f>
        <v>X3</v>
      </c>
    </row>
    <row r="267" spans="1:55" hidden="1">
      <c r="A267" t="s">
        <v>10</v>
      </c>
      <c r="B267">
        <v>4061019</v>
      </c>
      <c r="C267" t="s">
        <v>1234</v>
      </c>
      <c r="D267">
        <v>7398.41250337</v>
      </c>
      <c r="E267">
        <v>118</v>
      </c>
      <c r="F267">
        <v>2.36</v>
      </c>
      <c r="G267" t="s">
        <v>1235</v>
      </c>
      <c r="H267" t="s">
        <v>1236</v>
      </c>
      <c r="I267">
        <v>420</v>
      </c>
      <c r="J267" t="s">
        <v>90</v>
      </c>
      <c r="K267" t="s">
        <v>264</v>
      </c>
      <c r="L267" t="s">
        <v>265</v>
      </c>
      <c r="M267">
        <v>1986.59259</v>
      </c>
      <c r="N267">
        <v>7.94637036</v>
      </c>
      <c r="O267">
        <v>4078.552725</v>
      </c>
      <c r="P267">
        <v>871697.41245</v>
      </c>
      <c r="Q267">
        <v>0.48708272859216256</v>
      </c>
      <c r="R267">
        <v>3603.63894939</v>
      </c>
      <c r="S267" t="s">
        <v>266</v>
      </c>
      <c r="T267" t="s">
        <v>93</v>
      </c>
      <c r="U267">
        <v>2.5</v>
      </c>
      <c r="V267" t="s">
        <v>267</v>
      </c>
      <c r="W267" t="s">
        <v>142</v>
      </c>
      <c r="X267" t="s">
        <v>150</v>
      </c>
      <c r="Y267" s="23" t="s">
        <v>151</v>
      </c>
      <c r="AA267">
        <v>931</v>
      </c>
      <c r="AB267" t="s">
        <v>1237</v>
      </c>
      <c r="AC267" t="s">
        <v>1238</v>
      </c>
      <c r="AD267" s="2">
        <v>3</v>
      </c>
      <c r="AE267" s="2" t="s">
        <v>70</v>
      </c>
      <c r="AF267" t="str">
        <f>_xlfn.CONCAT(FINI_grouping_for_wheel[[#This Row],[SEFI/Plant]],"/",IF(FINI_grouping_for_wheel[[#This Row],[RESET recipe combination]]&lt;&gt;"",FINI_grouping_for_wheel[[#This Row],[RESET recipe combination]],FINI_grouping_for_wheel[[#This Row],[Recipe Combination]]),"/",FINI_grouping_for_wheel[[#This Row],[Subgroup]])</f>
        <v>4061019/THDP/x/3</v>
      </c>
      <c r="AG2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0.3175023651844844</v>
      </c>
      <c r="AH267">
        <f>_xlfn.LET(_xlpm.pct, FINI_grouping_for_wheel[[#This Row],[% forecast within subgroup]], _xlpm.lote, FINI_grouping_for_wheel[[#This Row],[Lot size considered]], _xlpm.pct*_xlpm.lote)</f>
        <v>2349.013468430437</v>
      </c>
      <c r="AI267" cm="1">
        <f t="array" aca="1" ref="AI267" ca="1">IFERROR(INDIRECT("FINI_grouping_for_wheel[@["&amp;FINI_grouping_for_wheel[[#This Row],[Selected PV]]&amp;"]]"),"")</f>
        <v>268</v>
      </c>
      <c r="AJ26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v>
      </c>
      <c r="AL267" s="4"/>
      <c r="AM26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268</v>
      </c>
      <c r="AN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6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67" t="str">
        <f>_xlfn.CONCAT(FINI_grouping_for_wheel[[#This Row],[Recipe Combination]],FINI_grouping_for_wheel[[#This Row],[Subgroup]])</f>
        <v>13</v>
      </c>
    </row>
    <row r="268" spans="1:55" hidden="1">
      <c r="A268" t="s">
        <v>10</v>
      </c>
      <c r="B268">
        <v>4061019</v>
      </c>
      <c r="C268" t="s">
        <v>1234</v>
      </c>
      <c r="D268">
        <v>7398.41250337</v>
      </c>
      <c r="E268">
        <v>118</v>
      </c>
      <c r="F268">
        <v>2.36</v>
      </c>
      <c r="G268" t="s">
        <v>1239</v>
      </c>
      <c r="H268" t="s">
        <v>1240</v>
      </c>
      <c r="I268">
        <v>420</v>
      </c>
      <c r="J268" t="s">
        <v>90</v>
      </c>
      <c r="K268" t="s">
        <v>264</v>
      </c>
      <c r="L268" t="s">
        <v>265</v>
      </c>
      <c r="M268">
        <v>2091.960135</v>
      </c>
      <c r="N268">
        <v>8.36784054</v>
      </c>
      <c r="O268">
        <v>4078.552725</v>
      </c>
      <c r="P268">
        <v>871697.41245</v>
      </c>
      <c r="Q268">
        <v>0.51291727140783749</v>
      </c>
      <c r="R268">
        <v>3794.77355398</v>
      </c>
      <c r="S268" t="s">
        <v>266</v>
      </c>
      <c r="T268" t="s">
        <v>93</v>
      </c>
      <c r="U268">
        <v>2.5</v>
      </c>
      <c r="V268" t="s">
        <v>267</v>
      </c>
      <c r="W268" t="s">
        <v>142</v>
      </c>
      <c r="X268" t="s">
        <v>150</v>
      </c>
      <c r="Y268" s="23" t="s">
        <v>151</v>
      </c>
      <c r="AA268">
        <v>884</v>
      </c>
      <c r="AB268" t="s">
        <v>1241</v>
      </c>
      <c r="AC268" t="s">
        <v>1238</v>
      </c>
      <c r="AD268" s="2">
        <v>3</v>
      </c>
      <c r="AE268" s="2" t="s">
        <v>70</v>
      </c>
      <c r="AF268" t="str">
        <f>_xlfn.CONCAT(FINI_grouping_for_wheel[[#This Row],[SEFI/Plant]],"/",IF(FINI_grouping_for_wheel[[#This Row],[RESET recipe combination]]&lt;&gt;"",FINI_grouping_for_wheel[[#This Row],[RESET recipe combination]],FINI_grouping_for_wheel[[#This Row],[Recipe Combination]]),"/",FINI_grouping_for_wheel[[#This Row],[Subgroup]])</f>
        <v>4061019/THDP/x/3</v>
      </c>
      <c r="AG2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0.3343424787133396</v>
      </c>
      <c r="AH268">
        <f>_xlfn.LET(_xlpm.pct, FINI_grouping_for_wheel[[#This Row],[% forecast within subgroup]], _xlpm.lote, FINI_grouping_for_wheel[[#This Row],[Lot size considered]], _xlpm.pct*_xlpm.lote)</f>
        <v>2473.60357492049</v>
      </c>
      <c r="AI268" cm="1">
        <f t="array" aca="1" ref="AI268" ca="1">IFERROR(INDIRECT("FINI_grouping_for_wheel[@["&amp;FINI_grouping_for_wheel[[#This Row],[Selected PV]]&amp;"]]"),"")</f>
        <v>268</v>
      </c>
      <c r="AJ26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6.3</v>
      </c>
      <c r="AL268" s="4"/>
      <c r="AM26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268</v>
      </c>
      <c r="AN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6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68" t="str">
        <f>_xlfn.CONCAT(FINI_grouping_for_wheel[[#This Row],[Recipe Combination]],FINI_grouping_for_wheel[[#This Row],[Subgroup]])</f>
        <v>13</v>
      </c>
    </row>
    <row r="269" spans="1:55" hidden="1">
      <c r="A269" t="s">
        <v>10</v>
      </c>
      <c r="B269">
        <v>4061019</v>
      </c>
      <c r="C269" t="s">
        <v>1234</v>
      </c>
      <c r="D269">
        <v>7398.41250337</v>
      </c>
      <c r="E269">
        <v>118</v>
      </c>
      <c r="F269">
        <v>2.36</v>
      </c>
      <c r="G269" t="s">
        <v>1242</v>
      </c>
      <c r="H269" t="s">
        <v>1243</v>
      </c>
      <c r="I269">
        <v>440</v>
      </c>
      <c r="J269" t="s">
        <v>90</v>
      </c>
      <c r="K269" t="s">
        <v>666</v>
      </c>
      <c r="L269" t="s">
        <v>667</v>
      </c>
      <c r="M269">
        <v>16456.2795</v>
      </c>
      <c r="N269">
        <v>65.825118</v>
      </c>
      <c r="O269">
        <v>36298.5273</v>
      </c>
      <c r="P269">
        <v>871697.41245</v>
      </c>
      <c r="Q269">
        <v>0.45335942596216566</v>
      </c>
      <c r="R269">
        <v>3354.14004556</v>
      </c>
      <c r="S269" t="s">
        <v>118</v>
      </c>
      <c r="T269" t="s">
        <v>93</v>
      </c>
      <c r="U269">
        <v>10</v>
      </c>
      <c r="V269" t="s">
        <v>94</v>
      </c>
      <c r="W269" t="s">
        <v>95</v>
      </c>
      <c r="X269" t="s">
        <v>96</v>
      </c>
      <c r="Y269" s="23" t="s">
        <v>97</v>
      </c>
      <c r="AA269">
        <v>112</v>
      </c>
      <c r="AB269" t="s">
        <v>1244</v>
      </c>
      <c r="AC269" t="s">
        <v>1238</v>
      </c>
      <c r="AD269" s="2">
        <v>6</v>
      </c>
      <c r="AE269" s="2" t="s">
        <v>70</v>
      </c>
      <c r="AF269" t="str">
        <f>_xlfn.CONCAT(FINI_grouping_for_wheel[[#This Row],[SEFI/Plant]],"/",IF(FINI_grouping_for_wheel[[#This Row],[RESET recipe combination]]&lt;&gt;"",FINI_grouping_for_wheel[[#This Row],[RESET recipe combination]],FINI_grouping_for_wheel[[#This Row],[Recipe Combination]]),"/",FINI_grouping_for_wheel[[#This Row],[Subgroup]])</f>
        <v>4061019/THDP/x/6</v>
      </c>
      <c r="AG2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0.61750333185251</v>
      </c>
      <c r="AH269">
        <f>_xlfn.LET(_xlpm.pct, FINI_grouping_for_wheel[[#This Row],[% forecast within subgroup]], _xlpm.lote, FINI_grouping_for_wheel[[#This Row],[Lot size considered]], _xlpm.pct*_xlpm.lote)</f>
        <v>4568.544371250245</v>
      </c>
      <c r="AI269" cm="1">
        <f t="array" aca="1" ref="AI269" ca="1">IFERROR(INDIRECT("FINI_grouping_for_wheel[@["&amp;FINI_grouping_for_wheel[[#This Row],[Selected PV]]&amp;"]]"),"")</f>
        <v>63</v>
      </c>
      <c r="AJ26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11.1</v>
      </c>
      <c r="AL269" s="4"/>
      <c r="AM26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63</v>
      </c>
      <c r="AN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6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69" t="str">
        <f>_xlfn.CONCAT(FINI_grouping_for_wheel[[#This Row],[Recipe Combination]],FINI_grouping_for_wheel[[#This Row],[Subgroup]])</f>
        <v>A6</v>
      </c>
    </row>
    <row r="270" spans="1:55" hidden="1">
      <c r="A270" t="s">
        <v>10</v>
      </c>
      <c r="B270">
        <v>4061019</v>
      </c>
      <c r="C270" t="s">
        <v>1234</v>
      </c>
      <c r="D270">
        <v>7398.41250337</v>
      </c>
      <c r="E270">
        <v>118</v>
      </c>
      <c r="F270">
        <v>2.36</v>
      </c>
      <c r="G270" t="s">
        <v>1245</v>
      </c>
      <c r="H270" t="s">
        <v>1246</v>
      </c>
      <c r="I270">
        <v>440</v>
      </c>
      <c r="J270" t="s">
        <v>90</v>
      </c>
      <c r="K270" t="s">
        <v>385</v>
      </c>
      <c r="L270" t="s">
        <v>386</v>
      </c>
      <c r="M270">
        <v>19842.2478</v>
      </c>
      <c r="N270">
        <v>79.3689912</v>
      </c>
      <c r="O270">
        <v>36298.5273</v>
      </c>
      <c r="P270">
        <v>871697.41245</v>
      </c>
      <c r="Q270">
        <v>0.54664057403783428</v>
      </c>
      <c r="R270">
        <v>4044.27245781</v>
      </c>
      <c r="S270" t="s">
        <v>118</v>
      </c>
      <c r="T270" t="s">
        <v>93</v>
      </c>
      <c r="U270">
        <v>10</v>
      </c>
      <c r="V270" t="s">
        <v>94</v>
      </c>
      <c r="W270" t="s">
        <v>95</v>
      </c>
      <c r="X270" t="s">
        <v>96</v>
      </c>
      <c r="Y270" s="23" t="s">
        <v>97</v>
      </c>
      <c r="AA270">
        <v>93</v>
      </c>
      <c r="AB270" t="s">
        <v>1247</v>
      </c>
      <c r="AC270" t="s">
        <v>1238</v>
      </c>
      <c r="AD270" s="2">
        <v>7</v>
      </c>
      <c r="AE270" s="2" t="s">
        <v>70</v>
      </c>
      <c r="AF270" t="str">
        <f>_xlfn.CONCAT(FINI_grouping_for_wheel[[#This Row],[SEFI/Plant]],"/",IF(FINI_grouping_for_wheel[[#This Row],[RESET recipe combination]]&lt;&gt;"",FINI_grouping_for_wheel[[#This Row],[RESET recipe combination]],FINI_grouping_for_wheel[[#This Row],[Recipe Combination]]),"/",FINI_grouping_for_wheel[[#This Row],[Subgroup]])</f>
        <v>4061019/THDP/x/7</v>
      </c>
      <c r="AG2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70">
        <f>_xlfn.LET(_xlpm.pct, FINI_grouping_for_wheel[[#This Row],[% forecast within subgroup]], _xlpm.lote, FINI_grouping_for_wheel[[#This Row],[Lot size considered]], _xlpm.pct*_xlpm.lote)</f>
        <v>7398.41250337</v>
      </c>
      <c r="AI270" cm="1">
        <f t="array" aca="1" ref="AI270" ca="1">IFERROR(INDIRECT("FINI_grouping_for_wheel[@["&amp;FINI_grouping_for_wheel[[#This Row],[Selected PV]]&amp;"]]"),"")</f>
        <v>84</v>
      </c>
      <c r="AJ27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17.9</v>
      </c>
      <c r="AL270" s="4"/>
      <c r="AM27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84</v>
      </c>
      <c r="AN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7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70" t="str">
        <f>_xlfn.CONCAT(FINI_grouping_for_wheel[[#This Row],[Recipe Combination]],FINI_grouping_for_wheel[[#This Row],[Subgroup]])</f>
        <v>A7</v>
      </c>
    </row>
    <row r="271" spans="1:55" hidden="1">
      <c r="A271" t="s">
        <v>10</v>
      </c>
      <c r="B271">
        <v>4061019</v>
      </c>
      <c r="C271" t="s">
        <v>1234</v>
      </c>
      <c r="D271">
        <v>7398.41250337</v>
      </c>
      <c r="E271">
        <v>118</v>
      </c>
      <c r="F271">
        <v>2.36</v>
      </c>
      <c r="G271" t="s">
        <v>1248</v>
      </c>
      <c r="H271" t="s">
        <v>1249</v>
      </c>
      <c r="I271">
        <v>300</v>
      </c>
      <c r="J271" t="s">
        <v>90</v>
      </c>
      <c r="K271" t="s">
        <v>292</v>
      </c>
      <c r="L271" t="s">
        <v>293</v>
      </c>
      <c r="M271">
        <v>27821.7675</v>
      </c>
      <c r="N271">
        <v>111.28707</v>
      </c>
      <c r="O271">
        <v>27821.7675</v>
      </c>
      <c r="P271">
        <v>871697.41245</v>
      </c>
      <c r="Q271">
        <v>1</v>
      </c>
      <c r="R271">
        <v>7398.41250337</v>
      </c>
      <c r="S271" t="s">
        <v>294</v>
      </c>
      <c r="T271" t="s">
        <v>93</v>
      </c>
      <c r="U271">
        <v>12.5</v>
      </c>
      <c r="V271" t="s">
        <v>295</v>
      </c>
      <c r="W271" t="s">
        <v>142</v>
      </c>
      <c r="X271" t="s">
        <v>128</v>
      </c>
      <c r="Y271" s="23" t="s">
        <v>120</v>
      </c>
      <c r="AA271">
        <v>66</v>
      </c>
      <c r="AB271" t="s">
        <v>1250</v>
      </c>
      <c r="AC271" t="s">
        <v>1238</v>
      </c>
      <c r="AD271" s="2">
        <v>8</v>
      </c>
      <c r="AE271" s="2" t="s">
        <v>70</v>
      </c>
      <c r="AF271" t="str">
        <f>_xlfn.CONCAT(FINI_grouping_for_wheel[[#This Row],[SEFI/Plant]],"/",IF(FINI_grouping_for_wheel[[#This Row],[RESET recipe combination]]&lt;&gt;"",FINI_grouping_for_wheel[[#This Row],[RESET recipe combination]],FINI_grouping_for_wheel[[#This Row],[Recipe Combination]]),"/",FINI_grouping_for_wheel[[#This Row],[Subgroup]])</f>
        <v>4061019/THDP/x/8</v>
      </c>
      <c r="AG2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71">
        <f>_xlfn.LET(_xlpm.pct, FINI_grouping_for_wheel[[#This Row],[% forecast within subgroup]], _xlpm.lote, FINI_grouping_for_wheel[[#This Row],[Lot size considered]], _xlpm.pct*_xlpm.lote)</f>
        <v>7398.41250337</v>
      </c>
      <c r="AI271" cm="1">
        <f t="array" aca="1" ref="AI271" ca="1">IFERROR(INDIRECT("FINI_grouping_for_wheel[@["&amp;FINI_grouping_for_wheel[[#This Row],[Selected PV]]&amp;"]]"),"")</f>
        <v>60</v>
      </c>
      <c r="AJ27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26.3</v>
      </c>
      <c r="AL271" s="4"/>
      <c r="AM27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60</v>
      </c>
      <c r="AN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7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71" t="str">
        <f>_xlfn.CONCAT(FINI_grouping_for_wheel[[#This Row],[Recipe Combination]],FINI_grouping_for_wheel[[#This Row],[Subgroup]])</f>
        <v>C8</v>
      </c>
    </row>
    <row r="272" spans="1:55" hidden="1">
      <c r="A272" t="s">
        <v>10</v>
      </c>
      <c r="B272">
        <v>4061019</v>
      </c>
      <c r="C272" t="s">
        <v>1234</v>
      </c>
      <c r="D272">
        <v>7398.41250337</v>
      </c>
      <c r="E272">
        <v>118</v>
      </c>
      <c r="F272">
        <v>2.36</v>
      </c>
      <c r="G272" t="s">
        <v>1251</v>
      </c>
      <c r="H272" t="s">
        <v>1252</v>
      </c>
      <c r="I272">
        <v>350</v>
      </c>
      <c r="J272" t="s">
        <v>90</v>
      </c>
      <c r="K272" t="s">
        <v>140</v>
      </c>
      <c r="L272" t="s">
        <v>141</v>
      </c>
      <c r="M272">
        <v>1882.40895</v>
      </c>
      <c r="N272">
        <v>7.5296358</v>
      </c>
      <c r="O272">
        <v>1882.40895</v>
      </c>
      <c r="P272">
        <v>871697.41245</v>
      </c>
      <c r="Q272">
        <v>1</v>
      </c>
      <c r="R272">
        <v>7398.41250337</v>
      </c>
      <c r="S272" t="s">
        <v>126</v>
      </c>
      <c r="T272" t="s">
        <v>93</v>
      </c>
      <c r="U272">
        <v>5</v>
      </c>
      <c r="V272" t="s">
        <v>135</v>
      </c>
      <c r="W272" t="s">
        <v>142</v>
      </c>
      <c r="X272" t="s">
        <v>128</v>
      </c>
      <c r="Y272" s="23" t="s">
        <v>136</v>
      </c>
      <c r="AA272">
        <v>983</v>
      </c>
      <c r="AB272" t="s">
        <v>1253</v>
      </c>
      <c r="AC272" t="s">
        <v>1238</v>
      </c>
      <c r="AD272" s="2">
        <v>4</v>
      </c>
      <c r="AE272" s="2" t="s">
        <v>70</v>
      </c>
      <c r="AF272" t="str">
        <f>_xlfn.CONCAT(FINI_grouping_for_wheel[[#This Row],[SEFI/Plant]],"/",IF(FINI_grouping_for_wheel[[#This Row],[RESET recipe combination]]&lt;&gt;"",FINI_grouping_for_wheel[[#This Row],[RESET recipe combination]],FINI_grouping_for_wheel[[#This Row],[Recipe Combination]]),"/",FINI_grouping_for_wheel[[#This Row],[Subgroup]])</f>
        <v>4061019/THDP/x/4</v>
      </c>
      <c r="AG2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0.040550879877582255</v>
      </c>
      <c r="AH272">
        <f>_xlfn.LET(_xlpm.pct, FINI_grouping_for_wheel[[#This Row],[% forecast within subgroup]], _xlpm.lote, FINI_grouping_for_wheel[[#This Row],[Lot size considered]], _xlpm.pct*_xlpm.lote)</f>
        <v>300.0121367089595</v>
      </c>
      <c r="AI272" cm="1">
        <f t="array" aca="1" ref="AI272" ca="1">IFERROR(INDIRECT("FINI_grouping_for_wheel[@["&amp;FINI_grouping_for_wheel[[#This Row],[Selected PV]]&amp;"]]"),"")</f>
        <v>36</v>
      </c>
      <c r="AJ27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0.9</v>
      </c>
      <c r="AL272" s="4"/>
      <c r="AM27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36</v>
      </c>
      <c r="AN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7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72" t="str">
        <f>_xlfn.CONCAT(FINI_grouping_for_wheel[[#This Row],[Recipe Combination]],FINI_grouping_for_wheel[[#This Row],[Subgroup]])</f>
        <v>E4</v>
      </c>
    </row>
    <row r="273" spans="1:55" hidden="1">
      <c r="A273" t="s">
        <v>10</v>
      </c>
      <c r="B273">
        <v>4061019</v>
      </c>
      <c r="C273" t="s">
        <v>1234</v>
      </c>
      <c r="D273">
        <v>7398.41250337</v>
      </c>
      <c r="E273">
        <v>118</v>
      </c>
      <c r="F273">
        <v>2.36</v>
      </c>
      <c r="G273" t="s">
        <v>1254</v>
      </c>
      <c r="H273" t="s">
        <v>1255</v>
      </c>
      <c r="I273">
        <v>396</v>
      </c>
      <c r="J273" t="s">
        <v>90</v>
      </c>
      <c r="K273" t="s">
        <v>912</v>
      </c>
      <c r="L273" t="s">
        <v>913</v>
      </c>
      <c r="M273">
        <v>473.562</v>
      </c>
      <c r="N273">
        <v>1.894248</v>
      </c>
      <c r="O273">
        <v>473.562</v>
      </c>
      <c r="P273">
        <v>871697.41245</v>
      </c>
      <c r="Q273">
        <v>1</v>
      </c>
      <c r="R273">
        <v>7398.41250337</v>
      </c>
      <c r="S273" t="s">
        <v>914</v>
      </c>
      <c r="T273" t="s">
        <v>93</v>
      </c>
      <c r="U273">
        <v>1</v>
      </c>
      <c r="V273" t="s">
        <v>505</v>
      </c>
      <c r="W273" t="s">
        <v>142</v>
      </c>
      <c r="X273" t="s">
        <v>150</v>
      </c>
      <c r="Y273" s="23" t="s">
        <v>151</v>
      </c>
      <c r="AA273">
        <v>3906</v>
      </c>
      <c r="AB273" t="s">
        <v>1256</v>
      </c>
      <c r="AC273" t="s">
        <v>1238</v>
      </c>
      <c r="AD273" s="2">
        <v>3</v>
      </c>
      <c r="AE273" s="2" t="s">
        <v>70</v>
      </c>
      <c r="AF273" t="str">
        <f>_xlfn.CONCAT(FINI_grouping_for_wheel[[#This Row],[SEFI/Plant]],"/",IF(FINI_grouping_for_wheel[[#This Row],[RESET recipe combination]]&lt;&gt;"",FINI_grouping_for_wheel[[#This Row],[RESET recipe combination]],FINI_grouping_for_wheel[[#This Row],[Recipe Combination]]),"/",FINI_grouping_for_wheel[[#This Row],[Subgroup]])</f>
        <v>4061019/THDP/x/3</v>
      </c>
      <c r="AG2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0.07568590350047304</v>
      </c>
      <c r="AH273">
        <f>_xlfn.LET(_xlpm.pct, FINI_grouping_for_wheel[[#This Row],[% forecast within subgroup]], _xlpm.lote, FINI_grouping_for_wheel[[#This Row],[Lot size considered]], _xlpm.pct*_xlpm.lote)</f>
        <v>559.9555347867549</v>
      </c>
      <c r="AI273" cm="1">
        <f t="array" aca="1" ref="AI273" ca="1">IFERROR(INDIRECT("FINI_grouping_for_wheel[@["&amp;FINI_grouping_for_wheel[[#This Row],[Selected PV]]&amp;"]]"),"")</f>
        <v>268</v>
      </c>
      <c r="AJ27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273" s="4"/>
      <c r="AM27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268</v>
      </c>
      <c r="AN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7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73" t="str">
        <f>_xlfn.CONCAT(FINI_grouping_for_wheel[[#This Row],[Recipe Combination]],FINI_grouping_for_wheel[[#This Row],[Subgroup]])</f>
        <v>G3</v>
      </c>
    </row>
    <row r="274" spans="1:55" hidden="1">
      <c r="A274" t="s">
        <v>10</v>
      </c>
      <c r="B274">
        <v>4061019</v>
      </c>
      <c r="C274" t="s">
        <v>1234</v>
      </c>
      <c r="D274">
        <v>7398.41250337</v>
      </c>
      <c r="E274">
        <v>118</v>
      </c>
      <c r="F274">
        <v>2.36</v>
      </c>
      <c r="G274" t="s">
        <v>1257</v>
      </c>
      <c r="H274" t="s">
        <v>1258</v>
      </c>
      <c r="I274">
        <v>440</v>
      </c>
      <c r="J274" t="s">
        <v>90</v>
      </c>
      <c r="K274" t="s">
        <v>385</v>
      </c>
      <c r="L274" t="s">
        <v>386</v>
      </c>
      <c r="M274">
        <v>10193.42205</v>
      </c>
      <c r="N274">
        <v>40.7736882</v>
      </c>
      <c r="O274">
        <v>511908.68295</v>
      </c>
      <c r="P274">
        <v>871697.41245</v>
      </c>
      <c r="Q274">
        <v>1.9912578921806701E-2</v>
      </c>
      <c r="R274">
        <v>147.321472869</v>
      </c>
      <c r="S274" t="s">
        <v>157</v>
      </c>
      <c r="T274" t="s">
        <v>93</v>
      </c>
      <c r="U274">
        <v>10</v>
      </c>
      <c r="V274" t="s">
        <v>94</v>
      </c>
      <c r="W274" t="s">
        <v>95</v>
      </c>
      <c r="X274" t="s">
        <v>96</v>
      </c>
      <c r="Y274" s="23" t="s">
        <v>97</v>
      </c>
      <c r="AA274">
        <v>181</v>
      </c>
      <c r="AB274" t="s">
        <v>1259</v>
      </c>
      <c r="AC274" t="s">
        <v>1238</v>
      </c>
      <c r="AD274" s="2">
        <v>6</v>
      </c>
      <c r="AE274" s="2" t="s">
        <v>70</v>
      </c>
      <c r="AF274" t="str">
        <f>_xlfn.CONCAT(FINI_grouping_for_wheel[[#This Row],[SEFI/Plant]],"/",IF(FINI_grouping_for_wheel[[#This Row],[RESET recipe combination]]&lt;&gt;"",FINI_grouping_for_wheel[[#This Row],[RESET recipe combination]],FINI_grouping_for_wheel[[#This Row],[Recipe Combination]]),"/",FINI_grouping_for_wheel[[#This Row],[Subgroup]])</f>
        <v>4061019/THDP/x/6</v>
      </c>
      <c r="AG2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0.38249666814749</v>
      </c>
      <c r="AH274">
        <f>_xlfn.LET(_xlpm.pct, FINI_grouping_for_wheel[[#This Row],[% forecast within subgroup]], _xlpm.lote, FINI_grouping_for_wheel[[#This Row],[Lot size considered]], _xlpm.pct*_xlpm.lote)</f>
        <v>2829.868132119756</v>
      </c>
      <c r="AI274" cm="1">
        <f t="array" aca="1" ref="AI274" ca="1">IFERROR(INDIRECT("FINI_grouping_for_wheel[@["&amp;FINI_grouping_for_wheel[[#This Row],[Selected PV]]&amp;"]]"),"")</f>
        <v>63</v>
      </c>
      <c r="AJ27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6.8</v>
      </c>
      <c r="AL274" s="4"/>
      <c r="AM27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63</v>
      </c>
      <c r="AN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7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74" t="str">
        <f>_xlfn.CONCAT(FINI_grouping_for_wheel[[#This Row],[Recipe Combination]],FINI_grouping_for_wheel[[#This Row],[Subgroup]])</f>
        <v>M6</v>
      </c>
    </row>
    <row r="275" spans="1:55" hidden="1">
      <c r="A275" t="s">
        <v>10</v>
      </c>
      <c r="B275">
        <v>4061019</v>
      </c>
      <c r="C275" t="s">
        <v>1234</v>
      </c>
      <c r="D275">
        <v>7398.41250337</v>
      </c>
      <c r="E275">
        <v>118</v>
      </c>
      <c r="F275">
        <v>2.36</v>
      </c>
      <c r="G275" t="s">
        <v>1260</v>
      </c>
      <c r="H275" t="s">
        <v>1261</v>
      </c>
      <c r="I275">
        <v>495</v>
      </c>
      <c r="J275" t="s">
        <v>90</v>
      </c>
      <c r="K275" t="s">
        <v>1262</v>
      </c>
      <c r="L275" t="s">
        <v>1263</v>
      </c>
      <c r="M275">
        <v>248868.67005</v>
      </c>
      <c r="N275">
        <v>995.4746802</v>
      </c>
      <c r="O275">
        <v>511908.68295</v>
      </c>
      <c r="P275">
        <v>871697.41245</v>
      </c>
      <c r="Q275">
        <v>0.48615832928606117</v>
      </c>
      <c r="R275">
        <v>3596.79986201</v>
      </c>
      <c r="S275" t="s">
        <v>157</v>
      </c>
      <c r="T275" t="s">
        <v>93</v>
      </c>
      <c r="U275">
        <v>15</v>
      </c>
      <c r="V275" t="s">
        <v>408</v>
      </c>
      <c r="W275" t="s">
        <v>95</v>
      </c>
      <c r="X275" t="s">
        <v>96</v>
      </c>
      <c r="Y275" s="23" t="s">
        <v>97</v>
      </c>
      <c r="AA275">
        <v>7</v>
      </c>
      <c r="AB275" t="s">
        <v>1264</v>
      </c>
      <c r="AC275" t="s">
        <v>1238</v>
      </c>
      <c r="AD275" s="2">
        <v>1</v>
      </c>
      <c r="AE275" s="2" t="s">
        <v>70</v>
      </c>
      <c r="AF275" t="str">
        <f>_xlfn.CONCAT(FINI_grouping_for_wheel[[#This Row],[SEFI/Plant]],"/",IF(FINI_grouping_for_wheel[[#This Row],[RESET recipe combination]]&lt;&gt;"",FINI_grouping_for_wheel[[#This Row],[RESET recipe combination]],FINI_grouping_for_wheel[[#This Row],[Recipe Combination]]),"/",FINI_grouping_for_wheel[[#This Row],[Subgroup]])</f>
        <v>4061019/THDP/x/1</v>
      </c>
      <c r="AG2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75">
        <f>_xlfn.LET(_xlpm.pct, FINI_grouping_for_wheel[[#This Row],[% forecast within subgroup]], _xlpm.lote, FINI_grouping_for_wheel[[#This Row],[Lot size considered]], _xlpm.pct*_xlpm.lote)</f>
        <v>7398.41250337</v>
      </c>
      <c r="AI275" cm="1">
        <f t="array" aca="1" ref="AI275" ca="1">IFERROR(INDIRECT("FINI_grouping_for_wheel[@["&amp;FINI_grouping_for_wheel[[#This Row],[Selected PV]]&amp;"]]"),"")</f>
        <v>7</v>
      </c>
      <c r="AJ27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15.9</v>
      </c>
      <c r="AL275" s="4"/>
      <c r="AM27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v>
      </c>
      <c r="AN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7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75" t="str">
        <f>_xlfn.CONCAT(FINI_grouping_for_wheel[[#This Row],[Recipe Combination]],FINI_grouping_for_wheel[[#This Row],[Subgroup]])</f>
        <v>M1</v>
      </c>
    </row>
    <row r="276" spans="1:55" hidden="1">
      <c r="A276" t="s">
        <v>10</v>
      </c>
      <c r="B276">
        <v>4061019</v>
      </c>
      <c r="C276" t="s">
        <v>1234</v>
      </c>
      <c r="D276">
        <v>7398.41250337</v>
      </c>
      <c r="E276">
        <v>118</v>
      </c>
      <c r="F276">
        <v>2.36</v>
      </c>
      <c r="G276" t="s">
        <v>1265</v>
      </c>
      <c r="H276" t="s">
        <v>1266</v>
      </c>
      <c r="I276">
        <v>405</v>
      </c>
      <c r="J276" t="s">
        <v>90</v>
      </c>
      <c r="K276" t="s">
        <v>406</v>
      </c>
      <c r="L276" t="s">
        <v>407</v>
      </c>
      <c r="M276">
        <v>35534.908575</v>
      </c>
      <c r="N276">
        <v>142.1396343</v>
      </c>
      <c r="O276">
        <v>511908.68295</v>
      </c>
      <c r="P276">
        <v>871697.41245</v>
      </c>
      <c r="Q276">
        <v>6.9416498993963779E-2</v>
      </c>
      <c r="R276">
        <v>513.571894097</v>
      </c>
      <c r="S276" t="s">
        <v>157</v>
      </c>
      <c r="T276" t="s">
        <v>93</v>
      </c>
      <c r="U276">
        <v>15</v>
      </c>
      <c r="V276" t="s">
        <v>408</v>
      </c>
      <c r="W276" t="s">
        <v>142</v>
      </c>
      <c r="X276" t="s">
        <v>96</v>
      </c>
      <c r="Y276" s="23" t="s">
        <v>97</v>
      </c>
      <c r="AA276">
        <v>52</v>
      </c>
      <c r="AB276" t="s">
        <v>1267</v>
      </c>
      <c r="AC276" t="s">
        <v>1238</v>
      </c>
      <c r="AD276" s="2">
        <v>10</v>
      </c>
      <c r="AE276" s="2" t="s">
        <v>70</v>
      </c>
      <c r="AF276" t="str">
        <f>_xlfn.CONCAT(FINI_grouping_for_wheel[[#This Row],[SEFI/Plant]],"/",IF(FINI_grouping_for_wheel[[#This Row],[RESET recipe combination]]&lt;&gt;"",FINI_grouping_for_wheel[[#This Row],[RESET recipe combination]],FINI_grouping_for_wheel[[#This Row],[Recipe Combination]]),"/",FINI_grouping_for_wheel[[#This Row],[Subgroup]])</f>
        <v>4061019/THDP/x/10</v>
      </c>
      <c r="AG2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76">
        <f>_xlfn.LET(_xlpm.pct, FINI_grouping_for_wheel[[#This Row],[% forecast within subgroup]], _xlpm.lote, FINI_grouping_for_wheel[[#This Row],[Lot size considered]], _xlpm.pct*_xlpm.lote)</f>
        <v>7398.41250337</v>
      </c>
      <c r="AI276" cm="1">
        <f t="array" aca="1" ref="AI276" ca="1">IFERROR(INDIRECT("FINI_grouping_for_wheel[@["&amp;FINI_grouping_for_wheel[[#This Row],[Selected PV]]&amp;"]]"),"")</f>
        <v>47</v>
      </c>
      <c r="AJ27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19.5</v>
      </c>
      <c r="AL276" s="4"/>
      <c r="AM27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47</v>
      </c>
      <c r="AN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7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76" t="str">
        <f>_xlfn.CONCAT(FINI_grouping_for_wheel[[#This Row],[Recipe Combination]],FINI_grouping_for_wheel[[#This Row],[Subgroup]])</f>
        <v>M10</v>
      </c>
    </row>
    <row r="277" spans="1:55" hidden="1">
      <c r="A277" t="s">
        <v>10</v>
      </c>
      <c r="B277">
        <v>4061019</v>
      </c>
      <c r="C277" t="s">
        <v>1234</v>
      </c>
      <c r="D277">
        <v>7398.41250337</v>
      </c>
      <c r="E277">
        <v>118</v>
      </c>
      <c r="F277">
        <v>2.36</v>
      </c>
      <c r="G277" t="s">
        <v>1268</v>
      </c>
      <c r="H277" t="s">
        <v>1269</v>
      </c>
      <c r="I277">
        <v>495</v>
      </c>
      <c r="J277" t="s">
        <v>90</v>
      </c>
      <c r="K277" t="s">
        <v>1270</v>
      </c>
      <c r="L277" t="s">
        <v>1271</v>
      </c>
      <c r="M277">
        <v>189341.92665</v>
      </c>
      <c r="N277">
        <v>757.3677066</v>
      </c>
      <c r="O277">
        <v>511908.68295</v>
      </c>
      <c r="P277">
        <v>871697.41245</v>
      </c>
      <c r="Q277">
        <v>0.36987441892735723</v>
      </c>
      <c r="R277">
        <v>2736.48352567</v>
      </c>
      <c r="S277" t="s">
        <v>157</v>
      </c>
      <c r="T277" t="s">
        <v>93</v>
      </c>
      <c r="U277">
        <v>15</v>
      </c>
      <c r="V277" t="s">
        <v>408</v>
      </c>
      <c r="W277" t="s">
        <v>142</v>
      </c>
      <c r="X277" t="s">
        <v>96</v>
      </c>
      <c r="Y277" s="23" t="s">
        <v>97</v>
      </c>
      <c r="AA277">
        <v>10</v>
      </c>
      <c r="AB277" t="s">
        <v>1272</v>
      </c>
      <c r="AC277" t="s">
        <v>1238</v>
      </c>
      <c r="AD277" s="2">
        <v>11</v>
      </c>
      <c r="AE277" s="2" t="s">
        <v>70</v>
      </c>
      <c r="AF277" t="str">
        <f>_xlfn.CONCAT(FINI_grouping_for_wheel[[#This Row],[SEFI/Plant]],"/",IF(FINI_grouping_for_wheel[[#This Row],[RESET recipe combination]]&lt;&gt;"",FINI_grouping_for_wheel[[#This Row],[RESET recipe combination]],FINI_grouping_for_wheel[[#This Row],[Recipe Combination]]),"/",FINI_grouping_for_wheel[[#This Row],[Subgroup]])</f>
        <v>4061019/THDP/x/11</v>
      </c>
      <c r="AG2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77">
        <f>_xlfn.LET(_xlpm.pct, FINI_grouping_for_wheel[[#This Row],[% forecast within subgroup]], _xlpm.lote, FINI_grouping_for_wheel[[#This Row],[Lot size considered]], _xlpm.pct*_xlpm.lote)</f>
        <v>7398.41250337</v>
      </c>
      <c r="AI277" cm="1">
        <f t="array" aca="1" ref="AI277" ca="1">IFERROR(INDIRECT("FINI_grouping_for_wheel[@["&amp;FINI_grouping_for_wheel[[#This Row],[Selected PV]]&amp;"]]"),"")</f>
        <v>9</v>
      </c>
      <c r="AJ27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15.9</v>
      </c>
      <c r="AL277" s="4"/>
      <c r="AM27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v>
      </c>
      <c r="AN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7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77" t="str">
        <f>_xlfn.CONCAT(FINI_grouping_for_wheel[[#This Row],[Recipe Combination]],FINI_grouping_for_wheel[[#This Row],[Subgroup]])</f>
        <v>M11</v>
      </c>
    </row>
    <row r="278" spans="1:55" hidden="1">
      <c r="A278" t="s">
        <v>10</v>
      </c>
      <c r="B278">
        <v>4061019</v>
      </c>
      <c r="C278" t="s">
        <v>1234</v>
      </c>
      <c r="D278">
        <v>7398.41250337</v>
      </c>
      <c r="E278">
        <v>118</v>
      </c>
      <c r="F278">
        <v>2.36</v>
      </c>
      <c r="G278" t="s">
        <v>1273</v>
      </c>
      <c r="H278" t="s">
        <v>1274</v>
      </c>
      <c r="I278">
        <v>495</v>
      </c>
      <c r="J278" t="s">
        <v>90</v>
      </c>
      <c r="K278" t="s">
        <v>406</v>
      </c>
      <c r="L278" t="s">
        <v>407</v>
      </c>
      <c r="M278">
        <v>27152.861175</v>
      </c>
      <c r="N278">
        <v>108.6114447</v>
      </c>
      <c r="O278">
        <v>511908.68295</v>
      </c>
      <c r="P278">
        <v>871697.41245</v>
      </c>
      <c r="Q278">
        <v>5.3042392284742938E-2</v>
      </c>
      <c r="R278">
        <v>392.429498288</v>
      </c>
      <c r="S278" t="s">
        <v>157</v>
      </c>
      <c r="T278" t="s">
        <v>93</v>
      </c>
      <c r="U278">
        <v>15</v>
      </c>
      <c r="V278" t="s">
        <v>408</v>
      </c>
      <c r="W278" t="s">
        <v>142</v>
      </c>
      <c r="X278" t="s">
        <v>96</v>
      </c>
      <c r="Y278" s="23" t="s">
        <v>97</v>
      </c>
      <c r="AA278">
        <v>68</v>
      </c>
      <c r="AB278" t="s">
        <v>1275</v>
      </c>
      <c r="AC278" t="s">
        <v>1238</v>
      </c>
      <c r="AD278" s="2">
        <v>9</v>
      </c>
      <c r="AE278" s="2" t="s">
        <v>70</v>
      </c>
      <c r="AF278" t="str">
        <f>_xlfn.CONCAT(FINI_grouping_for_wheel[[#This Row],[SEFI/Plant]],"/",IF(FINI_grouping_for_wheel[[#This Row],[RESET recipe combination]]&lt;&gt;"",FINI_grouping_for_wheel[[#This Row],[RESET recipe combination]],FINI_grouping_for_wheel[[#This Row],[Recipe Combination]]),"/",FINI_grouping_for_wheel[[#This Row],[Subgroup]])</f>
        <v>4061019/THDP/x/9</v>
      </c>
      <c r="AG2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0.9707936507936508</v>
      </c>
      <c r="AH278">
        <f>_xlfn.LET(_xlpm.pct, FINI_grouping_for_wheel[[#This Row],[% forecast within subgroup]], _xlpm.lote, FINI_grouping_for_wheel[[#This Row],[Lot size considered]], _xlpm.pct*_xlpm.lote)</f>
        <v>7182.331884223956</v>
      </c>
      <c r="AI278" cm="1">
        <f t="array" aca="1" ref="AI278" ca="1">IFERROR(INDIRECT("FINI_grouping_for_wheel[@["&amp;FINI_grouping_for_wheel[[#This Row],[Selected PV]]&amp;"]]"),"")</f>
        <v>60</v>
      </c>
      <c r="AJ27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15.5</v>
      </c>
      <c r="AL278" s="4"/>
      <c r="AM27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60</v>
      </c>
      <c r="AN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7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78" t="str">
        <f>_xlfn.CONCAT(FINI_grouping_for_wheel[[#This Row],[Recipe Combination]],FINI_grouping_for_wheel[[#This Row],[Subgroup]])</f>
        <v>M9</v>
      </c>
    </row>
    <row r="279" spans="1:55" hidden="1">
      <c r="A279" t="s">
        <v>10</v>
      </c>
      <c r="B279">
        <v>4061019</v>
      </c>
      <c r="C279" t="s">
        <v>1234</v>
      </c>
      <c r="D279">
        <v>7398.41250337</v>
      </c>
      <c r="E279">
        <v>118</v>
      </c>
      <c r="F279">
        <v>2.36</v>
      </c>
      <c r="G279" t="s">
        <v>1276</v>
      </c>
      <c r="H279" t="s">
        <v>1277</v>
      </c>
      <c r="I279">
        <v>405</v>
      </c>
      <c r="J279" t="s">
        <v>90</v>
      </c>
      <c r="K279" t="s">
        <v>412</v>
      </c>
      <c r="L279" t="s">
        <v>413</v>
      </c>
      <c r="M279">
        <v>816.89445</v>
      </c>
      <c r="N279">
        <v>3.2675778</v>
      </c>
      <c r="O279">
        <v>511908.68295</v>
      </c>
      <c r="P279">
        <v>871697.41245</v>
      </c>
      <c r="Q279">
        <v>1.5957815860681329E-3</v>
      </c>
      <c r="R279">
        <v>11.806250439</v>
      </c>
      <c r="S279" t="s">
        <v>157</v>
      </c>
      <c r="T279" t="s">
        <v>93</v>
      </c>
      <c r="U279">
        <v>15</v>
      </c>
      <c r="V279" t="s">
        <v>408</v>
      </c>
      <c r="W279" t="s">
        <v>95</v>
      </c>
      <c r="X279" t="s">
        <v>96</v>
      </c>
      <c r="Y279" s="23" t="s">
        <v>97</v>
      </c>
      <c r="AA279">
        <v>2264</v>
      </c>
      <c r="AB279" t="s">
        <v>1278</v>
      </c>
      <c r="AC279" t="s">
        <v>1238</v>
      </c>
      <c r="AD279" s="2">
        <v>9</v>
      </c>
      <c r="AE279" s="2" t="s">
        <v>70</v>
      </c>
      <c r="AF279" t="str">
        <f>_xlfn.CONCAT(FINI_grouping_for_wheel[[#This Row],[SEFI/Plant]],"/",IF(FINI_grouping_for_wheel[[#This Row],[RESET recipe combination]]&lt;&gt;"",FINI_grouping_for_wheel[[#This Row],[RESET recipe combination]],FINI_grouping_for_wheel[[#This Row],[Recipe Combination]]),"/",FINI_grouping_for_wheel[[#This Row],[Subgroup]])</f>
        <v>4061019/THDP/x/9</v>
      </c>
      <c r="AG2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0.029206349206349208</v>
      </c>
      <c r="AH279">
        <f>_xlfn.LET(_xlpm.pct, FINI_grouping_for_wheel[[#This Row],[% forecast within subgroup]], _xlpm.lote, FINI_grouping_for_wheel[[#This Row],[Lot size considered]], _xlpm.pct*_xlpm.lote)</f>
        <v>216.08061914604446</v>
      </c>
      <c r="AI279" cm="1">
        <f t="array" aca="1" ref="AI279" ca="1">IFERROR(INDIRECT("FINI_grouping_for_wheel[@["&amp;FINI_grouping_for_wheel[[#This Row],[Selected PV]]&amp;"]]"),"")</f>
        <v>60</v>
      </c>
      <c r="AJ27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279" s="4"/>
      <c r="AM27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60</v>
      </c>
      <c r="AN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7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79" t="str">
        <f>_xlfn.CONCAT(FINI_grouping_for_wheel[[#This Row],[Recipe Combination]],FINI_grouping_for_wheel[[#This Row],[Subgroup]])</f>
        <v>M9</v>
      </c>
    </row>
    <row r="280" spans="1:55" hidden="1">
      <c r="A280" t="s">
        <v>10</v>
      </c>
      <c r="B280">
        <v>4061019</v>
      </c>
      <c r="C280" t="s">
        <v>1234</v>
      </c>
      <c r="D280">
        <v>7398.41250337</v>
      </c>
      <c r="E280">
        <v>118</v>
      </c>
      <c r="F280">
        <v>2.36</v>
      </c>
      <c r="G280" t="s">
        <v>1279</v>
      </c>
      <c r="H280" t="s">
        <v>1280</v>
      </c>
      <c r="I280">
        <v>300</v>
      </c>
      <c r="J280" t="s">
        <v>90</v>
      </c>
      <c r="K280" t="s">
        <v>188</v>
      </c>
      <c r="L280" t="s">
        <v>189</v>
      </c>
      <c r="M280">
        <v>44538.5061</v>
      </c>
      <c r="N280">
        <v>178.1540244</v>
      </c>
      <c r="O280">
        <v>44538.5061</v>
      </c>
      <c r="P280">
        <v>871697.41245</v>
      </c>
      <c r="Q280">
        <v>1</v>
      </c>
      <c r="R280">
        <v>7398.41250337</v>
      </c>
      <c r="S280" t="s">
        <v>165</v>
      </c>
      <c r="T280" t="s">
        <v>93</v>
      </c>
      <c r="U280">
        <v>5</v>
      </c>
      <c r="V280" t="s">
        <v>119</v>
      </c>
      <c r="W280" t="s">
        <v>142</v>
      </c>
      <c r="X280" t="s">
        <v>96</v>
      </c>
      <c r="Y280" s="23" t="s">
        <v>120</v>
      </c>
      <c r="AA280">
        <v>42</v>
      </c>
      <c r="AB280" t="s">
        <v>1281</v>
      </c>
      <c r="AC280" t="s">
        <v>1238</v>
      </c>
      <c r="AD280" s="2">
        <v>4</v>
      </c>
      <c r="AE280" s="2" t="s">
        <v>70</v>
      </c>
      <c r="AF280" t="str">
        <f>_xlfn.CONCAT(FINI_grouping_for_wheel[[#This Row],[SEFI/Plant]],"/",IF(FINI_grouping_for_wheel[[#This Row],[RESET recipe combination]]&lt;&gt;"",FINI_grouping_for_wheel[[#This Row],[RESET recipe combination]],FINI_grouping_for_wheel[[#This Row],[Recipe Combination]]),"/",FINI_grouping_for_wheel[[#This Row],[Subgroup]])</f>
        <v>4061019/THDP/x/4</v>
      </c>
      <c r="AG2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0.9594491201224178</v>
      </c>
      <c r="AH280">
        <f>_xlfn.LET(_xlpm.pct, FINI_grouping_for_wheel[[#This Row],[% forecast within subgroup]], _xlpm.lote, FINI_grouping_for_wheel[[#This Row],[Lot size considered]], _xlpm.pct*_xlpm.lote)</f>
        <v>7098.400366661041</v>
      </c>
      <c r="AI280" cm="1">
        <f t="array" aca="1" ref="AI280" ca="1">IFERROR(INDIRECT("FINI_grouping_for_wheel[@["&amp;FINI_grouping_for_wheel[[#This Row],[Selected PV]]&amp;"]]"),"")</f>
        <v>36</v>
      </c>
      <c r="AJ28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25.2</v>
      </c>
      <c r="AL280" s="4"/>
      <c r="AM28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36</v>
      </c>
      <c r="AN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8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80" t="str">
        <f>_xlfn.CONCAT(FINI_grouping_for_wheel[[#This Row],[Recipe Combination]],FINI_grouping_for_wheel[[#This Row],[Subgroup]])</f>
        <v>N4</v>
      </c>
    </row>
    <row r="281" spans="1:55" hidden="1">
      <c r="A281" t="s">
        <v>10</v>
      </c>
      <c r="B281">
        <v>4061019</v>
      </c>
      <c r="C281" t="s">
        <v>1234</v>
      </c>
      <c r="D281">
        <v>7398.41250337</v>
      </c>
      <c r="E281">
        <v>118</v>
      </c>
      <c r="F281">
        <v>2.36</v>
      </c>
      <c r="G281" t="s">
        <v>1282</v>
      </c>
      <c r="H281" t="s">
        <v>1283</v>
      </c>
      <c r="I281">
        <v>240</v>
      </c>
      <c r="J281" t="s">
        <v>90</v>
      </c>
      <c r="K281" t="s">
        <v>1284</v>
      </c>
      <c r="L281" t="s">
        <v>1285</v>
      </c>
      <c r="M281">
        <v>42833.6829</v>
      </c>
      <c r="N281">
        <v>171.3347316</v>
      </c>
      <c r="O281">
        <v>61284.842325</v>
      </c>
      <c r="P281">
        <v>871697.41245</v>
      </c>
      <c r="Q281">
        <v>0.6989278470008693</v>
      </c>
      <c r="R281">
        <v>5170.9565222</v>
      </c>
      <c r="S281" t="s">
        <v>173</v>
      </c>
      <c r="T281" t="s">
        <v>93</v>
      </c>
      <c r="U281">
        <v>5</v>
      </c>
      <c r="V281" t="s">
        <v>119</v>
      </c>
      <c r="W281" t="s">
        <v>95</v>
      </c>
      <c r="X281" t="s">
        <v>96</v>
      </c>
      <c r="Y281" s="23" t="s">
        <v>120</v>
      </c>
      <c r="AA281">
        <v>43</v>
      </c>
      <c r="AB281" t="s">
        <v>1286</v>
      </c>
      <c r="AC281" t="s">
        <v>1238</v>
      </c>
      <c r="AD281" s="2">
        <v>5</v>
      </c>
      <c r="AE281" s="2" t="s">
        <v>70</v>
      </c>
      <c r="AF281" t="str">
        <f>_xlfn.CONCAT(FINI_grouping_for_wheel[[#This Row],[SEFI/Plant]],"/",IF(FINI_grouping_for_wheel[[#This Row],[RESET recipe combination]]&lt;&gt;"",FINI_grouping_for_wheel[[#This Row],[RESET recipe combination]],FINI_grouping_for_wheel[[#This Row],[Recipe Combination]]),"/",FINI_grouping_for_wheel[[#This Row],[Subgroup]])</f>
        <v>4061019/THDP/x/5</v>
      </c>
      <c r="AG2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0.6989278470008693</v>
      </c>
      <c r="AH281">
        <f>_xlfn.LET(_xlpm.pct, FINI_grouping_for_wheel[[#This Row],[% forecast within subgroup]], _xlpm.lote, FINI_grouping_for_wheel[[#This Row],[Lot size considered]], _xlpm.pct*_xlpm.lote)</f>
        <v>5170.956522204706</v>
      </c>
      <c r="AI281" cm="1">
        <f t="array" aca="1" ref="AI281" ca="1">IFERROR(INDIRECT("FINI_grouping_for_wheel[@["&amp;FINI_grouping_for_wheel[[#This Row],[Selected PV]]&amp;"]]"),"")</f>
        <v>27</v>
      </c>
      <c r="AJ28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22.9</v>
      </c>
      <c r="AL281" s="4"/>
      <c r="AM28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27</v>
      </c>
      <c r="AN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8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81" t="str">
        <f>_xlfn.CONCAT(FINI_grouping_for_wheel[[#This Row],[Recipe Combination]],FINI_grouping_for_wheel[[#This Row],[Subgroup]])</f>
        <v>P5</v>
      </c>
    </row>
    <row r="282" spans="1:55" hidden="1">
      <c r="A282" t="s">
        <v>10</v>
      </c>
      <c r="B282">
        <v>4061019</v>
      </c>
      <c r="C282" t="s">
        <v>1234</v>
      </c>
      <c r="D282">
        <v>7398.41250337</v>
      </c>
      <c r="E282">
        <v>118</v>
      </c>
      <c r="F282">
        <v>2.36</v>
      </c>
      <c r="G282" t="s">
        <v>1287</v>
      </c>
      <c r="H282" t="s">
        <v>1288</v>
      </c>
      <c r="I282">
        <v>300</v>
      </c>
      <c r="J282" t="s">
        <v>90</v>
      </c>
      <c r="K282" t="s">
        <v>188</v>
      </c>
      <c r="L282" t="s">
        <v>189</v>
      </c>
      <c r="M282">
        <v>3989.75985</v>
      </c>
      <c r="N282">
        <v>15.9590394</v>
      </c>
      <c r="O282">
        <v>61284.842325</v>
      </c>
      <c r="P282">
        <v>871697.41245</v>
      </c>
      <c r="Q282">
        <v>6.5101902830097549E-2</v>
      </c>
      <c r="R282">
        <v>481.650731891</v>
      </c>
      <c r="S282" t="s">
        <v>173</v>
      </c>
      <c r="T282" t="s">
        <v>93</v>
      </c>
      <c r="U282">
        <v>5</v>
      </c>
      <c r="V282" t="s">
        <v>119</v>
      </c>
      <c r="W282" t="s">
        <v>142</v>
      </c>
      <c r="X282" t="s">
        <v>96</v>
      </c>
      <c r="Y282" s="23" t="s">
        <v>120</v>
      </c>
      <c r="AA282">
        <v>464</v>
      </c>
      <c r="AB282" t="s">
        <v>1289</v>
      </c>
      <c r="AC282" t="s">
        <v>1238</v>
      </c>
      <c r="AD282" s="2">
        <v>5</v>
      </c>
      <c r="AE282" s="2" t="s">
        <v>70</v>
      </c>
      <c r="AF282" t="str">
        <f>_xlfn.CONCAT(FINI_grouping_for_wheel[[#This Row],[SEFI/Plant]],"/",IF(FINI_grouping_for_wheel[[#This Row],[RESET recipe combination]]&lt;&gt;"",FINI_grouping_for_wheel[[#This Row],[RESET recipe combination]],FINI_grouping_for_wheel[[#This Row],[Recipe Combination]]),"/",FINI_grouping_for_wheel[[#This Row],[Subgroup]])</f>
        <v>4061019/THDP/x/5</v>
      </c>
      <c r="AG2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0.06510190283009756</v>
      </c>
      <c r="AH282">
        <f>_xlfn.LET(_xlpm.pct, FINI_grouping_for_wheel[[#This Row],[% forecast within subgroup]], _xlpm.lote, FINI_grouping_for_wheel[[#This Row],[Lot size considered]], _xlpm.pct*_xlpm.lote)</f>
        <v>481.65073189137263</v>
      </c>
      <c r="AI282" cm="1">
        <f t="array" aca="1" ref="AI282" ca="1">IFERROR(INDIRECT("FINI_grouping_for_wheel[@["&amp;FINI_grouping_for_wheel[[#This Row],[Selected PV]]&amp;"]]"),"")</f>
        <v>27</v>
      </c>
      <c r="AJ28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v>
      </c>
      <c r="AL282" s="4"/>
      <c r="AM28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27</v>
      </c>
      <c r="AN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8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82" t="str">
        <f>_xlfn.CONCAT(FINI_grouping_for_wheel[[#This Row],[Recipe Combination]],FINI_grouping_for_wheel[[#This Row],[Subgroup]])</f>
        <v>P5</v>
      </c>
    </row>
    <row r="283" spans="1:55" hidden="1">
      <c r="A283" t="s">
        <v>10</v>
      </c>
      <c r="B283">
        <v>4061019</v>
      </c>
      <c r="C283" t="s">
        <v>1234</v>
      </c>
      <c r="D283">
        <v>7398.41250337</v>
      </c>
      <c r="E283">
        <v>118</v>
      </c>
      <c r="F283">
        <v>2.36</v>
      </c>
      <c r="G283" t="s">
        <v>1290</v>
      </c>
      <c r="H283" t="s">
        <v>1291</v>
      </c>
      <c r="I283">
        <v>300</v>
      </c>
      <c r="J283" t="s">
        <v>90</v>
      </c>
      <c r="K283" t="s">
        <v>254</v>
      </c>
      <c r="L283" t="s">
        <v>255</v>
      </c>
      <c r="M283">
        <v>8701.70175</v>
      </c>
      <c r="N283">
        <v>34.806807</v>
      </c>
      <c r="O283">
        <v>61284.842325</v>
      </c>
      <c r="P283">
        <v>871697.41245</v>
      </c>
      <c r="Q283">
        <v>0.14198782961460446</v>
      </c>
      <c r="R283">
        <v>1050.48453395</v>
      </c>
      <c r="S283" t="s">
        <v>173</v>
      </c>
      <c r="T283" t="s">
        <v>93</v>
      </c>
      <c r="U283">
        <v>5</v>
      </c>
      <c r="V283" t="s">
        <v>119</v>
      </c>
      <c r="W283" t="s">
        <v>95</v>
      </c>
      <c r="X283" t="s">
        <v>96</v>
      </c>
      <c r="Y283" s="23" t="s">
        <v>120</v>
      </c>
      <c r="AA283">
        <v>213</v>
      </c>
      <c r="AB283" t="s">
        <v>1292</v>
      </c>
      <c r="AC283" t="s">
        <v>1238</v>
      </c>
      <c r="AD283" s="2">
        <v>5</v>
      </c>
      <c r="AE283" s="2" t="s">
        <v>70</v>
      </c>
      <c r="AF283" t="str">
        <f>_xlfn.CONCAT(FINI_grouping_for_wheel[[#This Row],[SEFI/Plant]],"/",IF(FINI_grouping_for_wheel[[#This Row],[RESET recipe combination]]&lt;&gt;"",FINI_grouping_for_wheel[[#This Row],[RESET recipe combination]],FINI_grouping_for_wheel[[#This Row],[Recipe Combination]]),"/",FINI_grouping_for_wheel[[#This Row],[Subgroup]])</f>
        <v>4061019/THDP/x/5</v>
      </c>
      <c r="AG2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0.14198782961460446</v>
      </c>
      <c r="AH283">
        <f>_xlfn.LET(_xlpm.pct, FINI_grouping_for_wheel[[#This Row],[% forecast within subgroup]], _xlpm.lote, FINI_grouping_for_wheel[[#This Row],[Lot size considered]], _xlpm.pct*_xlpm.lote)</f>
        <v>1050.484533947059</v>
      </c>
      <c r="AI283" cm="1">
        <f t="array" aca="1" ref="AI283" ca="1">IFERROR(INDIRECT("FINI_grouping_for_wheel[@["&amp;FINI_grouping_for_wheel[[#This Row],[Selected PV]]&amp;"]]"),"")</f>
        <v>27</v>
      </c>
      <c r="AJ28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3.7</v>
      </c>
      <c r="AL283" s="4"/>
      <c r="AM28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27</v>
      </c>
      <c r="AN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8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83" t="str">
        <f>_xlfn.CONCAT(FINI_grouping_for_wheel[[#This Row],[Recipe Combination]],FINI_grouping_for_wheel[[#This Row],[Subgroup]])</f>
        <v>P5</v>
      </c>
    </row>
    <row r="284" spans="1:55" hidden="1">
      <c r="A284" t="s">
        <v>10</v>
      </c>
      <c r="B284">
        <v>4061019</v>
      </c>
      <c r="C284" t="s">
        <v>1234</v>
      </c>
      <c r="D284">
        <v>7398.41250337</v>
      </c>
      <c r="E284">
        <v>118</v>
      </c>
      <c r="F284">
        <v>2.36</v>
      </c>
      <c r="G284" t="s">
        <v>1293</v>
      </c>
      <c r="H284" t="s">
        <v>1294</v>
      </c>
      <c r="I284">
        <v>300</v>
      </c>
      <c r="J284" t="s">
        <v>90</v>
      </c>
      <c r="K284" t="s">
        <v>188</v>
      </c>
      <c r="L284" t="s">
        <v>189</v>
      </c>
      <c r="M284">
        <v>5759.697825</v>
      </c>
      <c r="N284">
        <v>23.0387913</v>
      </c>
      <c r="O284">
        <v>61284.842325</v>
      </c>
      <c r="P284">
        <v>871697.41245</v>
      </c>
      <c r="Q284">
        <v>9.3982420554428667E-2</v>
      </c>
      <c r="R284">
        <v>695.320715326</v>
      </c>
      <c r="S284" t="s">
        <v>173</v>
      </c>
      <c r="T284" t="s">
        <v>93</v>
      </c>
      <c r="U284">
        <v>5</v>
      </c>
      <c r="V284" t="s">
        <v>119</v>
      </c>
      <c r="W284" t="s">
        <v>142</v>
      </c>
      <c r="X284" t="s">
        <v>96</v>
      </c>
      <c r="Y284" s="23" t="s">
        <v>120</v>
      </c>
      <c r="AA284">
        <v>321</v>
      </c>
      <c r="AB284" t="s">
        <v>1295</v>
      </c>
      <c r="AC284" t="s">
        <v>1238</v>
      </c>
      <c r="AD284" s="2">
        <v>5</v>
      </c>
      <c r="AE284" s="2" t="s">
        <v>70</v>
      </c>
      <c r="AF284" t="str">
        <f>_xlfn.CONCAT(FINI_grouping_for_wheel[[#This Row],[SEFI/Plant]],"/",IF(FINI_grouping_for_wheel[[#This Row],[RESET recipe combination]]&lt;&gt;"",FINI_grouping_for_wheel[[#This Row],[RESET recipe combination]],FINI_grouping_for_wheel[[#This Row],[Recipe Combination]]),"/",FINI_grouping_for_wheel[[#This Row],[Subgroup]])</f>
        <v>4061019/THDP/x/5</v>
      </c>
      <c r="AG2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0.09398242055442868</v>
      </c>
      <c r="AH284">
        <f>_xlfn.LET(_xlpm.pct, FINI_grouping_for_wheel[[#This Row],[% forecast within subgroup]], _xlpm.lote, FINI_grouping_for_wheel[[#This Row],[Lot size considered]], _xlpm.pct*_xlpm.lote)</f>
        <v>695.3207153268629</v>
      </c>
      <c r="AI284" cm="1">
        <f t="array" aca="1" ref="AI284" ca="1">IFERROR(INDIRECT("FINI_grouping_for_wheel[@["&amp;FINI_grouping_for_wheel[[#This Row],[Selected PV]]&amp;"]]"),"")</f>
        <v>27</v>
      </c>
      <c r="AJ28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2.5</v>
      </c>
      <c r="AL284" s="4"/>
      <c r="AM28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27</v>
      </c>
      <c r="AN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8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84" t="str">
        <f>_xlfn.CONCAT(FINI_grouping_for_wheel[[#This Row],[Recipe Combination]],FINI_grouping_for_wheel[[#This Row],[Subgroup]])</f>
        <v>P5</v>
      </c>
    </row>
    <row r="285" spans="1:55" hidden="1">
      <c r="A285" t="s">
        <v>10</v>
      </c>
      <c r="B285">
        <v>4061019</v>
      </c>
      <c r="C285" t="s">
        <v>1234</v>
      </c>
      <c r="D285">
        <v>7398.41250337</v>
      </c>
      <c r="E285">
        <v>118</v>
      </c>
      <c r="F285">
        <v>2.36</v>
      </c>
      <c r="G285" t="s">
        <v>1296</v>
      </c>
      <c r="H285" t="s">
        <v>1297</v>
      </c>
      <c r="I285">
        <v>490</v>
      </c>
      <c r="J285" t="s">
        <v>90</v>
      </c>
      <c r="K285" t="s">
        <v>312</v>
      </c>
      <c r="L285" t="s">
        <v>313</v>
      </c>
      <c r="M285">
        <v>1704.8232</v>
      </c>
      <c r="N285">
        <v>6.8192928</v>
      </c>
      <c r="O285">
        <v>1704.8232</v>
      </c>
      <c r="P285">
        <v>871697.41245</v>
      </c>
      <c r="Q285">
        <v>1</v>
      </c>
      <c r="R285">
        <v>7398.41250337</v>
      </c>
      <c r="S285" t="s">
        <v>356</v>
      </c>
      <c r="T285" t="s">
        <v>93</v>
      </c>
      <c r="U285">
        <v>1</v>
      </c>
      <c r="V285" t="s">
        <v>315</v>
      </c>
      <c r="W285" t="s">
        <v>142</v>
      </c>
      <c r="X285" t="s">
        <v>150</v>
      </c>
      <c r="Y285" s="23" t="s">
        <v>151</v>
      </c>
      <c r="AA285">
        <v>1085</v>
      </c>
      <c r="AB285" t="s">
        <v>1298</v>
      </c>
      <c r="AC285" t="s">
        <v>1238</v>
      </c>
      <c r="AD285" s="2">
        <v>3</v>
      </c>
      <c r="AE285" s="2" t="s">
        <v>70</v>
      </c>
      <c r="AF285" t="str">
        <f>_xlfn.CONCAT(FINI_grouping_for_wheel[[#This Row],[SEFI/Plant]],"/",IF(FINI_grouping_for_wheel[[#This Row],[RESET recipe combination]]&lt;&gt;"",FINI_grouping_for_wheel[[#This Row],[RESET recipe combination]],FINI_grouping_for_wheel[[#This Row],[Recipe Combination]]),"/",FINI_grouping_for_wheel[[#This Row],[Subgroup]])</f>
        <v>4061019/THDP/x/3</v>
      </c>
      <c r="AG2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0.2724692526017029</v>
      </c>
      <c r="AH285">
        <f>_xlfn.LET(_xlpm.pct, FINI_grouping_for_wheel[[#This Row],[% forecast within subgroup]], _xlpm.lote, FINI_grouping_for_wheel[[#This Row],[Lot size considered]], _xlpm.pct*_xlpm.lote)</f>
        <v>2015.8399252323177</v>
      </c>
      <c r="AI285" cm="1">
        <f t="array" aca="1" ref="AI285" ca="1">IFERROR(INDIRECT("FINI_grouping_for_wheel[@["&amp;FINI_grouping_for_wheel[[#This Row],[Selected PV]]&amp;"]]"),"")</f>
        <v>268</v>
      </c>
      <c r="AJ28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4.4</v>
      </c>
      <c r="AL285" s="4"/>
      <c r="AM28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268</v>
      </c>
      <c r="AN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8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85" t="str">
        <f>_xlfn.CONCAT(FINI_grouping_for_wheel[[#This Row],[Recipe Combination]],FINI_grouping_for_wheel[[#This Row],[Subgroup]])</f>
        <v>R3</v>
      </c>
    </row>
    <row r="286" spans="1:55" hidden="1">
      <c r="A286" t="s">
        <v>10</v>
      </c>
      <c r="B286">
        <v>4061019</v>
      </c>
      <c r="C286" t="s">
        <v>1234</v>
      </c>
      <c r="D286">
        <v>7398.41250337</v>
      </c>
      <c r="E286">
        <v>118</v>
      </c>
      <c r="F286">
        <v>2.36</v>
      </c>
      <c r="G286" t="s">
        <v>1299</v>
      </c>
      <c r="H286" t="s">
        <v>1300</v>
      </c>
      <c r="I286">
        <v>495</v>
      </c>
      <c r="J286" t="s">
        <v>90</v>
      </c>
      <c r="K286" t="s">
        <v>406</v>
      </c>
      <c r="L286" t="s">
        <v>407</v>
      </c>
      <c r="M286">
        <v>181705.7394</v>
      </c>
      <c r="N286">
        <v>726.8229576</v>
      </c>
      <c r="O286">
        <v>181705.7394</v>
      </c>
      <c r="P286">
        <v>871697.41245</v>
      </c>
      <c r="Q286">
        <v>1</v>
      </c>
      <c r="R286">
        <v>7398.41250337</v>
      </c>
      <c r="S286" t="s">
        <v>387</v>
      </c>
      <c r="T286" t="s">
        <v>93</v>
      </c>
      <c r="U286">
        <v>15</v>
      </c>
      <c r="V286" t="s">
        <v>408</v>
      </c>
      <c r="W286" t="s">
        <v>142</v>
      </c>
      <c r="X286" t="s">
        <v>96</v>
      </c>
      <c r="Y286" s="23" t="s">
        <v>97</v>
      </c>
      <c r="AA286">
        <v>10</v>
      </c>
      <c r="AB286" t="s">
        <v>1301</v>
      </c>
      <c r="AC286" t="s">
        <v>1238</v>
      </c>
      <c r="AD286" s="2">
        <v>2</v>
      </c>
      <c r="AE286" s="2" t="s">
        <v>70</v>
      </c>
      <c r="AF286" t="str">
        <f>_xlfn.CONCAT(FINI_grouping_for_wheel[[#This Row],[SEFI/Plant]],"/",IF(FINI_grouping_for_wheel[[#This Row],[RESET recipe combination]]&lt;&gt;"",FINI_grouping_for_wheel[[#This Row],[RESET recipe combination]],FINI_grouping_for_wheel[[#This Row],[Recipe Combination]]),"/",FINI_grouping_for_wheel[[#This Row],[Subgroup]])</f>
        <v>4061019/THDP/x/2</v>
      </c>
      <c r="AG2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86">
        <f>_xlfn.LET(_xlpm.pct, FINI_grouping_for_wheel[[#This Row],[% forecast within subgroup]], _xlpm.lote, FINI_grouping_for_wheel[[#This Row],[Lot size considered]], _xlpm.pct*_xlpm.lote)</f>
        <v>7398.41250337</v>
      </c>
      <c r="AI286" cm="1">
        <f t="array" aca="1" ref="AI286" ca="1">IFERROR(INDIRECT("FINI_grouping_for_wheel[@["&amp;FINI_grouping_for_wheel[[#This Row],[Selected PV]]&amp;"]]"),"")</f>
        <v>9</v>
      </c>
      <c r="AJ28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7878.887775</v>
      </c>
      <c r="AK2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15.9</v>
      </c>
      <c r="AL286" s="4"/>
      <c r="AM28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v>
      </c>
      <c r="AN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8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86" t="str">
        <f>_xlfn.CONCAT(FINI_grouping_for_wheel[[#This Row],[Recipe Combination]],FINI_grouping_for_wheel[[#This Row],[Subgroup]])</f>
        <v>X2</v>
      </c>
    </row>
    <row r="287" spans="1:55" hidden="1">
      <c r="A287" t="s">
        <v>10</v>
      </c>
      <c r="B287">
        <v>4539476</v>
      </c>
      <c r="C287" t="s">
        <v>1302</v>
      </c>
      <c r="D287">
        <v>7763.19528838</v>
      </c>
      <c r="E287">
        <v>106</v>
      </c>
      <c r="F287">
        <v>2.12</v>
      </c>
      <c r="G287" t="s">
        <v>1303</v>
      </c>
      <c r="H287" t="s">
        <v>1304</v>
      </c>
      <c r="I287">
        <v>375</v>
      </c>
      <c r="J287" t="s">
        <v>90</v>
      </c>
      <c r="K287" t="s">
        <v>1305</v>
      </c>
      <c r="L287" t="s">
        <v>1306</v>
      </c>
      <c r="M287">
        <v>9864.29646</v>
      </c>
      <c r="N287">
        <v>39.45718584</v>
      </c>
      <c r="O287">
        <v>9864.29646</v>
      </c>
      <c r="P287">
        <v>820768.18716</v>
      </c>
      <c r="Q287">
        <v>1</v>
      </c>
      <c r="R287">
        <v>7763.19528838</v>
      </c>
      <c r="S287" t="s">
        <v>104</v>
      </c>
      <c r="T287" t="s">
        <v>93</v>
      </c>
      <c r="U287">
        <v>2.5</v>
      </c>
      <c r="V287" t="s">
        <v>105</v>
      </c>
      <c r="W287" t="s">
        <v>95</v>
      </c>
      <c r="X287" t="s">
        <v>106</v>
      </c>
      <c r="Y287" s="23" t="s">
        <v>107</v>
      </c>
      <c r="AA287">
        <v>197</v>
      </c>
      <c r="AB287" t="s">
        <v>1307</v>
      </c>
      <c r="AC287" t="s">
        <v>1308</v>
      </c>
      <c r="AD287" s="2">
        <v>4</v>
      </c>
      <c r="AE287" s="2" t="s">
        <v>70</v>
      </c>
      <c r="AF287" t="str">
        <f>_xlfn.CONCAT(FINI_grouping_for_wheel[[#This Row],[SEFI/Plant]],"/",IF(FINI_grouping_for_wheel[[#This Row],[RESET recipe combination]]&lt;&gt;"",FINI_grouping_for_wheel[[#This Row],[RESET recipe combination]],FINI_grouping_for_wheel[[#This Row],[Recipe Combination]]),"/",FINI_grouping_for_wheel[[#This Row],[Subgroup]])</f>
        <v>4539476/THDP/x/4</v>
      </c>
      <c r="AG2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0.2929367506943712</v>
      </c>
      <c r="AH287">
        <f>_xlfn.LET(_xlpm.pct, FINI_grouping_for_wheel[[#This Row],[% forecast within subgroup]], _xlpm.lote, FINI_grouping_for_wheel[[#This Row],[Lot size considered]], _xlpm.pct*_xlpm.lote)</f>
        <v>2274.125202783889</v>
      </c>
      <c r="AI287" cm="1">
        <f t="array" aca="1" ref="AI287" ca="1">IFERROR(INDIRECT("FINI_grouping_for_wheel[@["&amp;FINI_grouping_for_wheel[[#This Row],[Selected PV]]&amp;"]]"),"")</f>
        <v>53</v>
      </c>
      <c r="AJ28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6.5</v>
      </c>
      <c r="AL287" s="4"/>
      <c r="AM28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53</v>
      </c>
      <c r="AN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8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87" t="str">
        <f>_xlfn.CONCAT(FINI_grouping_for_wheel[[#This Row],[Recipe Combination]],FINI_grouping_for_wheel[[#This Row],[Subgroup]])</f>
        <v>04</v>
      </c>
    </row>
    <row r="288" spans="1:55" hidden="1">
      <c r="A288" t="s">
        <v>10</v>
      </c>
      <c r="B288">
        <v>4539476</v>
      </c>
      <c r="C288" t="s">
        <v>1302</v>
      </c>
      <c r="D288">
        <v>7763.19528838</v>
      </c>
      <c r="E288">
        <v>106</v>
      </c>
      <c r="F288">
        <v>2.12</v>
      </c>
      <c r="G288" t="s">
        <v>1309</v>
      </c>
      <c r="H288" t="s">
        <v>1310</v>
      </c>
      <c r="J288" t="s">
        <v>90</v>
      </c>
      <c r="K288" t="s">
        <v>264</v>
      </c>
      <c r="L288" t="s">
        <v>265</v>
      </c>
      <c r="M288">
        <v>12280.646565</v>
      </c>
      <c r="N288">
        <v>49.12258626</v>
      </c>
      <c r="O288">
        <v>12280.646565</v>
      </c>
      <c r="P288">
        <v>820768.18716</v>
      </c>
      <c r="Q288">
        <v>1</v>
      </c>
      <c r="R288">
        <v>7763.19528838</v>
      </c>
      <c r="S288" t="s">
        <v>594</v>
      </c>
      <c r="T288" t="s">
        <v>93</v>
      </c>
      <c r="U288">
        <v>2.5</v>
      </c>
      <c r="V288" t="s">
        <v>267</v>
      </c>
      <c r="W288" t="s">
        <v>142</v>
      </c>
      <c r="X288" t="s">
        <v>150</v>
      </c>
      <c r="Y288" s="23" t="s">
        <v>151</v>
      </c>
      <c r="AA288">
        <v>158</v>
      </c>
      <c r="AB288" t="s">
        <v>1311</v>
      </c>
      <c r="AC288" t="s">
        <v>1308</v>
      </c>
      <c r="AD288" s="2">
        <v>6</v>
      </c>
      <c r="AE288" s="2" t="s">
        <v>70</v>
      </c>
      <c r="AF288" t="str">
        <f>_xlfn.CONCAT(FINI_grouping_for_wheel[[#This Row],[SEFI/Plant]],"/",IF(FINI_grouping_for_wheel[[#This Row],[RESET recipe combination]]&lt;&gt;"",FINI_grouping_for_wheel[[#This Row],[RESET recipe combination]],FINI_grouping_for_wheel[[#This Row],[Recipe Combination]]),"/",FINI_grouping_for_wheel[[#This Row],[Subgroup]])</f>
        <v>4539476/THDP/x/6</v>
      </c>
      <c r="AG2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0.7838144174097023</v>
      </c>
      <c r="AH288">
        <f>_xlfn.LET(_xlpm.pct, FINI_grouping_for_wheel[[#This Row],[% forecast within subgroup]], _xlpm.lote, FINI_grouping_for_wheel[[#This Row],[Lot size considered]], _xlpm.pct*_xlpm.lote)</f>
        <v>6084.904392199315</v>
      </c>
      <c r="AI288" cm="1">
        <f t="array" aca="1" ref="AI288" ca="1">IFERROR(INDIRECT("FINI_grouping_for_wheel[@["&amp;FINI_grouping_for_wheel[[#This Row],[Selected PV]]&amp;"]]"),"")</f>
        <v>113</v>
      </c>
      <c r="AJ28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8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288" s="4"/>
      <c r="AM28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113</v>
      </c>
      <c r="AN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8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88" t="str">
        <f>_xlfn.CONCAT(FINI_grouping_for_wheel[[#This Row],[Recipe Combination]],FINI_grouping_for_wheel[[#This Row],[Subgroup]])</f>
        <v>46</v>
      </c>
    </row>
    <row r="289" spans="1:55" hidden="1">
      <c r="A289" t="s">
        <v>10</v>
      </c>
      <c r="B289">
        <v>4539476</v>
      </c>
      <c r="C289" t="s">
        <v>1302</v>
      </c>
      <c r="D289">
        <v>7763.19528838</v>
      </c>
      <c r="E289">
        <v>106</v>
      </c>
      <c r="F289">
        <v>2.12</v>
      </c>
      <c r="G289" t="s">
        <v>1312</v>
      </c>
      <c r="H289" t="s">
        <v>1313</v>
      </c>
      <c r="J289" t="s">
        <v>90</v>
      </c>
      <c r="K289" t="s">
        <v>1314</v>
      </c>
      <c r="L289" t="s">
        <v>1315</v>
      </c>
      <c r="M289">
        <v>29047.109175</v>
      </c>
      <c r="N289">
        <v>116.1884367</v>
      </c>
      <c r="O289">
        <v>29047.109175</v>
      </c>
      <c r="P289">
        <v>820768.18716</v>
      </c>
      <c r="Q289">
        <v>1</v>
      </c>
      <c r="R289">
        <v>7763.19528838</v>
      </c>
      <c r="S289" t="s">
        <v>1316</v>
      </c>
      <c r="T289" t="s">
        <v>93</v>
      </c>
      <c r="U289">
        <v>5</v>
      </c>
      <c r="V289" t="s">
        <v>119</v>
      </c>
      <c r="W289" t="s">
        <v>142</v>
      </c>
      <c r="X289" t="s">
        <v>96</v>
      </c>
      <c r="Y289" s="23" t="s">
        <v>120</v>
      </c>
      <c r="AA289">
        <v>67</v>
      </c>
      <c r="AB289" t="s">
        <v>1317</v>
      </c>
      <c r="AC289" t="s">
        <v>1308</v>
      </c>
      <c r="AD289" s="2">
        <v>8</v>
      </c>
      <c r="AE289" s="2" t="s">
        <v>70</v>
      </c>
      <c r="AF289" t="str">
        <f>_xlfn.CONCAT(FINI_grouping_for_wheel[[#This Row],[SEFI/Plant]],"/",IF(FINI_grouping_for_wheel[[#This Row],[RESET recipe combination]]&lt;&gt;"",FINI_grouping_for_wheel[[#This Row],[RESET recipe combination]],FINI_grouping_for_wheel[[#This Row],[Recipe Combination]]),"/",FINI_grouping_for_wheel[[#This Row],[Subgroup]])</f>
        <v>4539476/THDP/x/8</v>
      </c>
      <c r="AG2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289">
        <f>_xlfn.LET(_xlpm.pct, FINI_grouping_for_wheel[[#This Row],[% forecast within subgroup]], _xlpm.lote, FINI_grouping_for_wheel[[#This Row],[Lot size considered]], _xlpm.pct*_xlpm.lote)</f>
        <v>7763.19528838</v>
      </c>
      <c r="AI289" cm="1">
        <f t="array" aca="1" ref="AI289" ca="1">IFERROR(INDIRECT("FINI_grouping_for_wheel[@["&amp;FINI_grouping_for_wheel[[#This Row],[Selected PV]]&amp;"]]"),"")</f>
        <v>61</v>
      </c>
      <c r="AJ28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8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289" s="4"/>
      <c r="AM28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61</v>
      </c>
      <c r="AN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8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89" t="str">
        <f>_xlfn.CONCAT(FINI_grouping_for_wheel[[#This Row],[Recipe Combination]],FINI_grouping_for_wheel[[#This Row],[Subgroup]])</f>
        <v>68</v>
      </c>
    </row>
    <row r="290" spans="1:55" hidden="1">
      <c r="A290" t="s">
        <v>10</v>
      </c>
      <c r="B290">
        <v>4539476</v>
      </c>
      <c r="C290" t="s">
        <v>1302</v>
      </c>
      <c r="D290">
        <v>7763.19528838</v>
      </c>
      <c r="E290">
        <v>106</v>
      </c>
      <c r="F290">
        <v>2.12</v>
      </c>
      <c r="G290" t="s">
        <v>1318</v>
      </c>
      <c r="H290" t="s">
        <v>1319</v>
      </c>
      <c r="I290">
        <v>300</v>
      </c>
      <c r="J290" t="s">
        <v>90</v>
      </c>
      <c r="K290" t="s">
        <v>292</v>
      </c>
      <c r="L290" t="s">
        <v>293</v>
      </c>
      <c r="M290">
        <v>4273.89705</v>
      </c>
      <c r="N290">
        <v>17.0955882</v>
      </c>
      <c r="O290">
        <v>4273.89705</v>
      </c>
      <c r="P290">
        <v>820768.18716</v>
      </c>
      <c r="Q290">
        <v>1</v>
      </c>
      <c r="R290">
        <v>7763.19528838</v>
      </c>
      <c r="S290" t="s">
        <v>294</v>
      </c>
      <c r="T290" t="s">
        <v>93</v>
      </c>
      <c r="U290">
        <v>12.5</v>
      </c>
      <c r="V290" t="s">
        <v>295</v>
      </c>
      <c r="W290" t="s">
        <v>142</v>
      </c>
      <c r="X290" t="s">
        <v>128</v>
      </c>
      <c r="Y290" s="23" t="s">
        <v>120</v>
      </c>
      <c r="AA290">
        <v>454</v>
      </c>
      <c r="AB290" t="s">
        <v>1320</v>
      </c>
      <c r="AC290" t="s">
        <v>1308</v>
      </c>
      <c r="AD290" s="2">
        <v>11</v>
      </c>
      <c r="AE290" s="2" t="s">
        <v>70</v>
      </c>
      <c r="AF290" t="str">
        <f>_xlfn.CONCAT(FINI_grouping_for_wheel[[#This Row],[SEFI/Plant]],"/",IF(FINI_grouping_for_wheel[[#This Row],[RESET recipe combination]]&lt;&gt;"",FINI_grouping_for_wheel[[#This Row],[RESET recipe combination]],FINI_grouping_for_wheel[[#This Row],[Recipe Combination]]),"/",FINI_grouping_for_wheel[[#This Row],[Subgroup]])</f>
        <v>4539476/THDP/x/11</v>
      </c>
      <c r="AG2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0.5179340028694405</v>
      </c>
      <c r="AH290">
        <f>_xlfn.LET(_xlpm.pct, FINI_grouping_for_wheel[[#This Row],[% forecast within subgroup]], _xlpm.lote, FINI_grouping_for_wheel[[#This Row],[Lot size considered]], _xlpm.pct*_xlpm.lote)</f>
        <v>4020.8228107678337</v>
      </c>
      <c r="AI290" cm="1">
        <f t="array" aca="1" ref="AI290" ca="1">IFERROR(INDIRECT("FINI_grouping_for_wheel[@["&amp;FINI_grouping_for_wheel[[#This Row],[Selected PV]]&amp;"]]"),"")</f>
        <v>215</v>
      </c>
      <c r="AJ29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14.4</v>
      </c>
      <c r="AL290" s="4"/>
      <c r="AM29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215</v>
      </c>
      <c r="AN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9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90" t="str">
        <f>_xlfn.CONCAT(FINI_grouping_for_wheel[[#This Row],[Recipe Combination]],FINI_grouping_for_wheel[[#This Row],[Subgroup]])</f>
        <v>C11</v>
      </c>
    </row>
    <row r="291" spans="1:55" hidden="1">
      <c r="A291" t="s">
        <v>10</v>
      </c>
      <c r="B291">
        <v>4539476</v>
      </c>
      <c r="C291" t="s">
        <v>1302</v>
      </c>
      <c r="D291">
        <v>7763.19528838</v>
      </c>
      <c r="E291">
        <v>106</v>
      </c>
      <c r="F291">
        <v>2.12</v>
      </c>
      <c r="G291" t="s">
        <v>1321</v>
      </c>
      <c r="H291" t="s">
        <v>1322</v>
      </c>
      <c r="I291">
        <v>300</v>
      </c>
      <c r="J291" t="s">
        <v>90</v>
      </c>
      <c r="K291" t="s">
        <v>254</v>
      </c>
      <c r="L291" t="s">
        <v>255</v>
      </c>
      <c r="M291">
        <v>1953.44325</v>
      </c>
      <c r="N291">
        <v>7.813773</v>
      </c>
      <c r="O291">
        <v>1953.44325</v>
      </c>
      <c r="P291">
        <v>820768.18716</v>
      </c>
      <c r="Q291">
        <v>1</v>
      </c>
      <c r="R291">
        <v>7763.19528838</v>
      </c>
      <c r="S291" t="s">
        <v>905</v>
      </c>
      <c r="T291" t="s">
        <v>93</v>
      </c>
      <c r="U291">
        <v>5</v>
      </c>
      <c r="V291" t="s">
        <v>119</v>
      </c>
      <c r="W291" t="s">
        <v>95</v>
      </c>
      <c r="X291" t="s">
        <v>96</v>
      </c>
      <c r="Y291" s="23" t="s">
        <v>120</v>
      </c>
      <c r="AA291">
        <v>994</v>
      </c>
      <c r="AB291" t="s">
        <v>1323</v>
      </c>
      <c r="AC291" t="s">
        <v>1308</v>
      </c>
      <c r="AD291" s="2">
        <v>9</v>
      </c>
      <c r="AE291" s="2" t="s">
        <v>70</v>
      </c>
      <c r="AF291" t="str">
        <f>_xlfn.CONCAT(FINI_grouping_for_wheel[[#This Row],[SEFI/Plant]],"/",IF(FINI_grouping_for_wheel[[#This Row],[RESET recipe combination]]&lt;&gt;"",FINI_grouping_for_wheel[[#This Row],[RESET recipe combination]],FINI_grouping_for_wheel[[#This Row],[Recipe Combination]]),"/",FINI_grouping_for_wheel[[#This Row],[Subgroup]])</f>
        <v>4539476/THDP/x/9</v>
      </c>
      <c r="AG2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0.3806228373702422</v>
      </c>
      <c r="AH291">
        <f>_xlfn.LET(_xlpm.pct, FINI_grouping_for_wheel[[#This Row],[% forecast within subgroup]], _xlpm.lote, FINI_grouping_for_wheel[[#This Row],[Lot size considered]], _xlpm.pct*_xlpm.lote)</f>
        <v>2954.8494177224916</v>
      </c>
      <c r="AI291" cm="1">
        <f t="array" aca="1" ref="AI291" ca="1">IFERROR(INDIRECT("FINI_grouping_for_wheel[@["&amp;FINI_grouping_for_wheel[[#This Row],[Selected PV]]&amp;"]]"),"")</f>
        <v>346</v>
      </c>
      <c r="AJ29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10.6</v>
      </c>
      <c r="AL291" s="4"/>
      <c r="AM29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346</v>
      </c>
      <c r="AN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9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91" t="str">
        <f>_xlfn.CONCAT(FINI_grouping_for_wheel[[#This Row],[Recipe Combination]],FINI_grouping_for_wheel[[#This Row],[Subgroup]])</f>
        <v>F9</v>
      </c>
    </row>
    <row r="292" spans="1:55" hidden="1">
      <c r="A292" t="s">
        <v>10</v>
      </c>
      <c r="B292">
        <v>4539476</v>
      </c>
      <c r="C292" t="s">
        <v>1302</v>
      </c>
      <c r="D292">
        <v>7763.19528838</v>
      </c>
      <c r="E292">
        <v>106</v>
      </c>
      <c r="F292">
        <v>2.12</v>
      </c>
      <c r="G292" t="s">
        <v>1324</v>
      </c>
      <c r="H292" t="s">
        <v>1325</v>
      </c>
      <c r="I292">
        <v>483</v>
      </c>
      <c r="J292" t="s">
        <v>90</v>
      </c>
      <c r="K292" t="s">
        <v>312</v>
      </c>
      <c r="L292" t="s">
        <v>313</v>
      </c>
      <c r="M292">
        <v>140.884695</v>
      </c>
      <c r="N292">
        <v>0.56353878</v>
      </c>
      <c r="O292">
        <v>3356.370675</v>
      </c>
      <c r="P292">
        <v>820768.18716</v>
      </c>
      <c r="Q292">
        <v>4.1975308641975309E-2</v>
      </c>
      <c r="R292">
        <v>325.862518278</v>
      </c>
      <c r="S292" t="s">
        <v>314</v>
      </c>
      <c r="T292" t="s">
        <v>93</v>
      </c>
      <c r="U292">
        <v>1</v>
      </c>
      <c r="V292" t="s">
        <v>315</v>
      </c>
      <c r="W292" t="s">
        <v>142</v>
      </c>
      <c r="X292" t="s">
        <v>150</v>
      </c>
      <c r="Y292" s="23" t="s">
        <v>151</v>
      </c>
      <c r="AA292">
        <v>13776</v>
      </c>
      <c r="AB292" t="s">
        <v>1326</v>
      </c>
      <c r="AC292" t="s">
        <v>1308</v>
      </c>
      <c r="AD292" s="2">
        <v>6</v>
      </c>
      <c r="AE292" s="2" t="s">
        <v>70</v>
      </c>
      <c r="AF292" t="str">
        <f>_xlfn.CONCAT(FINI_grouping_for_wheel[[#This Row],[SEFI/Plant]],"/",IF(FINI_grouping_for_wheel[[#This Row],[RESET recipe combination]]&lt;&gt;"",FINI_grouping_for_wheel[[#This Row],[RESET recipe combination]],FINI_grouping_for_wheel[[#This Row],[Recipe Combination]]),"/",FINI_grouping_for_wheel[[#This Row],[Subgroup]])</f>
        <v>4539476/THDP/x/6</v>
      </c>
      <c r="AG2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0.008991990327943176</v>
      </c>
      <c r="AH292">
        <f>_xlfn.LET(_xlpm.pct, FINI_grouping_for_wheel[[#This Row],[% forecast within subgroup]], _xlpm.lote, FINI_grouping_for_wheel[[#This Row],[Lot size considered]], _xlpm.pct*_xlpm.lote)</f>
        <v>69.806576947047</v>
      </c>
      <c r="AI292" cm="1">
        <f t="array" aca="1" ref="AI292" ca="1">IFERROR(INDIRECT("FINI_grouping_for_wheel[@["&amp;FINI_grouping_for_wheel[[#This Row],[Selected PV]]&amp;"]]"),"")</f>
        <v>113</v>
      </c>
      <c r="AJ29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292" s="4"/>
      <c r="AM29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113</v>
      </c>
      <c r="AN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9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92" t="str">
        <f>_xlfn.CONCAT(FINI_grouping_for_wheel[[#This Row],[Recipe Combination]],FINI_grouping_for_wheel[[#This Row],[Subgroup]])</f>
        <v>K6</v>
      </c>
    </row>
    <row r="293" spans="1:55" hidden="1">
      <c r="A293" t="s">
        <v>10</v>
      </c>
      <c r="B293">
        <v>4539476</v>
      </c>
      <c r="C293" t="s">
        <v>1302</v>
      </c>
      <c r="D293">
        <v>7763.19528838</v>
      </c>
      <c r="E293">
        <v>106</v>
      </c>
      <c r="F293">
        <v>2.12</v>
      </c>
      <c r="G293" t="s">
        <v>1327</v>
      </c>
      <c r="H293" t="s">
        <v>1328</v>
      </c>
      <c r="I293">
        <v>462</v>
      </c>
      <c r="J293" t="s">
        <v>90</v>
      </c>
      <c r="K293" t="s">
        <v>312</v>
      </c>
      <c r="L293" t="s">
        <v>313</v>
      </c>
      <c r="M293">
        <v>2470.809735</v>
      </c>
      <c r="N293">
        <v>9.88323894</v>
      </c>
      <c r="O293">
        <v>3356.370675</v>
      </c>
      <c r="P293">
        <v>820768.18716</v>
      </c>
      <c r="Q293">
        <v>0.73615520282186953</v>
      </c>
      <c r="R293">
        <v>5714.91660206</v>
      </c>
      <c r="S293" t="s">
        <v>314</v>
      </c>
      <c r="T293" t="s">
        <v>93</v>
      </c>
      <c r="U293">
        <v>1</v>
      </c>
      <c r="V293" t="s">
        <v>315</v>
      </c>
      <c r="W293" t="s">
        <v>142</v>
      </c>
      <c r="X293" t="s">
        <v>150</v>
      </c>
      <c r="Y293" s="23" t="s">
        <v>151</v>
      </c>
      <c r="AA293">
        <v>785</v>
      </c>
      <c r="AB293" t="s">
        <v>1329</v>
      </c>
      <c r="AC293" t="s">
        <v>1308</v>
      </c>
      <c r="AD293" s="2">
        <v>6</v>
      </c>
      <c r="AE293" s="2" t="s">
        <v>70</v>
      </c>
      <c r="AF293" t="str">
        <f>_xlfn.CONCAT(FINI_grouping_for_wheel[[#This Row],[SEFI/Plant]],"/",IF(FINI_grouping_for_wheel[[#This Row],[RESET recipe combination]]&lt;&gt;"",FINI_grouping_for_wheel[[#This Row],[RESET recipe combination]],FINI_grouping_for_wheel[[#This Row],[Recipe Combination]]),"/",FINI_grouping_for_wheel[[#This Row],[Subgroup]])</f>
        <v>4539476/THDP/x/6</v>
      </c>
      <c r="AG2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0.1576998639867009</v>
      </c>
      <c r="AH293">
        <f>_xlfn.LET(_xlpm.pct, FINI_grouping_for_wheel[[#This Row],[% forecast within subgroup]], _xlpm.lote, FINI_grouping_for_wheel[[#This Row],[Lot size considered]], _xlpm.pct*_xlpm.lote)</f>
        <v>1224.2548410797235</v>
      </c>
      <c r="AI293" cm="1">
        <f t="array" aca="1" ref="AI293" ca="1">IFERROR(INDIRECT("FINI_grouping_for_wheel[@["&amp;FINI_grouping_for_wheel[[#This Row],[Selected PV]]&amp;"]]"),"")</f>
        <v>113</v>
      </c>
      <c r="AJ29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v>
      </c>
      <c r="AL293" s="4"/>
      <c r="AM29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113</v>
      </c>
      <c r="AN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9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93" t="str">
        <f>_xlfn.CONCAT(FINI_grouping_for_wheel[[#This Row],[Recipe Combination]],FINI_grouping_for_wheel[[#This Row],[Subgroup]])</f>
        <v>K6</v>
      </c>
    </row>
    <row r="294" spans="1:55" hidden="1">
      <c r="A294" t="s">
        <v>10</v>
      </c>
      <c r="B294">
        <v>4539476</v>
      </c>
      <c r="C294" t="s">
        <v>1302</v>
      </c>
      <c r="D294">
        <v>7763.19528838</v>
      </c>
      <c r="E294">
        <v>106</v>
      </c>
      <c r="F294">
        <v>2.12</v>
      </c>
      <c r="G294" t="s">
        <v>1330</v>
      </c>
      <c r="H294" t="s">
        <v>1331</v>
      </c>
      <c r="I294">
        <v>462</v>
      </c>
      <c r="J294" t="s">
        <v>90</v>
      </c>
      <c r="K294" t="s">
        <v>312</v>
      </c>
      <c r="L294" t="s">
        <v>313</v>
      </c>
      <c r="M294">
        <v>744.676245</v>
      </c>
      <c r="N294">
        <v>2.97870498</v>
      </c>
      <c r="O294">
        <v>3356.370675</v>
      </c>
      <c r="P294">
        <v>820768.18716</v>
      </c>
      <c r="Q294">
        <v>0.22186948853615521</v>
      </c>
      <c r="R294">
        <v>1722.41616804</v>
      </c>
      <c r="S294" t="s">
        <v>314</v>
      </c>
      <c r="T294" t="s">
        <v>93</v>
      </c>
      <c r="U294">
        <v>1</v>
      </c>
      <c r="V294" t="s">
        <v>315</v>
      </c>
      <c r="W294" t="s">
        <v>142</v>
      </c>
      <c r="X294" t="s">
        <v>150</v>
      </c>
      <c r="Y294" s="23" t="s">
        <v>151</v>
      </c>
      <c r="AA294">
        <v>2606</v>
      </c>
      <c r="AB294" t="s">
        <v>1332</v>
      </c>
      <c r="AC294" t="s">
        <v>1308</v>
      </c>
      <c r="AD294" s="2">
        <v>6</v>
      </c>
      <c r="AE294" s="2" t="s">
        <v>70</v>
      </c>
      <c r="AF294" t="str">
        <f>_xlfn.CONCAT(FINI_grouping_for_wheel[[#This Row],[SEFI/Plant]],"/",IF(FINI_grouping_for_wheel[[#This Row],[RESET recipe combination]]&lt;&gt;"",FINI_grouping_for_wheel[[#This Row],[RESET recipe combination]],FINI_grouping_for_wheel[[#This Row],[Recipe Combination]]),"/",FINI_grouping_for_wheel[[#This Row],[Subgroup]])</f>
        <v>4539476/THDP/x/6</v>
      </c>
      <c r="AG2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0.047529091733413936</v>
      </c>
      <c r="AH294">
        <f>_xlfn.LET(_xlpm.pct, FINI_grouping_for_wheel[[#This Row],[% forecast within subgroup]], _xlpm.lote, FINI_grouping_for_wheel[[#This Row],[Lot size considered]], _xlpm.pct*_xlpm.lote)</f>
        <v>368.9776210058199</v>
      </c>
      <c r="AI294" cm="1">
        <f t="array" aca="1" ref="AI294" ca="1">IFERROR(INDIRECT("FINI_grouping_for_wheel[@["&amp;FINI_grouping_for_wheel[[#This Row],[Selected PV]]&amp;"]]"),"")</f>
        <v>113</v>
      </c>
      <c r="AJ29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0.9</v>
      </c>
      <c r="AL294" s="4"/>
      <c r="AM29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113</v>
      </c>
      <c r="AN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9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94" t="str">
        <f>_xlfn.CONCAT(FINI_grouping_for_wheel[[#This Row],[Recipe Combination]],FINI_grouping_for_wheel[[#This Row],[Subgroup]])</f>
        <v>K6</v>
      </c>
    </row>
    <row r="295" spans="1:55" hidden="1">
      <c r="A295" t="s">
        <v>10</v>
      </c>
      <c r="B295">
        <v>4539476</v>
      </c>
      <c r="C295" t="s">
        <v>1302</v>
      </c>
      <c r="D295">
        <v>7763.19528838</v>
      </c>
      <c r="E295">
        <v>106</v>
      </c>
      <c r="F295">
        <v>2.12</v>
      </c>
      <c r="G295" t="s">
        <v>1333</v>
      </c>
      <c r="H295" t="s">
        <v>1334</v>
      </c>
      <c r="I295">
        <v>405</v>
      </c>
      <c r="J295" t="s">
        <v>90</v>
      </c>
      <c r="K295" t="s">
        <v>412</v>
      </c>
      <c r="L295" t="s">
        <v>413</v>
      </c>
      <c r="M295">
        <v>2841.372</v>
      </c>
      <c r="N295">
        <v>11.365488</v>
      </c>
      <c r="O295">
        <v>8322.85215</v>
      </c>
      <c r="P295">
        <v>820768.18716</v>
      </c>
      <c r="Q295">
        <v>0.3413940256045519</v>
      </c>
      <c r="R295">
        <v>2650.30849105</v>
      </c>
      <c r="S295" t="s">
        <v>157</v>
      </c>
      <c r="T295" t="s">
        <v>93</v>
      </c>
      <c r="U295">
        <v>15</v>
      </c>
      <c r="V295" t="s">
        <v>408</v>
      </c>
      <c r="W295" t="s">
        <v>95</v>
      </c>
      <c r="X295" t="s">
        <v>96</v>
      </c>
      <c r="Y295" s="23" t="s">
        <v>97</v>
      </c>
      <c r="AA295">
        <v>683</v>
      </c>
      <c r="AB295" t="s">
        <v>1335</v>
      </c>
      <c r="AC295" t="s">
        <v>1308</v>
      </c>
      <c r="AD295" s="2">
        <v>11</v>
      </c>
      <c r="AE295" s="2" t="s">
        <v>70</v>
      </c>
      <c r="AF295" t="str">
        <f>_xlfn.CONCAT(FINI_grouping_for_wheel[[#This Row],[SEFI/Plant]],"/",IF(FINI_grouping_for_wheel[[#This Row],[RESET recipe combination]]&lt;&gt;"",FINI_grouping_for_wheel[[#This Row],[RESET recipe combination]],FINI_grouping_for_wheel[[#This Row],[Recipe Combination]]),"/",FINI_grouping_for_wheel[[#This Row],[Subgroup]])</f>
        <v>4539476/THDP/x/11</v>
      </c>
      <c r="AG2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0.34433285509325684</v>
      </c>
      <c r="AH295">
        <f>_xlfn.LET(_xlpm.pct, FINI_grouping_for_wheel[[#This Row],[% forecast within subgroup]], _xlpm.lote, FINI_grouping_for_wheel[[#This Row],[Lot size considered]], _xlpm.pct*_xlpm.lote)</f>
        <v>2673.123198294405</v>
      </c>
      <c r="AI295" cm="1">
        <f t="array" aca="1" ref="AI295" ca="1">IFERROR(INDIRECT("FINI_grouping_for_wheel[@["&amp;FINI_grouping_for_wheel[[#This Row],[Selected PV]]&amp;"]]"),"")</f>
        <v>215</v>
      </c>
      <c r="AJ29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7.1</v>
      </c>
      <c r="AL295" s="4"/>
      <c r="AM29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215</v>
      </c>
      <c r="AN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9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95" t="str">
        <f>_xlfn.CONCAT(FINI_grouping_for_wheel[[#This Row],[Recipe Combination]],FINI_grouping_for_wheel[[#This Row],[Subgroup]])</f>
        <v>M11</v>
      </c>
    </row>
    <row r="296" spans="1:55" hidden="1">
      <c r="A296" t="s">
        <v>10</v>
      </c>
      <c r="B296">
        <v>4539476</v>
      </c>
      <c r="C296" t="s">
        <v>1302</v>
      </c>
      <c r="D296">
        <v>7763.19528838</v>
      </c>
      <c r="E296">
        <v>106</v>
      </c>
      <c r="F296">
        <v>2.12</v>
      </c>
      <c r="G296" t="s">
        <v>1336</v>
      </c>
      <c r="H296" t="s">
        <v>1337</v>
      </c>
      <c r="I296">
        <v>440</v>
      </c>
      <c r="J296" t="s">
        <v>90</v>
      </c>
      <c r="K296" t="s">
        <v>385</v>
      </c>
      <c r="L296" t="s">
        <v>386</v>
      </c>
      <c r="M296">
        <v>4344.93135</v>
      </c>
      <c r="N296">
        <v>17.3797254</v>
      </c>
      <c r="O296">
        <v>8322.85215</v>
      </c>
      <c r="P296">
        <v>820768.18716</v>
      </c>
      <c r="Q296">
        <v>0.52204836415362732</v>
      </c>
      <c r="R296">
        <v>4052.7634009</v>
      </c>
      <c r="S296" t="s">
        <v>157</v>
      </c>
      <c r="T296" t="s">
        <v>93</v>
      </c>
      <c r="U296">
        <v>10</v>
      </c>
      <c r="V296" t="s">
        <v>94</v>
      </c>
      <c r="W296" t="s">
        <v>95</v>
      </c>
      <c r="X296" t="s">
        <v>96</v>
      </c>
      <c r="Y296" s="23" t="s">
        <v>97</v>
      </c>
      <c r="AA296">
        <v>447</v>
      </c>
      <c r="AB296" t="s">
        <v>1338</v>
      </c>
      <c r="AC296" t="s">
        <v>1308</v>
      </c>
      <c r="AD296" s="2">
        <v>10</v>
      </c>
      <c r="AE296" s="2" t="s">
        <v>70</v>
      </c>
      <c r="AF296" t="str">
        <f>_xlfn.CONCAT(FINI_grouping_for_wheel[[#This Row],[SEFI/Plant]],"/",IF(FINI_grouping_for_wheel[[#This Row],[RESET recipe combination]]&lt;&gt;"",FINI_grouping_for_wheel[[#This Row],[RESET recipe combination]],FINI_grouping_for_wheel[[#This Row],[Recipe Combination]]),"/",FINI_grouping_for_wheel[[#This Row],[Subgroup]])</f>
        <v>4539476/THDP/x/10</v>
      </c>
      <c r="AG2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0.1882051282051282</v>
      </c>
      <c r="AH296">
        <f>_xlfn.LET(_xlpm.pct, FINI_grouping_for_wheel[[#This Row],[% forecast within subgroup]], _xlpm.lote, FINI_grouping_for_wheel[[#This Row],[Lot size considered]], _xlpm.pct*_xlpm.lote)</f>
        <v>1461.0731645310052</v>
      </c>
      <c r="AI296" cm="1">
        <f t="array" aca="1" ref="AI296" ca="1">IFERROR(INDIRECT("FINI_grouping_for_wheel[@["&amp;FINI_grouping_for_wheel[[#This Row],[Selected PV]]&amp;"]]"),"")</f>
        <v>77</v>
      </c>
      <c r="AJ29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3.6</v>
      </c>
      <c r="AL296" s="4"/>
      <c r="AM29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77</v>
      </c>
      <c r="AN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9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96" t="str">
        <f>_xlfn.CONCAT(FINI_grouping_for_wheel[[#This Row],[Recipe Combination]],FINI_grouping_for_wheel[[#This Row],[Subgroup]])</f>
        <v>M10</v>
      </c>
    </row>
    <row r="297" spans="1:55" hidden="1">
      <c r="A297" t="s">
        <v>10</v>
      </c>
      <c r="B297">
        <v>4539476</v>
      </c>
      <c r="C297" t="s">
        <v>1302</v>
      </c>
      <c r="D297">
        <v>7763.19528838</v>
      </c>
      <c r="E297">
        <v>106</v>
      </c>
      <c r="F297">
        <v>2.12</v>
      </c>
      <c r="G297" t="s">
        <v>1339</v>
      </c>
      <c r="H297" t="s">
        <v>1340</v>
      </c>
      <c r="I297">
        <v>405</v>
      </c>
      <c r="J297" t="s">
        <v>90</v>
      </c>
      <c r="K297" t="s">
        <v>406</v>
      </c>
      <c r="L297" t="s">
        <v>407</v>
      </c>
      <c r="M297">
        <v>799.135875</v>
      </c>
      <c r="N297">
        <v>3.1965435</v>
      </c>
      <c r="O297">
        <v>8322.85215</v>
      </c>
      <c r="P297">
        <v>820768.18716</v>
      </c>
      <c r="Q297">
        <v>9.6017069701280225E-2</v>
      </c>
      <c r="R297">
        <v>745.399263109</v>
      </c>
      <c r="S297" t="s">
        <v>157</v>
      </c>
      <c r="T297" t="s">
        <v>93</v>
      </c>
      <c r="U297">
        <v>15</v>
      </c>
      <c r="V297" t="s">
        <v>408</v>
      </c>
      <c r="W297" t="s">
        <v>142</v>
      </c>
      <c r="X297" t="s">
        <v>96</v>
      </c>
      <c r="Y297" s="23" t="s">
        <v>97</v>
      </c>
      <c r="AA297">
        <v>2429</v>
      </c>
      <c r="AB297" t="s">
        <v>1341</v>
      </c>
      <c r="AC297" t="s">
        <v>1308</v>
      </c>
      <c r="AD297" s="2">
        <v>11</v>
      </c>
      <c r="AE297" s="2" t="s">
        <v>70</v>
      </c>
      <c r="AF297" t="str">
        <f>_xlfn.CONCAT(FINI_grouping_for_wheel[[#This Row],[SEFI/Plant]],"/",IF(FINI_grouping_for_wheel[[#This Row],[RESET recipe combination]]&lt;&gt;"",FINI_grouping_for_wheel[[#This Row],[RESET recipe combination]],FINI_grouping_for_wheel[[#This Row],[Recipe Combination]]),"/",FINI_grouping_for_wheel[[#This Row],[Subgroup]])</f>
        <v>4539476/THDP/x/11</v>
      </c>
      <c r="AG2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0.0968436154949785</v>
      </c>
      <c r="AH297">
        <f>_xlfn.LET(_xlpm.pct, FINI_grouping_for_wheel[[#This Row],[% forecast within subgroup]], _xlpm.lote, FINI_grouping_for_wheel[[#This Row],[Lot size considered]], _xlpm.pct*_xlpm.lote)</f>
        <v>751.8158995203015</v>
      </c>
      <c r="AI297" cm="1">
        <f t="array" aca="1" ref="AI297" ca="1">IFERROR(INDIRECT("FINI_grouping_for_wheel[@["&amp;FINI_grouping_for_wheel[[#This Row],[Selected PV]]&amp;"]]"),"")</f>
        <v>215</v>
      </c>
      <c r="AJ29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v>
      </c>
      <c r="AL297" s="4"/>
      <c r="AM29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215</v>
      </c>
      <c r="AN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9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97" t="str">
        <f>_xlfn.CONCAT(FINI_grouping_for_wheel[[#This Row],[Recipe Combination]],FINI_grouping_for_wheel[[#This Row],[Subgroup]])</f>
        <v>M11</v>
      </c>
    </row>
    <row r="298" spans="1:55" hidden="1">
      <c r="A298" t="s">
        <v>10</v>
      </c>
      <c r="B298">
        <v>4539476</v>
      </c>
      <c r="C298" t="s">
        <v>1302</v>
      </c>
      <c r="D298">
        <v>7763.19528838</v>
      </c>
      <c r="E298">
        <v>106</v>
      </c>
      <c r="F298">
        <v>2.12</v>
      </c>
      <c r="G298" t="s">
        <v>1342</v>
      </c>
      <c r="H298" t="s">
        <v>1343</v>
      </c>
      <c r="I298">
        <v>405</v>
      </c>
      <c r="J298" t="s">
        <v>90</v>
      </c>
      <c r="K298" t="s">
        <v>406</v>
      </c>
      <c r="L298" t="s">
        <v>407</v>
      </c>
      <c r="M298">
        <v>337.412925</v>
      </c>
      <c r="N298">
        <v>1.3496517</v>
      </c>
      <c r="O298">
        <v>8322.85215</v>
      </c>
      <c r="P298">
        <v>820768.18716</v>
      </c>
      <c r="Q298">
        <v>4.0540540540540543E-2</v>
      </c>
      <c r="R298">
        <v>314.724133313</v>
      </c>
      <c r="S298" t="s">
        <v>157</v>
      </c>
      <c r="T298" t="s">
        <v>93</v>
      </c>
      <c r="U298">
        <v>15</v>
      </c>
      <c r="V298" t="s">
        <v>408</v>
      </c>
      <c r="W298" t="s">
        <v>142</v>
      </c>
      <c r="X298" t="s">
        <v>96</v>
      </c>
      <c r="Y298" s="23" t="s">
        <v>97</v>
      </c>
      <c r="AA298">
        <v>5752</v>
      </c>
      <c r="AB298" t="s">
        <v>1344</v>
      </c>
      <c r="AC298" t="s">
        <v>1308</v>
      </c>
      <c r="AD298" s="2">
        <v>11</v>
      </c>
      <c r="AE298" s="2" t="s">
        <v>70</v>
      </c>
      <c r="AF298" t="str">
        <f>_xlfn.CONCAT(FINI_grouping_for_wheel[[#This Row],[SEFI/Plant]],"/",IF(FINI_grouping_for_wheel[[#This Row],[RESET recipe combination]]&lt;&gt;"",FINI_grouping_for_wheel[[#This Row],[RESET recipe combination]],FINI_grouping_for_wheel[[#This Row],[Recipe Combination]]),"/",FINI_grouping_for_wheel[[#This Row],[Subgroup]])</f>
        <v>4539476/THDP/x/11</v>
      </c>
      <c r="AG2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0.040889526542324243</v>
      </c>
      <c r="AH298">
        <f>_xlfn.LET(_xlpm.pct, FINI_grouping_for_wheel[[#This Row],[% forecast within subgroup]], _xlpm.lote, FINI_grouping_for_wheel[[#This Row],[Lot size considered]], _xlpm.pct*_xlpm.lote)</f>
        <v>317.43337979746053</v>
      </c>
      <c r="AI298" cm="1">
        <f t="array" aca="1" ref="AI298" ca="1">IFERROR(INDIRECT("FINI_grouping_for_wheel[@["&amp;FINI_grouping_for_wheel[[#This Row],[Selected PV]]&amp;"]]"),"")</f>
        <v>215</v>
      </c>
      <c r="AJ29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0.8</v>
      </c>
      <c r="AL298" s="4"/>
      <c r="AM29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215</v>
      </c>
      <c r="AN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9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98" t="str">
        <f>_xlfn.CONCAT(FINI_grouping_for_wheel[[#This Row],[Recipe Combination]],FINI_grouping_for_wheel[[#This Row],[Subgroup]])</f>
        <v>M11</v>
      </c>
    </row>
    <row r="299" spans="1:55" hidden="1">
      <c r="A299" t="s">
        <v>10</v>
      </c>
      <c r="B299">
        <v>4539476</v>
      </c>
      <c r="C299" t="s">
        <v>1302</v>
      </c>
      <c r="D299">
        <v>7763.19528838</v>
      </c>
      <c r="E299">
        <v>106</v>
      </c>
      <c r="F299">
        <v>2.12</v>
      </c>
      <c r="G299" t="s">
        <v>1345</v>
      </c>
      <c r="H299" t="s">
        <v>1346</v>
      </c>
      <c r="I299">
        <v>300</v>
      </c>
      <c r="J299" t="s">
        <v>90</v>
      </c>
      <c r="K299" t="s">
        <v>254</v>
      </c>
      <c r="L299" t="s">
        <v>255</v>
      </c>
      <c r="M299">
        <v>2953.842975</v>
      </c>
      <c r="N299">
        <v>11.8153719</v>
      </c>
      <c r="O299">
        <v>3178.784925</v>
      </c>
      <c r="P299">
        <v>820768.18716</v>
      </c>
      <c r="Q299">
        <v>0.92923649906890127</v>
      </c>
      <c r="R299">
        <v>7213.84441136</v>
      </c>
      <c r="S299" t="s">
        <v>173</v>
      </c>
      <c r="T299" t="s">
        <v>93</v>
      </c>
      <c r="U299">
        <v>5</v>
      </c>
      <c r="V299" t="s">
        <v>119</v>
      </c>
      <c r="W299" t="s">
        <v>95</v>
      </c>
      <c r="X299" t="s">
        <v>96</v>
      </c>
      <c r="Y299" s="23" t="s">
        <v>120</v>
      </c>
      <c r="AA299">
        <v>657</v>
      </c>
      <c r="AB299" t="s">
        <v>1347</v>
      </c>
      <c r="AC299" t="s">
        <v>1308</v>
      </c>
      <c r="AD299" s="2">
        <v>9</v>
      </c>
      <c r="AE299" s="2" t="s">
        <v>70</v>
      </c>
      <c r="AF299" t="str">
        <f>_xlfn.CONCAT(FINI_grouping_for_wheel[[#This Row],[SEFI/Plant]],"/",IF(FINI_grouping_for_wheel[[#This Row],[RESET recipe combination]]&lt;&gt;"",FINI_grouping_for_wheel[[#This Row],[RESET recipe combination]],FINI_grouping_for_wheel[[#This Row],[Recipe Combination]]),"/",FINI_grouping_for_wheel[[#This Row],[Subgroup]])</f>
        <v>4539476/THDP/x/9</v>
      </c>
      <c r="AG2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0.5755478662053056</v>
      </c>
      <c r="AH299">
        <f>_xlfn.LET(_xlpm.pct, FINI_grouping_for_wheel[[#This Row],[% forecast within subgroup]], _xlpm.lote, FINI_grouping_for_wheel[[#This Row],[Lot size considered]], _xlpm.pct*_xlpm.lote)</f>
        <v>4468.090483162191</v>
      </c>
      <c r="AI299" cm="1">
        <f t="array" aca="1" ref="AI299" ca="1">IFERROR(INDIRECT("FINI_grouping_for_wheel[@["&amp;FINI_grouping_for_wheel[[#This Row],[Selected PV]]&amp;"]]"),"")</f>
        <v>346</v>
      </c>
      <c r="AJ29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2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v>
      </c>
      <c r="AL299" s="4"/>
      <c r="AM29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346</v>
      </c>
      <c r="AN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2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29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299" t="str">
        <f>_xlfn.CONCAT(FINI_grouping_for_wheel[[#This Row],[Recipe Combination]],FINI_grouping_for_wheel[[#This Row],[Subgroup]])</f>
        <v>P9</v>
      </c>
    </row>
    <row r="300" spans="1:55" hidden="1">
      <c r="A300" t="s">
        <v>10</v>
      </c>
      <c r="B300">
        <v>4539476</v>
      </c>
      <c r="C300" t="s">
        <v>1302</v>
      </c>
      <c r="D300">
        <v>7763.19528838</v>
      </c>
      <c r="E300">
        <v>106</v>
      </c>
      <c r="F300">
        <v>2.12</v>
      </c>
      <c r="G300" t="s">
        <v>1348</v>
      </c>
      <c r="H300" t="s">
        <v>1349</v>
      </c>
      <c r="I300">
        <v>300</v>
      </c>
      <c r="J300" t="s">
        <v>90</v>
      </c>
      <c r="K300" t="s">
        <v>188</v>
      </c>
      <c r="L300" t="s">
        <v>189</v>
      </c>
      <c r="M300">
        <v>112.470975</v>
      </c>
      <c r="N300">
        <v>0.4498839</v>
      </c>
      <c r="O300">
        <v>3178.784925</v>
      </c>
      <c r="P300">
        <v>820768.18716</v>
      </c>
      <c r="Q300">
        <v>3.5381750465549346E-2</v>
      </c>
      <c r="R300">
        <v>274.675438509</v>
      </c>
      <c r="S300" t="s">
        <v>173</v>
      </c>
      <c r="T300" t="s">
        <v>93</v>
      </c>
      <c r="U300">
        <v>5</v>
      </c>
      <c r="V300" t="s">
        <v>119</v>
      </c>
      <c r="W300" t="s">
        <v>142</v>
      </c>
      <c r="X300" t="s">
        <v>96</v>
      </c>
      <c r="Y300" s="23" t="s">
        <v>120</v>
      </c>
      <c r="AA300">
        <v>17256</v>
      </c>
      <c r="AB300" t="s">
        <v>1350</v>
      </c>
      <c r="AC300" t="s">
        <v>1308</v>
      </c>
      <c r="AD300" s="2">
        <v>9</v>
      </c>
      <c r="AE300" s="2" t="s">
        <v>70</v>
      </c>
      <c r="AF300" t="str">
        <f>_xlfn.CONCAT(FINI_grouping_for_wheel[[#This Row],[SEFI/Plant]],"/",IF(FINI_grouping_for_wheel[[#This Row],[RESET recipe combination]]&lt;&gt;"",FINI_grouping_for_wheel[[#This Row],[RESET recipe combination]],FINI_grouping_for_wheel[[#This Row],[Recipe Combination]]),"/",FINI_grouping_for_wheel[[#This Row],[Subgroup]])</f>
        <v>4539476/THDP/x/9</v>
      </c>
      <c r="AG3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0.021914648212226065</v>
      </c>
      <c r="AH300">
        <f>_xlfn.LET(_xlpm.pct, FINI_grouping_for_wheel[[#This Row],[% forecast within subgroup]], _xlpm.lote, FINI_grouping_for_wheel[[#This Row],[Lot size considered]], _xlpm.pct*_xlpm.lote)</f>
        <v>170.12769374765858</v>
      </c>
      <c r="AI300" cm="1">
        <f t="array" aca="1" ref="AI300" ca="1">IFERROR(INDIRECT("FINI_grouping_for_wheel[@["&amp;FINI_grouping_for_wheel[[#This Row],[Selected PV]]&amp;"]]"),"")</f>
        <v>346</v>
      </c>
      <c r="AJ30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3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300" s="4"/>
      <c r="AM30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346</v>
      </c>
      <c r="AN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0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00" t="str">
        <f>_xlfn.CONCAT(FINI_grouping_for_wheel[[#This Row],[Recipe Combination]],FINI_grouping_for_wheel[[#This Row],[Subgroup]])</f>
        <v>P9</v>
      </c>
    </row>
    <row r="301" spans="1:55" hidden="1">
      <c r="A301" t="s">
        <v>10</v>
      </c>
      <c r="B301">
        <v>4539476</v>
      </c>
      <c r="C301" t="s">
        <v>1302</v>
      </c>
      <c r="D301">
        <v>7763.19528838</v>
      </c>
      <c r="E301">
        <v>106</v>
      </c>
      <c r="F301">
        <v>2.12</v>
      </c>
      <c r="G301" t="s">
        <v>1351</v>
      </c>
      <c r="H301" t="s">
        <v>1352</v>
      </c>
      <c r="I301">
        <v>300</v>
      </c>
      <c r="J301" t="s">
        <v>90</v>
      </c>
      <c r="K301" t="s">
        <v>188</v>
      </c>
      <c r="L301" t="s">
        <v>189</v>
      </c>
      <c r="M301">
        <v>112.470975</v>
      </c>
      <c r="N301">
        <v>0.4498839</v>
      </c>
      <c r="O301">
        <v>3178.784925</v>
      </c>
      <c r="P301">
        <v>820768.18716</v>
      </c>
      <c r="Q301">
        <v>3.5381750465549346E-2</v>
      </c>
      <c r="R301">
        <v>274.675438509</v>
      </c>
      <c r="S301" t="s">
        <v>173</v>
      </c>
      <c r="T301" t="s">
        <v>93</v>
      </c>
      <c r="U301">
        <v>5</v>
      </c>
      <c r="V301" t="s">
        <v>119</v>
      </c>
      <c r="W301" t="s">
        <v>142</v>
      </c>
      <c r="X301" t="s">
        <v>96</v>
      </c>
      <c r="Y301" s="23" t="s">
        <v>120</v>
      </c>
      <c r="AA301">
        <v>17256</v>
      </c>
      <c r="AB301" t="s">
        <v>1353</v>
      </c>
      <c r="AC301" t="s">
        <v>1308</v>
      </c>
      <c r="AD301" s="2">
        <v>9</v>
      </c>
      <c r="AE301" s="2" t="s">
        <v>70</v>
      </c>
      <c r="AF301" t="str">
        <f>_xlfn.CONCAT(FINI_grouping_for_wheel[[#This Row],[SEFI/Plant]],"/",IF(FINI_grouping_for_wheel[[#This Row],[RESET recipe combination]]&lt;&gt;"",FINI_grouping_for_wheel[[#This Row],[RESET recipe combination]],FINI_grouping_for_wheel[[#This Row],[Recipe Combination]]),"/",FINI_grouping_for_wheel[[#This Row],[Subgroup]])</f>
        <v>4539476/THDP/x/9</v>
      </c>
      <c r="AG3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0.021914648212226065</v>
      </c>
      <c r="AH301">
        <f>_xlfn.LET(_xlpm.pct, FINI_grouping_for_wheel[[#This Row],[% forecast within subgroup]], _xlpm.lote, FINI_grouping_for_wheel[[#This Row],[Lot size considered]], _xlpm.pct*_xlpm.lote)</f>
        <v>170.12769374765858</v>
      </c>
      <c r="AI301" cm="1">
        <f t="array" aca="1" ref="AI301" ca="1">IFERROR(INDIRECT("FINI_grouping_for_wheel[@["&amp;FINI_grouping_for_wheel[[#This Row],[Selected PV]]&amp;"]]"),"")</f>
        <v>346</v>
      </c>
      <c r="AJ30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3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301" s="4"/>
      <c r="AM30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346</v>
      </c>
      <c r="AN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0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01" t="str">
        <f>_xlfn.CONCAT(FINI_grouping_for_wheel[[#This Row],[Recipe Combination]],FINI_grouping_for_wheel[[#This Row],[Subgroup]])</f>
        <v>P9</v>
      </c>
    </row>
    <row r="302" spans="1:55" hidden="1">
      <c r="A302" t="s">
        <v>10</v>
      </c>
      <c r="B302">
        <v>4539476</v>
      </c>
      <c r="C302" t="s">
        <v>1302</v>
      </c>
      <c r="D302">
        <v>7763.19528838</v>
      </c>
      <c r="E302">
        <v>106</v>
      </c>
      <c r="F302">
        <v>2.12</v>
      </c>
      <c r="G302" t="s">
        <v>1354</v>
      </c>
      <c r="H302" t="s">
        <v>1355</v>
      </c>
      <c r="I302">
        <v>375</v>
      </c>
      <c r="J302" t="s">
        <v>90</v>
      </c>
      <c r="K302" t="s">
        <v>1356</v>
      </c>
      <c r="L302" t="s">
        <v>1357</v>
      </c>
      <c r="M302">
        <v>32077.905975</v>
      </c>
      <c r="N302">
        <v>128.3116239</v>
      </c>
      <c r="O302">
        <v>38851.02648</v>
      </c>
      <c r="P302">
        <v>820768.18716</v>
      </c>
      <c r="Q302">
        <v>0.82566431009263774</v>
      </c>
      <c r="R302">
        <v>6409.79328189</v>
      </c>
      <c r="S302" t="s">
        <v>346</v>
      </c>
      <c r="T302" t="s">
        <v>93</v>
      </c>
      <c r="U302">
        <v>5</v>
      </c>
      <c r="V302" t="s">
        <v>174</v>
      </c>
      <c r="W302" t="s">
        <v>95</v>
      </c>
      <c r="X302" t="s">
        <v>96</v>
      </c>
      <c r="Y302" s="23" t="s">
        <v>167</v>
      </c>
      <c r="AA302">
        <v>61</v>
      </c>
      <c r="AB302" t="s">
        <v>1358</v>
      </c>
      <c r="AC302" t="s">
        <v>1308</v>
      </c>
      <c r="AD302" s="2">
        <v>7</v>
      </c>
      <c r="AE302" s="2" t="s">
        <v>70</v>
      </c>
      <c r="AF302" t="str">
        <f>_xlfn.CONCAT(FINI_grouping_for_wheel[[#This Row],[SEFI/Plant]],"/",IF(FINI_grouping_for_wheel[[#This Row],[RESET recipe combination]]&lt;&gt;"",FINI_grouping_for_wheel[[#This Row],[RESET recipe combination]],FINI_grouping_for_wheel[[#This Row],[Recipe Combination]]),"/",FINI_grouping_for_wheel[[#This Row],[Subgroup]])</f>
        <v>4539476/THDP/x/7</v>
      </c>
      <c r="AG3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02">
        <f>_xlfn.LET(_xlpm.pct, FINI_grouping_for_wheel[[#This Row],[% forecast within subgroup]], _xlpm.lote, FINI_grouping_for_wheel[[#This Row],[Lot size considered]], _xlpm.pct*_xlpm.lote)</f>
        <v>7763.19528838</v>
      </c>
      <c r="AI302" cm="1">
        <f t="array" aca="1" ref="AI302" ca="1">IFERROR(INDIRECT("FINI_grouping_for_wheel[@["&amp;FINI_grouping_for_wheel[[#This Row],[Selected PV]]&amp;"]]"),"")</f>
        <v>55</v>
      </c>
      <c r="AJ30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3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22.3</v>
      </c>
      <c r="AL302" s="4"/>
      <c r="AM30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55</v>
      </c>
      <c r="AN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0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02" t="str">
        <f>_xlfn.CONCAT(FINI_grouping_for_wheel[[#This Row],[Recipe Combination]],FINI_grouping_for_wheel[[#This Row],[Subgroup]])</f>
        <v>Q7</v>
      </c>
    </row>
    <row r="303" spans="1:55" hidden="1">
      <c r="A303" t="s">
        <v>10</v>
      </c>
      <c r="B303">
        <v>4539476</v>
      </c>
      <c r="C303" t="s">
        <v>1302</v>
      </c>
      <c r="D303">
        <v>7763.19528838</v>
      </c>
      <c r="E303">
        <v>106</v>
      </c>
      <c r="F303">
        <v>2.12</v>
      </c>
      <c r="G303" t="s">
        <v>1359</v>
      </c>
      <c r="H303" t="s">
        <v>1360</v>
      </c>
      <c r="I303">
        <v>288</v>
      </c>
      <c r="J303" t="s">
        <v>90</v>
      </c>
      <c r="K303" t="s">
        <v>344</v>
      </c>
      <c r="L303" t="s">
        <v>345</v>
      </c>
      <c r="M303">
        <v>6773.120505</v>
      </c>
      <c r="N303">
        <v>27.09248202</v>
      </c>
      <c r="O303">
        <v>38851.02648</v>
      </c>
      <c r="P303">
        <v>820768.18716</v>
      </c>
      <c r="Q303">
        <v>0.17433568990736226</v>
      </c>
      <c r="R303">
        <v>1353.40200648</v>
      </c>
      <c r="S303" t="s">
        <v>346</v>
      </c>
      <c r="T303" t="s">
        <v>93</v>
      </c>
      <c r="U303">
        <v>3</v>
      </c>
      <c r="V303" t="s">
        <v>347</v>
      </c>
      <c r="W303" t="s">
        <v>142</v>
      </c>
      <c r="X303" t="s">
        <v>96</v>
      </c>
      <c r="Y303" s="23" t="s">
        <v>107</v>
      </c>
      <c r="AA303">
        <v>287</v>
      </c>
      <c r="AB303" t="s">
        <v>1361</v>
      </c>
      <c r="AC303" t="s">
        <v>1308</v>
      </c>
      <c r="AD303" s="2">
        <v>4</v>
      </c>
      <c r="AE303" s="2" t="s">
        <v>70</v>
      </c>
      <c r="AF303" t="str">
        <f>_xlfn.CONCAT(FINI_grouping_for_wheel[[#This Row],[SEFI/Plant]],"/",IF(FINI_grouping_for_wheel[[#This Row],[RESET recipe combination]]&lt;&gt;"",FINI_grouping_for_wheel[[#This Row],[RESET recipe combination]],FINI_grouping_for_wheel[[#This Row],[Recipe Combination]]),"/",FINI_grouping_for_wheel[[#This Row],[Subgroup]])</f>
        <v>4539476/THDP/x/4</v>
      </c>
      <c r="AG3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0.20113912034595507</v>
      </c>
      <c r="AH303">
        <f>_xlfn.LET(_xlpm.pct, FINI_grouping_for_wheel[[#This Row],[% forecast within subgroup]], _xlpm.lote, FINI_grouping_for_wheel[[#This Row],[Lot size considered]], _xlpm.pct*_xlpm.lote)</f>
        <v>1561.4822713786164</v>
      </c>
      <c r="AI303" cm="1">
        <f t="array" aca="1" ref="AI303" ca="1">IFERROR(INDIRECT("FINI_grouping_for_wheel[@["&amp;FINI_grouping_for_wheel[[#This Row],[Selected PV]]&amp;"]]"),"")</f>
        <v>53</v>
      </c>
      <c r="AJ30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3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5.8</v>
      </c>
      <c r="AL303" s="4"/>
      <c r="AM30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53</v>
      </c>
      <c r="AN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0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03" t="str">
        <f>_xlfn.CONCAT(FINI_grouping_for_wheel[[#This Row],[Recipe Combination]],FINI_grouping_for_wheel[[#This Row],[Subgroup]])</f>
        <v>Q4</v>
      </c>
    </row>
    <row r="304" spans="1:55" hidden="1">
      <c r="A304" t="s">
        <v>10</v>
      </c>
      <c r="B304">
        <v>4539476</v>
      </c>
      <c r="C304" t="s">
        <v>1302</v>
      </c>
      <c r="D304">
        <v>7763.19528838</v>
      </c>
      <c r="E304">
        <v>106</v>
      </c>
      <c r="F304">
        <v>2.12</v>
      </c>
      <c r="G304" t="s">
        <v>1362</v>
      </c>
      <c r="H304" t="s">
        <v>1363</v>
      </c>
      <c r="I304">
        <v>345</v>
      </c>
      <c r="J304" t="s">
        <v>90</v>
      </c>
      <c r="K304" t="s">
        <v>312</v>
      </c>
      <c r="L304" t="s">
        <v>313</v>
      </c>
      <c r="M304">
        <v>30.78153</v>
      </c>
      <c r="N304">
        <v>0.12312612</v>
      </c>
      <c r="O304">
        <v>30.78153</v>
      </c>
      <c r="P304">
        <v>820768.18716</v>
      </c>
      <c r="Q304">
        <v>1</v>
      </c>
      <c r="R304">
        <v>7763.19528838</v>
      </c>
      <c r="S304" t="s">
        <v>356</v>
      </c>
      <c r="T304" t="s">
        <v>93</v>
      </c>
      <c r="U304">
        <v>1</v>
      </c>
      <c r="V304" t="s">
        <v>315</v>
      </c>
      <c r="W304" t="s">
        <v>142</v>
      </c>
      <c r="X304" t="s">
        <v>150</v>
      </c>
      <c r="Y304" s="23" t="s">
        <v>151</v>
      </c>
      <c r="AA304">
        <v>63051</v>
      </c>
      <c r="AB304" t="s">
        <v>1364</v>
      </c>
      <c r="AC304" t="s">
        <v>1308</v>
      </c>
      <c r="AD304" s="2">
        <v>6</v>
      </c>
      <c r="AE304" s="2" t="s">
        <v>70</v>
      </c>
      <c r="AF304" t="str">
        <f>_xlfn.CONCAT(FINI_grouping_for_wheel[[#This Row],[SEFI/Plant]],"/",IF(FINI_grouping_for_wheel[[#This Row],[RESET recipe combination]]&lt;&gt;"",FINI_grouping_for_wheel[[#This Row],[RESET recipe combination]],FINI_grouping_for_wheel[[#This Row],[Recipe Combination]]),"/",FINI_grouping_for_wheel[[#This Row],[Subgroup]])</f>
        <v>4539476/THDP/x/6</v>
      </c>
      <c r="AG3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0.0019646365422396855</v>
      </c>
      <c r="AH304">
        <f>_xlfn.LET(_xlpm.pct, FINI_grouping_for_wheel[[#This Row],[% forecast within subgroup]], _xlpm.lote, FINI_grouping_for_wheel[[#This Row],[Lot size considered]], _xlpm.pct*_xlpm.lote)</f>
        <v>15.251857148094302</v>
      </c>
      <c r="AI304" cm="1">
        <f t="array" aca="1" ref="AI304" ca="1">IFERROR(INDIRECT("FINI_grouping_for_wheel[@["&amp;FINI_grouping_for_wheel[[#This Row],[Selected PV]]&amp;"]]"),"")</f>
        <v>113</v>
      </c>
      <c r="AJ30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3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v>
      </c>
      <c r="AL304" s="4"/>
      <c r="AM30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113</v>
      </c>
      <c r="AN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0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04" t="str">
        <f>_xlfn.CONCAT(FINI_grouping_for_wheel[[#This Row],[Recipe Combination]],FINI_grouping_for_wheel[[#This Row],[Subgroup]])</f>
        <v>R6</v>
      </c>
    </row>
    <row r="305" spans="1:55" hidden="1">
      <c r="A305" t="s">
        <v>10</v>
      </c>
      <c r="B305">
        <v>4539476</v>
      </c>
      <c r="C305" t="s">
        <v>1302</v>
      </c>
      <c r="D305">
        <v>7763.19528838</v>
      </c>
      <c r="E305">
        <v>106</v>
      </c>
      <c r="F305">
        <v>2.12</v>
      </c>
      <c r="G305" t="s">
        <v>1365</v>
      </c>
      <c r="H305" t="s">
        <v>1366</v>
      </c>
      <c r="I305">
        <v>240</v>
      </c>
      <c r="J305" t="s">
        <v>90</v>
      </c>
      <c r="K305" t="s">
        <v>1367</v>
      </c>
      <c r="L305" t="s">
        <v>1368</v>
      </c>
      <c r="M305">
        <v>17036.39295</v>
      </c>
      <c r="N305">
        <v>68.1455718</v>
      </c>
      <c r="O305">
        <v>17036.39295</v>
      </c>
      <c r="P305">
        <v>820768.18716</v>
      </c>
      <c r="Q305">
        <v>1</v>
      </c>
      <c r="R305">
        <v>7763.19528838</v>
      </c>
      <c r="S305" t="s">
        <v>195</v>
      </c>
      <c r="T305" t="s">
        <v>93</v>
      </c>
      <c r="U305">
        <v>5</v>
      </c>
      <c r="V305" t="s">
        <v>196</v>
      </c>
      <c r="W305" t="s">
        <v>95</v>
      </c>
      <c r="X305" t="s">
        <v>106</v>
      </c>
      <c r="Y305" s="23" t="s">
        <v>107</v>
      </c>
      <c r="AA305">
        <v>114</v>
      </c>
      <c r="AB305" t="s">
        <v>1369</v>
      </c>
      <c r="AC305" t="s">
        <v>1308</v>
      </c>
      <c r="AD305" s="2">
        <v>4</v>
      </c>
      <c r="AE305" s="2" t="s">
        <v>70</v>
      </c>
      <c r="AF305" t="str">
        <f>_xlfn.CONCAT(FINI_grouping_for_wheel[[#This Row],[SEFI/Plant]],"/",IF(FINI_grouping_for_wheel[[#This Row],[RESET recipe combination]]&lt;&gt;"",FINI_grouping_for_wheel[[#This Row],[RESET recipe combination]],FINI_grouping_for_wheel[[#This Row],[Recipe Combination]]),"/",FINI_grouping_for_wheel[[#This Row],[Subgroup]])</f>
        <v>4539476/THDP/x/4</v>
      </c>
      <c r="AG3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0.5059241289596738</v>
      </c>
      <c r="AH305">
        <f>_xlfn.LET(_xlpm.pct, FINI_grouping_for_wheel[[#This Row],[% forecast within subgroup]], _xlpm.lote, FINI_grouping_for_wheel[[#This Row],[Lot size considered]], _xlpm.pct*_xlpm.lote)</f>
        <v>3927.587814217495</v>
      </c>
      <c r="AI305" cm="1">
        <f t="array" aca="1" ref="AI305" ca="1">IFERROR(INDIRECT("FINI_grouping_for_wheel[@["&amp;FINI_grouping_for_wheel[[#This Row],[Selected PV]]&amp;"]]"),"")</f>
        <v>53</v>
      </c>
      <c r="AJ30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3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17.6</v>
      </c>
      <c r="AL305" s="4"/>
      <c r="AM30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53</v>
      </c>
      <c r="AN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0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05" t="str">
        <f>_xlfn.CONCAT(FINI_grouping_for_wheel[[#This Row],[Recipe Combination]],FINI_grouping_for_wheel[[#This Row],[Subgroup]])</f>
        <v>S4</v>
      </c>
    </row>
    <row r="306" spans="1:55" hidden="1">
      <c r="A306" t="s">
        <v>10</v>
      </c>
      <c r="B306">
        <v>4539476</v>
      </c>
      <c r="C306" t="s">
        <v>1302</v>
      </c>
      <c r="D306">
        <v>7763.19528838</v>
      </c>
      <c r="E306">
        <v>106</v>
      </c>
      <c r="F306">
        <v>2.12</v>
      </c>
      <c r="G306" t="s">
        <v>1370</v>
      </c>
      <c r="H306" t="s">
        <v>1371</v>
      </c>
      <c r="I306">
        <v>330</v>
      </c>
      <c r="J306" t="s">
        <v>90</v>
      </c>
      <c r="K306" t="s">
        <v>1372</v>
      </c>
      <c r="L306" t="s">
        <v>1373</v>
      </c>
      <c r="M306">
        <v>446071.7259</v>
      </c>
      <c r="N306">
        <v>1784.2869036</v>
      </c>
      <c r="O306">
        <v>446071.7259</v>
      </c>
      <c r="P306">
        <v>820768.18716</v>
      </c>
      <c r="Q306">
        <v>1</v>
      </c>
      <c r="R306">
        <v>7763.19528838</v>
      </c>
      <c r="S306" t="s">
        <v>224</v>
      </c>
      <c r="T306" t="s">
        <v>93</v>
      </c>
      <c r="U306">
        <v>10</v>
      </c>
      <c r="V306" t="s">
        <v>94</v>
      </c>
      <c r="W306" t="s">
        <v>95</v>
      </c>
      <c r="X306" t="s">
        <v>96</v>
      </c>
      <c r="Y306" s="23" t="s">
        <v>97</v>
      </c>
      <c r="AA306">
        <v>4</v>
      </c>
      <c r="AB306" t="s">
        <v>1374</v>
      </c>
      <c r="AC306" t="s">
        <v>1308</v>
      </c>
      <c r="AD306" s="2">
        <v>1</v>
      </c>
      <c r="AE306" s="2" t="s">
        <v>70</v>
      </c>
      <c r="AF306" t="str">
        <f>_xlfn.CONCAT(FINI_grouping_for_wheel[[#This Row],[SEFI/Plant]],"/",IF(FINI_grouping_for_wheel[[#This Row],[RESET recipe combination]]&lt;&gt;"",FINI_grouping_for_wheel[[#This Row],[RESET recipe combination]],FINI_grouping_for_wheel[[#This Row],[Recipe Combination]]),"/",FINI_grouping_for_wheel[[#This Row],[Subgroup]])</f>
        <v>4539476/THDP/x/1</v>
      </c>
      <c r="AG3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06">
        <f>_xlfn.LET(_xlpm.pct, FINI_grouping_for_wheel[[#This Row],[% forecast within subgroup]], _xlpm.lote, FINI_grouping_for_wheel[[#This Row],[Lot size considered]], _xlpm.pct*_xlpm.lote)</f>
        <v>7763.19528838</v>
      </c>
      <c r="AI306" cm="1">
        <f t="array" aca="1" ref="AI306" ca="1">IFERROR(INDIRECT("FINI_grouping_for_wheel[@["&amp;FINI_grouping_for_wheel[[#This Row],[Selected PV]]&amp;"]]"),"")</f>
        <v>4</v>
      </c>
      <c r="AJ30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3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25.3</v>
      </c>
      <c r="AL306" s="4"/>
      <c r="AM30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v>
      </c>
      <c r="AN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0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06" t="str">
        <f>_xlfn.CONCAT(FINI_grouping_for_wheel[[#This Row],[Recipe Combination]],FINI_grouping_for_wheel[[#This Row],[Subgroup]])</f>
        <v>V1</v>
      </c>
    </row>
    <row r="307" spans="1:55" hidden="1">
      <c r="A307" t="s">
        <v>10</v>
      </c>
      <c r="B307">
        <v>4539476</v>
      </c>
      <c r="C307" t="s">
        <v>1302</v>
      </c>
      <c r="D307">
        <v>7763.19528838</v>
      </c>
      <c r="E307">
        <v>106</v>
      </c>
      <c r="F307">
        <v>2.12</v>
      </c>
      <c r="G307" t="s">
        <v>1375</v>
      </c>
      <c r="H307" t="s">
        <v>1376</v>
      </c>
      <c r="I307">
        <v>240</v>
      </c>
      <c r="J307" t="s">
        <v>90</v>
      </c>
      <c r="K307" t="s">
        <v>396</v>
      </c>
      <c r="L307" t="s">
        <v>397</v>
      </c>
      <c r="M307">
        <v>18741.21615</v>
      </c>
      <c r="N307">
        <v>74.9648646</v>
      </c>
      <c r="O307">
        <v>246500.86005</v>
      </c>
      <c r="P307">
        <v>820768.18716</v>
      </c>
      <c r="Q307">
        <v>7.6029009173430667E-2</v>
      </c>
      <c r="R307">
        <v>590.228045795</v>
      </c>
      <c r="S307" t="s">
        <v>387</v>
      </c>
      <c r="T307" t="s">
        <v>93</v>
      </c>
      <c r="U307">
        <v>10</v>
      </c>
      <c r="V307" t="s">
        <v>238</v>
      </c>
      <c r="W307" t="s">
        <v>142</v>
      </c>
      <c r="X307" t="s">
        <v>96</v>
      </c>
      <c r="Y307" s="23" t="s">
        <v>97</v>
      </c>
      <c r="AA307">
        <v>104</v>
      </c>
      <c r="AB307" t="s">
        <v>1377</v>
      </c>
      <c r="AC307" t="s">
        <v>1308</v>
      </c>
      <c r="AD307" s="2">
        <v>10</v>
      </c>
      <c r="AE307" s="2" t="s">
        <v>70</v>
      </c>
      <c r="AF307" t="str">
        <f>_xlfn.CONCAT(FINI_grouping_for_wheel[[#This Row],[SEFI/Plant]],"/",IF(FINI_grouping_for_wheel[[#This Row],[RESET recipe combination]]&lt;&gt;"",FINI_grouping_for_wheel[[#This Row],[RESET recipe combination]],FINI_grouping_for_wheel[[#This Row],[Recipe Combination]]),"/",FINI_grouping_for_wheel[[#This Row],[Subgroup]])</f>
        <v>4539476/THDP/x/10</v>
      </c>
      <c r="AG3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0.8117948717948719</v>
      </c>
      <c r="AH307">
        <f>_xlfn.LET(_xlpm.pct, FINI_grouping_for_wheel[[#This Row],[% forecast within subgroup]], _xlpm.lote, FINI_grouping_for_wheel[[#This Row],[Lot size considered]], _xlpm.pct*_xlpm.lote)</f>
        <v>6302.122123848996</v>
      </c>
      <c r="AI307" cm="1">
        <f t="array" aca="1" ref="AI307" ca="1">IFERROR(INDIRECT("FINI_grouping_for_wheel[@["&amp;FINI_grouping_for_wheel[[#This Row],[Selected PV]]&amp;"]]"),"")</f>
        <v>77</v>
      </c>
      <c r="AJ30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3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28.2</v>
      </c>
      <c r="AL307" s="4"/>
      <c r="AM30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77</v>
      </c>
      <c r="AN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0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07" t="str">
        <f>_xlfn.CONCAT(FINI_grouping_for_wheel[[#This Row],[Recipe Combination]],FINI_grouping_for_wheel[[#This Row],[Subgroup]])</f>
        <v>X10</v>
      </c>
    </row>
    <row r="308" spans="1:55" hidden="1">
      <c r="A308" t="s">
        <v>10</v>
      </c>
      <c r="B308">
        <v>4539476</v>
      </c>
      <c r="C308" t="s">
        <v>1302</v>
      </c>
      <c r="D308">
        <v>7763.19528838</v>
      </c>
      <c r="E308">
        <v>106</v>
      </c>
      <c r="F308">
        <v>2.12</v>
      </c>
      <c r="G308" t="s">
        <v>1378</v>
      </c>
      <c r="H308" t="s">
        <v>1379</v>
      </c>
      <c r="J308" t="s">
        <v>90</v>
      </c>
      <c r="K308" t="s">
        <v>1380</v>
      </c>
      <c r="L308" t="s">
        <v>1381</v>
      </c>
      <c r="M308">
        <v>135284.82435</v>
      </c>
      <c r="N308">
        <v>541.1392974</v>
      </c>
      <c r="O308">
        <v>246500.86005</v>
      </c>
      <c r="P308">
        <v>820768.18716</v>
      </c>
      <c r="Q308">
        <v>0.5488209019739686</v>
      </c>
      <c r="R308">
        <v>4260.60384037</v>
      </c>
      <c r="S308" t="s">
        <v>387</v>
      </c>
      <c r="T308" t="s">
        <v>93</v>
      </c>
      <c r="U308">
        <v>10</v>
      </c>
      <c r="V308" t="s">
        <v>94</v>
      </c>
      <c r="W308" t="s">
        <v>95</v>
      </c>
      <c r="X308" t="s">
        <v>96</v>
      </c>
      <c r="Y308" s="23" t="s">
        <v>97</v>
      </c>
      <c r="AA308">
        <v>14</v>
      </c>
      <c r="AB308" t="s">
        <v>1382</v>
      </c>
      <c r="AC308" t="s">
        <v>1308</v>
      </c>
      <c r="AD308" s="2">
        <v>2</v>
      </c>
      <c r="AE308" s="2" t="s">
        <v>70</v>
      </c>
      <c r="AF308" t="str">
        <f>_xlfn.CONCAT(FINI_grouping_for_wheel[[#This Row],[SEFI/Plant]],"/",IF(FINI_grouping_for_wheel[[#This Row],[RESET recipe combination]]&lt;&gt;"",FINI_grouping_for_wheel[[#This Row],[RESET recipe combination]],FINI_grouping_for_wheel[[#This Row],[Recipe Combination]]),"/",FINI_grouping_for_wheel[[#This Row],[Subgroup]])</f>
        <v>4539476/THDP/x/2</v>
      </c>
      <c r="AG3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08">
        <f>_xlfn.LET(_xlpm.pct, FINI_grouping_for_wheel[[#This Row],[% forecast within subgroup]], _xlpm.lote, FINI_grouping_for_wheel[[#This Row],[Lot size considered]], _xlpm.pct*_xlpm.lote)</f>
        <v>7763.19528838</v>
      </c>
      <c r="AI308" cm="1">
        <f t="array" aca="1" ref="AI308" ca="1">IFERROR(INDIRECT("FINI_grouping_for_wheel[@["&amp;FINI_grouping_for_wheel[[#This Row],[Selected PV]]&amp;"]]"),"")</f>
        <v>13</v>
      </c>
      <c r="AJ30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30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08" s="4"/>
      <c r="AM30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v>
      </c>
      <c r="AN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0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08" t="str">
        <f>_xlfn.CONCAT(FINI_grouping_for_wheel[[#This Row],[Recipe Combination]],FINI_grouping_for_wheel[[#This Row],[Subgroup]])</f>
        <v>X2</v>
      </c>
    </row>
    <row r="309" spans="1:55" hidden="1">
      <c r="A309" t="s">
        <v>10</v>
      </c>
      <c r="B309">
        <v>4539476</v>
      </c>
      <c r="C309" t="s">
        <v>1302</v>
      </c>
      <c r="D309">
        <v>7763.19528838</v>
      </c>
      <c r="E309">
        <v>106</v>
      </c>
      <c r="F309">
        <v>2.12</v>
      </c>
      <c r="G309" t="s">
        <v>1383</v>
      </c>
      <c r="H309" t="s">
        <v>1384</v>
      </c>
      <c r="I309">
        <v>440</v>
      </c>
      <c r="J309" t="s">
        <v>90</v>
      </c>
      <c r="K309" t="s">
        <v>1385</v>
      </c>
      <c r="L309" t="s">
        <v>1386</v>
      </c>
      <c r="M309">
        <v>92474.81955</v>
      </c>
      <c r="N309">
        <v>369.8992782</v>
      </c>
      <c r="O309">
        <v>246500.86005</v>
      </c>
      <c r="P309">
        <v>820768.18716</v>
      </c>
      <c r="Q309">
        <v>0.37515008885260076</v>
      </c>
      <c r="R309">
        <v>2912.36340221</v>
      </c>
      <c r="S309" t="s">
        <v>387</v>
      </c>
      <c r="T309" t="s">
        <v>93</v>
      </c>
      <c r="U309">
        <v>10</v>
      </c>
      <c r="V309" t="s">
        <v>94</v>
      </c>
      <c r="W309" t="s">
        <v>95</v>
      </c>
      <c r="X309" t="s">
        <v>96</v>
      </c>
      <c r="Y309" s="23" t="s">
        <v>97</v>
      </c>
      <c r="AA309">
        <v>21</v>
      </c>
      <c r="AB309" t="s">
        <v>1387</v>
      </c>
      <c r="AC309" t="s">
        <v>1308</v>
      </c>
      <c r="AD309" s="2">
        <v>3</v>
      </c>
      <c r="AE309" s="2" t="s">
        <v>70</v>
      </c>
      <c r="AF309" t="str">
        <f>_xlfn.CONCAT(FINI_grouping_for_wheel[[#This Row],[SEFI/Plant]],"/",IF(FINI_grouping_for_wheel[[#This Row],[RESET recipe combination]]&lt;&gt;"",FINI_grouping_for_wheel[[#This Row],[RESET recipe combination]],FINI_grouping_for_wheel[[#This Row],[Recipe Combination]]),"/",FINI_grouping_for_wheel[[#This Row],[Subgroup]])</f>
        <v>4539476/THDP/x/3</v>
      </c>
      <c r="AG3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09">
        <f>_xlfn.LET(_xlpm.pct, FINI_grouping_for_wheel[[#This Row],[% forecast within subgroup]], _xlpm.lote, FINI_grouping_for_wheel[[#This Row],[Lot size considered]], _xlpm.pct*_xlpm.lote)</f>
        <v>7763.19528838</v>
      </c>
      <c r="AI309" cm="1">
        <f t="array" aca="1" ref="AI309" ca="1">IFERROR(INDIRECT("FINI_grouping_for_wheel[@["&amp;FINI_grouping_for_wheel[[#This Row],[Selected PV]]&amp;"]]"),"")</f>
        <v>19</v>
      </c>
      <c r="AJ30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8345.346345</v>
      </c>
      <c r="AK3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v>
      </c>
      <c r="AL309" s="4"/>
      <c r="AM30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0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09" t="str">
        <f>_xlfn.CONCAT(FINI_grouping_for_wheel[[#This Row],[Recipe Combination]],FINI_grouping_for_wheel[[#This Row],[Subgroup]])</f>
        <v>X3</v>
      </c>
    </row>
    <row r="310" spans="1:55" hidden="1">
      <c r="A310" t="s">
        <v>10</v>
      </c>
      <c r="B310">
        <v>4167519</v>
      </c>
      <c r="C310" t="s">
        <v>1388</v>
      </c>
      <c r="D310">
        <v>8708.15751623</v>
      </c>
      <c r="E310">
        <v>106</v>
      </c>
      <c r="F310">
        <v>2.12</v>
      </c>
      <c r="G310" t="s">
        <v>1389</v>
      </c>
      <c r="H310" t="s">
        <v>1390</v>
      </c>
      <c r="I310">
        <v>450</v>
      </c>
      <c r="J310" t="s">
        <v>90</v>
      </c>
      <c r="K310" t="s">
        <v>264</v>
      </c>
      <c r="L310" t="s">
        <v>265</v>
      </c>
      <c r="M310">
        <v>35095.67982</v>
      </c>
      <c r="N310">
        <v>140.38271928</v>
      </c>
      <c r="O310">
        <v>73990.510785</v>
      </c>
      <c r="P310">
        <v>915950.597445</v>
      </c>
      <c r="Q310">
        <v>0.47432676768484888</v>
      </c>
      <c r="R310">
        <v>4130.51220716</v>
      </c>
      <c r="S310" t="s">
        <v>594</v>
      </c>
      <c r="T310" t="s">
        <v>93</v>
      </c>
      <c r="U310">
        <v>2.5</v>
      </c>
      <c r="V310" t="s">
        <v>267</v>
      </c>
      <c r="W310" t="s">
        <v>142</v>
      </c>
      <c r="X310" t="s">
        <v>150</v>
      </c>
      <c r="Y310" s="23" t="s">
        <v>151</v>
      </c>
      <c r="AA310">
        <v>62</v>
      </c>
      <c r="AB310" t="s">
        <v>1391</v>
      </c>
      <c r="AC310" t="s">
        <v>1392</v>
      </c>
      <c r="AD310" s="2">
        <v>3</v>
      </c>
      <c r="AE310" s="2" t="s">
        <v>70</v>
      </c>
      <c r="AF310" t="str">
        <f>_xlfn.CONCAT(FINI_grouping_for_wheel[[#This Row],[SEFI/Plant]],"/",IF(FINI_grouping_for_wheel[[#This Row],[RESET recipe combination]]&lt;&gt;"",FINI_grouping_for_wheel[[#This Row],[RESET recipe combination]],FINI_grouping_for_wheel[[#This Row],[Recipe Combination]]),"/",FINI_grouping_for_wheel[[#This Row],[Subgroup]])</f>
        <v>4167519/THDP/x/3</v>
      </c>
      <c r="AG3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0.8075403851916423</v>
      </c>
      <c r="AH310">
        <f>_xlfn.LET(_xlpm.pct, FINI_grouping_for_wheel[[#This Row],[% forecast within subgroup]], _xlpm.lote, FINI_grouping_for_wheel[[#This Row],[Lot size considered]], _xlpm.pct*_xlpm.lote)</f>
        <v>7032.188874965869</v>
      </c>
      <c r="AI310" cm="1">
        <f t="array" aca="1" ref="AI310" ca="1">IFERROR(INDIRECT("FINI_grouping_for_wheel[@["&amp;FINI_grouping_for_wheel[[#This Row],[Selected PV]]&amp;"]]"),"")</f>
        <v>43</v>
      </c>
      <c r="AJ31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15.8</v>
      </c>
      <c r="AL310" s="4"/>
      <c r="AM31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43</v>
      </c>
      <c r="AN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1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10" t="str">
        <f>_xlfn.CONCAT(FINI_grouping_for_wheel[[#This Row],[Recipe Combination]],FINI_grouping_for_wheel[[#This Row],[Subgroup]])</f>
        <v>43</v>
      </c>
    </row>
    <row r="311" spans="1:55" hidden="1">
      <c r="A311" t="s">
        <v>10</v>
      </c>
      <c r="B311">
        <v>4167519</v>
      </c>
      <c r="C311" t="s">
        <v>1388</v>
      </c>
      <c r="D311">
        <v>8708.15751623</v>
      </c>
      <c r="E311">
        <v>106</v>
      </c>
      <c r="F311">
        <v>2.12</v>
      </c>
      <c r="G311" t="s">
        <v>1393</v>
      </c>
      <c r="H311" t="s">
        <v>1394</v>
      </c>
      <c r="I311">
        <v>450</v>
      </c>
      <c r="J311" t="s">
        <v>90</v>
      </c>
      <c r="K311" t="s">
        <v>264</v>
      </c>
      <c r="L311" t="s">
        <v>265</v>
      </c>
      <c r="M311">
        <v>38894.830965</v>
      </c>
      <c r="N311">
        <v>155.57932386</v>
      </c>
      <c r="O311">
        <v>73990.510785</v>
      </c>
      <c r="P311">
        <v>915950.597445</v>
      </c>
      <c r="Q311">
        <v>0.52567323231515117</v>
      </c>
      <c r="R311">
        <v>4577.64530907</v>
      </c>
      <c r="S311" t="s">
        <v>594</v>
      </c>
      <c r="T311" t="s">
        <v>93</v>
      </c>
      <c r="U311">
        <v>2.5</v>
      </c>
      <c r="V311" t="s">
        <v>267</v>
      </c>
      <c r="W311" t="s">
        <v>142</v>
      </c>
      <c r="X311" t="s">
        <v>150</v>
      </c>
      <c r="Y311" s="23" t="s">
        <v>151</v>
      </c>
      <c r="AA311">
        <v>56</v>
      </c>
      <c r="AB311" t="s">
        <v>1395</v>
      </c>
      <c r="AC311" t="s">
        <v>1392</v>
      </c>
      <c r="AD311" s="2">
        <v>2</v>
      </c>
      <c r="AE311" s="2" t="s">
        <v>70</v>
      </c>
      <c r="AF311" t="str">
        <f>_xlfn.CONCAT(FINI_grouping_for_wheel[[#This Row],[SEFI/Plant]],"/",IF(FINI_grouping_for_wheel[[#This Row],[RESET recipe combination]]&lt;&gt;"",FINI_grouping_for_wheel[[#This Row],[RESET recipe combination]],FINI_grouping_for_wheel[[#This Row],[Recipe Combination]]),"/",FINI_grouping_for_wheel[[#This Row],[Subgroup]])</f>
        <v>4167519/THDP/x/2</v>
      </c>
      <c r="AG3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0.6899716475900453</v>
      </c>
      <c r="AH311">
        <f>_xlfn.LET(_xlpm.pct, FINI_grouping_for_wheel[[#This Row],[% forecast within subgroup]], _xlpm.lote, FINI_grouping_for_wheel[[#This Row],[Lot size considered]], _xlpm.pct*_xlpm.lote)</f>
        <v>6008.381788946849</v>
      </c>
      <c r="AI311" cm="1">
        <f t="array" aca="1" ref="AI311" ca="1">IFERROR(INDIRECT("FINI_grouping_for_wheel[@["&amp;FINI_grouping_for_wheel[[#This Row],[Selected PV]]&amp;"]]"),"")</f>
        <v>33</v>
      </c>
      <c r="AJ31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13.5</v>
      </c>
      <c r="AL311" s="4"/>
      <c r="AM31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1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11" t="str">
        <f>_xlfn.CONCAT(FINI_grouping_for_wheel[[#This Row],[Recipe Combination]],FINI_grouping_for_wheel[[#This Row],[Subgroup]])</f>
        <v>42</v>
      </c>
    </row>
    <row r="312" spans="1:55" hidden="1">
      <c r="A312" t="s">
        <v>10</v>
      </c>
      <c r="B312">
        <v>4167519</v>
      </c>
      <c r="C312" t="s">
        <v>1388</v>
      </c>
      <c r="D312">
        <v>8708.15751623</v>
      </c>
      <c r="E312">
        <v>106</v>
      </c>
      <c r="F312">
        <v>2.12</v>
      </c>
      <c r="G312" t="s">
        <v>1396</v>
      </c>
      <c r="H312" t="s">
        <v>1397</v>
      </c>
      <c r="I312">
        <v>300</v>
      </c>
      <c r="J312" t="s">
        <v>90</v>
      </c>
      <c r="K312" t="s">
        <v>1398</v>
      </c>
      <c r="L312" t="s">
        <v>1399</v>
      </c>
      <c r="M312">
        <v>98479.58571</v>
      </c>
      <c r="N312">
        <v>393.91834284</v>
      </c>
      <c r="O312">
        <v>98479.58571</v>
      </c>
      <c r="P312">
        <v>915950.597445</v>
      </c>
      <c r="Q312">
        <v>1</v>
      </c>
      <c r="R312">
        <v>8708.15751623</v>
      </c>
      <c r="S312" t="s">
        <v>294</v>
      </c>
      <c r="T312" t="s">
        <v>93</v>
      </c>
      <c r="U312">
        <v>12.5</v>
      </c>
      <c r="V312" t="s">
        <v>295</v>
      </c>
      <c r="W312" t="s">
        <v>95</v>
      </c>
      <c r="X312" t="s">
        <v>128</v>
      </c>
      <c r="Y312" s="23" t="s">
        <v>120</v>
      </c>
      <c r="AA312">
        <v>22</v>
      </c>
      <c r="AB312" t="s">
        <v>1400</v>
      </c>
      <c r="AC312" t="s">
        <v>1392</v>
      </c>
      <c r="AD312" s="2">
        <v>4</v>
      </c>
      <c r="AE312" s="2" t="s">
        <v>70</v>
      </c>
      <c r="AF312" t="str">
        <f>_xlfn.CONCAT(FINI_grouping_for_wheel[[#This Row],[SEFI/Plant]],"/",IF(FINI_grouping_for_wheel[[#This Row],[RESET recipe combination]]&lt;&gt;"",FINI_grouping_for_wheel[[#This Row],[RESET recipe combination]],FINI_grouping_for_wheel[[#This Row],[Recipe Combination]]),"/",FINI_grouping_for_wheel[[#This Row],[Subgroup]])</f>
        <v>4167519/THDP/x/4</v>
      </c>
      <c r="AG3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0.921663785844081</v>
      </c>
      <c r="AH312">
        <f>_xlfn.LET(_xlpm.pct, FINI_grouping_for_wheel[[#This Row],[% forecast within subgroup]], _xlpm.lote, FINI_grouping_for_wheel[[#This Row],[Lot size considered]], _xlpm.pct*_xlpm.lote)</f>
        <v>8025.993424135131</v>
      </c>
      <c r="AI312" cm="1">
        <f t="array" aca="1" ref="AI312" ca="1">IFERROR(INDIRECT("FINI_grouping_for_wheel[@["&amp;FINI_grouping_for_wheel[[#This Row],[Selected PV]]&amp;"]]"),"")</f>
        <v>18</v>
      </c>
      <c r="AJ31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v>
      </c>
      <c r="AL312" s="4"/>
      <c r="AM31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v>
      </c>
      <c r="AN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1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12" t="str">
        <f>_xlfn.CONCAT(FINI_grouping_for_wheel[[#This Row],[Recipe Combination]],FINI_grouping_for_wheel[[#This Row],[Subgroup]])</f>
        <v>C4</v>
      </c>
    </row>
    <row r="313" spans="1:55" hidden="1">
      <c r="A313" t="s">
        <v>10</v>
      </c>
      <c r="B313">
        <v>4167519</v>
      </c>
      <c r="C313" t="s">
        <v>1388</v>
      </c>
      <c r="D313">
        <v>8708.15751623</v>
      </c>
      <c r="E313">
        <v>106</v>
      </c>
      <c r="F313">
        <v>2.12</v>
      </c>
      <c r="G313" t="s">
        <v>1401</v>
      </c>
      <c r="H313" t="s">
        <v>1402</v>
      </c>
      <c r="I313">
        <v>375</v>
      </c>
      <c r="J313" t="s">
        <v>90</v>
      </c>
      <c r="K313" t="s">
        <v>264</v>
      </c>
      <c r="L313" t="s">
        <v>265</v>
      </c>
      <c r="M313">
        <v>2621.16567</v>
      </c>
      <c r="N313">
        <v>10.48466268</v>
      </c>
      <c r="O313">
        <v>2621.16567</v>
      </c>
      <c r="P313">
        <v>915950.597445</v>
      </c>
      <c r="Q313">
        <v>1</v>
      </c>
      <c r="R313">
        <v>8708.15751623</v>
      </c>
      <c r="S313" t="s">
        <v>307</v>
      </c>
      <c r="T313" t="s">
        <v>93</v>
      </c>
      <c r="U313">
        <v>2.5</v>
      </c>
      <c r="V313" t="s">
        <v>267</v>
      </c>
      <c r="W313" t="s">
        <v>142</v>
      </c>
      <c r="X313" t="s">
        <v>150</v>
      </c>
      <c r="Y313" s="23" t="s">
        <v>151</v>
      </c>
      <c r="AA313">
        <v>831</v>
      </c>
      <c r="AB313" t="s">
        <v>1403</v>
      </c>
      <c r="AC313" t="s">
        <v>1392</v>
      </c>
      <c r="AD313" s="2">
        <v>3</v>
      </c>
      <c r="AE313" s="2" t="s">
        <v>70</v>
      </c>
      <c r="AF313" t="str">
        <f>_xlfn.CONCAT(FINI_grouping_for_wheel[[#This Row],[SEFI/Plant]],"/",IF(FINI_grouping_for_wheel[[#This Row],[RESET recipe combination]]&lt;&gt;"",FINI_grouping_for_wheel[[#This Row],[RESET recipe combination]],FINI_grouping_for_wheel[[#This Row],[Recipe Combination]]),"/",FINI_grouping_for_wheel[[#This Row],[Subgroup]])</f>
        <v>4167519/THDP/x/3</v>
      </c>
      <c r="AG3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0.06031218502274646</v>
      </c>
      <c r="AH313">
        <f>_xlfn.LET(_xlpm.pct, FINI_grouping_for_wheel[[#This Row],[% forecast within subgroup]], _xlpm.lote, FINI_grouping_for_wheel[[#This Row],[Lot size considered]], _xlpm.pct*_xlpm.lote)</f>
        <v>525.208007326084</v>
      </c>
      <c r="AI313" cm="1">
        <f t="array" aca="1" ref="AI313" ca="1">IFERROR(INDIRECT("FINI_grouping_for_wheel[@["&amp;FINI_grouping_for_wheel[[#This Row],[Selected PV]]&amp;"]]"),"")</f>
        <v>43</v>
      </c>
      <c r="AJ31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v>
      </c>
      <c r="AL313" s="4"/>
      <c r="AM31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43</v>
      </c>
      <c r="AN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1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13" t="str">
        <f>_xlfn.CONCAT(FINI_grouping_for_wheel[[#This Row],[Recipe Combination]],FINI_grouping_for_wheel[[#This Row],[Subgroup]])</f>
        <v>H3</v>
      </c>
    </row>
    <row r="314" spans="1:55" hidden="1">
      <c r="A314" t="s">
        <v>10</v>
      </c>
      <c r="B314">
        <v>4167519</v>
      </c>
      <c r="C314" t="s">
        <v>1388</v>
      </c>
      <c r="D314">
        <v>8708.15751623</v>
      </c>
      <c r="E314">
        <v>106</v>
      </c>
      <c r="F314">
        <v>2.12</v>
      </c>
      <c r="G314" t="s">
        <v>1404</v>
      </c>
      <c r="H314" t="s">
        <v>1405</v>
      </c>
      <c r="I314">
        <v>415.8</v>
      </c>
      <c r="J314" t="s">
        <v>90</v>
      </c>
      <c r="K314" t="s">
        <v>312</v>
      </c>
      <c r="L314" t="s">
        <v>313</v>
      </c>
      <c r="M314">
        <v>1652.73138</v>
      </c>
      <c r="N314">
        <v>6.61092552</v>
      </c>
      <c r="O314">
        <v>1652.73138</v>
      </c>
      <c r="P314">
        <v>915950.597445</v>
      </c>
      <c r="Q314">
        <v>1</v>
      </c>
      <c r="R314">
        <v>8708.15751623</v>
      </c>
      <c r="S314" t="s">
        <v>148</v>
      </c>
      <c r="T314" t="s">
        <v>93</v>
      </c>
      <c r="U314">
        <v>0.9</v>
      </c>
      <c r="V314" t="s">
        <v>315</v>
      </c>
      <c r="W314" t="s">
        <v>142</v>
      </c>
      <c r="X314" t="s">
        <v>150</v>
      </c>
      <c r="Y314" s="23" t="s">
        <v>151</v>
      </c>
      <c r="AA314">
        <v>1317</v>
      </c>
      <c r="AB314" t="s">
        <v>1406</v>
      </c>
      <c r="AC314" t="s">
        <v>1392</v>
      </c>
      <c r="AD314" s="2">
        <v>3</v>
      </c>
      <c r="AE314" s="2" t="s">
        <v>70</v>
      </c>
      <c r="AF314" t="str">
        <f>_xlfn.CONCAT(FINI_grouping_for_wheel[[#This Row],[SEFI/Plant]],"/",IF(FINI_grouping_for_wheel[[#This Row],[RESET recipe combination]]&lt;&gt;"",FINI_grouping_for_wheel[[#This Row],[RESET recipe combination]],FINI_grouping_for_wheel[[#This Row],[Recipe Combination]]),"/",FINI_grouping_for_wheel[[#This Row],[Subgroup]])</f>
        <v>4167519/THDP/x/3</v>
      </c>
      <c r="AG3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0.038028821269988286</v>
      </c>
      <c r="AH314">
        <f>_xlfn.LET(_xlpm.pct, FINI_grouping_for_wheel[[#This Row],[% forecast within subgroup]], _xlpm.lote, FINI_grouping_for_wheel[[#This Row],[Lot size considered]], _xlpm.pct*_xlpm.lote)</f>
        <v>331.16096577561575</v>
      </c>
      <c r="AI314" cm="1">
        <f t="array" aca="1" ref="AI314" ca="1">IFERROR(INDIRECT("FINI_grouping_for_wheel[@["&amp;FINI_grouping_for_wheel[[#This Row],[Selected PV]]&amp;"]]"),"")</f>
        <v>43</v>
      </c>
      <c r="AJ31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0.8</v>
      </c>
      <c r="AL314" s="4"/>
      <c r="AM31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43</v>
      </c>
      <c r="AN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1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14" t="str">
        <f>_xlfn.CONCAT(FINI_grouping_for_wheel[[#This Row],[Recipe Combination]],FINI_grouping_for_wheel[[#This Row],[Subgroup]])</f>
        <v>I3</v>
      </c>
    </row>
    <row r="315" spans="1:55">
      <c r="A315" t="s">
        <v>10</v>
      </c>
      <c r="B315">
        <v>4167519</v>
      </c>
      <c r="C315" t="s">
        <v>1388</v>
      </c>
      <c r="D315">
        <v>8708.15751623</v>
      </c>
      <c r="E315">
        <v>106</v>
      </c>
      <c r="F315">
        <v>2.12</v>
      </c>
      <c r="G315" t="s">
        <v>1407</v>
      </c>
      <c r="H315" t="s">
        <v>1408</v>
      </c>
      <c r="I315">
        <v>440</v>
      </c>
      <c r="J315" t="s">
        <v>90</v>
      </c>
      <c r="K315" t="s">
        <v>1409</v>
      </c>
      <c r="L315" t="s">
        <v>1410</v>
      </c>
      <c r="M315">
        <v>8370.20835</v>
      </c>
      <c r="N315">
        <v>33.4808334</v>
      </c>
      <c r="O315">
        <v>8370.20835</v>
      </c>
      <c r="P315">
        <v>915950.597445</v>
      </c>
      <c r="Q315">
        <v>1</v>
      </c>
      <c r="R315">
        <v>8708.15751623</v>
      </c>
      <c r="S315" t="s">
        <v>157</v>
      </c>
      <c r="T315" t="s">
        <v>93</v>
      </c>
      <c r="U315">
        <v>10</v>
      </c>
      <c r="V315" t="s">
        <v>482</v>
      </c>
      <c r="W315" t="s">
        <v>159</v>
      </c>
      <c r="X315" t="s">
        <v>96</v>
      </c>
      <c r="Y315" s="23" t="s">
        <v>483</v>
      </c>
      <c r="AA315">
        <v>260</v>
      </c>
      <c r="AB315" t="s">
        <v>1411</v>
      </c>
      <c r="AC315" t="s">
        <v>1392</v>
      </c>
      <c r="AD315" s="2">
        <v>4</v>
      </c>
      <c r="AE315" s="2" t="s">
        <v>70</v>
      </c>
      <c r="AF315" t="str">
        <f>_xlfn.CONCAT(FINI_grouping_for_wheel[[#This Row],[SEFI/Plant]],"/",IF(FINI_grouping_for_wheel[[#This Row],[RESET recipe combination]]&lt;&gt;"",FINI_grouping_for_wheel[[#This Row],[RESET recipe combination]],FINI_grouping_for_wheel[[#This Row],[Recipe Combination]]),"/",FINI_grouping_for_wheel[[#This Row],[Subgroup]])</f>
        <v>4167519/THDP/x/4</v>
      </c>
      <c r="AG3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0.07833621415591899</v>
      </c>
      <c r="AH315">
        <f>_xlfn.LET(_xlpm.pct, FINI_grouping_for_wheel[[#This Row],[% forecast within subgroup]], _xlpm.lote, FINI_grouping_for_wheel[[#This Row],[Lot size considered]], _xlpm.pct*_xlpm.lote)</f>
        <v>682.1640920948688</v>
      </c>
      <c r="AI315" cm="1">
        <f t="array" aca="1" ref="AI315" ca="1">IFERROR(INDIRECT("FINI_grouping_for_wheel[@["&amp;FINI_grouping_for_wheel[[#This Row],[Selected PV]]&amp;"]]"),"")</f>
        <v>18</v>
      </c>
      <c r="AJ31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v>
      </c>
      <c r="AL315" s="4"/>
      <c r="AM31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v>
      </c>
      <c r="AN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1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15" t="str">
        <f>_xlfn.CONCAT(FINI_grouping_for_wheel[[#This Row],[Recipe Combination]],FINI_grouping_for_wheel[[#This Row],[Subgroup]])</f>
        <v>M4</v>
      </c>
    </row>
    <row r="316" spans="1:55" hidden="1">
      <c r="A316" t="s">
        <v>10</v>
      </c>
      <c r="B316">
        <v>4167519</v>
      </c>
      <c r="C316" t="s">
        <v>1388</v>
      </c>
      <c r="D316">
        <v>8708.15751623</v>
      </c>
      <c r="E316">
        <v>106</v>
      </c>
      <c r="F316">
        <v>2.12</v>
      </c>
      <c r="G316" t="s">
        <v>1412</v>
      </c>
      <c r="H316" t="s">
        <v>1413</v>
      </c>
      <c r="I316">
        <v>396</v>
      </c>
      <c r="J316" t="s">
        <v>90</v>
      </c>
      <c r="K316" t="s">
        <v>1414</v>
      </c>
      <c r="L316" t="s">
        <v>1415</v>
      </c>
      <c r="M316">
        <v>103972.90491</v>
      </c>
      <c r="N316">
        <v>415.89161964</v>
      </c>
      <c r="O316">
        <v>118814.33799</v>
      </c>
      <c r="P316">
        <v>915950.597445</v>
      </c>
      <c r="Q316">
        <v>0.87508718786743456</v>
      </c>
      <c r="R316">
        <v>7620.39707238</v>
      </c>
      <c r="S316" t="s">
        <v>165</v>
      </c>
      <c r="T316" t="s">
        <v>93</v>
      </c>
      <c r="U316">
        <v>9</v>
      </c>
      <c r="V316" t="s">
        <v>94</v>
      </c>
      <c r="W316" t="s">
        <v>95</v>
      </c>
      <c r="X316" t="s">
        <v>96</v>
      </c>
      <c r="Y316" s="23" t="s">
        <v>97</v>
      </c>
      <c r="AA316">
        <v>21</v>
      </c>
      <c r="AB316" t="s">
        <v>1416</v>
      </c>
      <c r="AC316" t="s">
        <v>1392</v>
      </c>
      <c r="AD316" s="2">
        <v>5</v>
      </c>
      <c r="AE316" s="2" t="s">
        <v>70</v>
      </c>
      <c r="AF316" t="str">
        <f>_xlfn.CONCAT(FINI_grouping_for_wheel[[#This Row],[SEFI/Plant]],"/",IF(FINI_grouping_for_wheel[[#This Row],[RESET recipe combination]]&lt;&gt;"",FINI_grouping_for_wheel[[#This Row],[RESET recipe combination]],FINI_grouping_for_wheel[[#This Row],[Recipe Combination]]),"/",FINI_grouping_for_wheel[[#This Row],[Subgroup]])</f>
        <v>4167519/THDP/x/5</v>
      </c>
      <c r="AG3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16">
        <f>_xlfn.LET(_xlpm.pct, FINI_grouping_for_wheel[[#This Row],[% forecast within subgroup]], _xlpm.lote, FINI_grouping_for_wheel[[#This Row],[Lot size considered]], _xlpm.pct*_xlpm.lote)</f>
        <v>8708.15751623</v>
      </c>
      <c r="AI316" cm="1">
        <f t="array" aca="1" ref="AI316" ca="1">IFERROR(INDIRECT("FINI_grouping_for_wheel[@["&amp;FINI_grouping_for_wheel[[#This Row],[Selected PV]]&amp;"]]"),"")</f>
        <v>18</v>
      </c>
      <c r="AJ31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22.2</v>
      </c>
      <c r="AL316" s="4"/>
      <c r="AM31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v>
      </c>
      <c r="AN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1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16" t="str">
        <f>_xlfn.CONCAT(FINI_grouping_for_wheel[[#This Row],[Recipe Combination]],FINI_grouping_for_wheel[[#This Row],[Subgroup]])</f>
        <v>N5</v>
      </c>
    </row>
    <row r="317" spans="1:55" hidden="1">
      <c r="A317" t="s">
        <v>10</v>
      </c>
      <c r="B317">
        <v>4167519</v>
      </c>
      <c r="C317" t="s">
        <v>1388</v>
      </c>
      <c r="D317">
        <v>8708.15751623</v>
      </c>
      <c r="E317">
        <v>106</v>
      </c>
      <c r="F317">
        <v>2.12</v>
      </c>
      <c r="G317" t="s">
        <v>1417</v>
      </c>
      <c r="H317" t="s">
        <v>1418</v>
      </c>
      <c r="I317">
        <v>266.40000000000003</v>
      </c>
      <c r="J317" t="s">
        <v>90</v>
      </c>
      <c r="K317" t="s">
        <v>1419</v>
      </c>
      <c r="L317" t="s">
        <v>1420</v>
      </c>
      <c r="M317">
        <v>10500.053445</v>
      </c>
      <c r="N317">
        <v>42.00021378</v>
      </c>
      <c r="O317">
        <v>118814.33799</v>
      </c>
      <c r="P317">
        <v>915950.597445</v>
      </c>
      <c r="Q317">
        <v>8.837362243169454E-2</v>
      </c>
      <c r="R317">
        <v>769.571424415</v>
      </c>
      <c r="S317" t="s">
        <v>165</v>
      </c>
      <c r="T317" t="s">
        <v>93</v>
      </c>
      <c r="U317">
        <v>4.4400000000000004</v>
      </c>
      <c r="V317" t="s">
        <v>174</v>
      </c>
      <c r="W317" t="s">
        <v>95</v>
      </c>
      <c r="X317" t="s">
        <v>96</v>
      </c>
      <c r="Y317" s="23" t="s">
        <v>167</v>
      </c>
      <c r="AA317">
        <v>207</v>
      </c>
      <c r="AB317" t="s">
        <v>1421</v>
      </c>
      <c r="AC317" t="s">
        <v>1392</v>
      </c>
      <c r="AD317" s="2">
        <v>7</v>
      </c>
      <c r="AE317" s="2" t="s">
        <v>70</v>
      </c>
      <c r="AF317" t="str">
        <f>_xlfn.CONCAT(FINI_grouping_for_wheel[[#This Row],[SEFI/Plant]],"/",IF(FINI_grouping_for_wheel[[#This Row],[RESET recipe combination]]&lt;&gt;"",FINI_grouping_for_wheel[[#This Row],[RESET recipe combination]],FINI_grouping_for_wheel[[#This Row],[Recipe Combination]]),"/",FINI_grouping_for_wheel[[#This Row],[Subgroup]])</f>
        <v>4167519/THDP/x/7</v>
      </c>
      <c r="AG3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0.7074824505424379</v>
      </c>
      <c r="AH317">
        <f>_xlfn.LET(_xlpm.pct, FINI_grouping_for_wheel[[#This Row],[% forecast within subgroup]], _xlpm.lote, FINI_grouping_for_wheel[[#This Row],[Lot size considered]], _xlpm.pct*_xlpm.lote)</f>
        <v>6160.8686192919495</v>
      </c>
      <c r="AI317" cm="1">
        <f t="array" aca="1" ref="AI317" ca="1">IFERROR(INDIRECT("FINI_grouping_for_wheel[@["&amp;FINI_grouping_for_wheel[[#This Row],[Selected PV]]&amp;"]]"),"")</f>
        <v>126</v>
      </c>
      <c r="AJ31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23.4</v>
      </c>
      <c r="AL317" s="4"/>
      <c r="AM31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126</v>
      </c>
      <c r="AN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1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17" t="str">
        <f>_xlfn.CONCAT(FINI_grouping_for_wheel[[#This Row],[Recipe Combination]],FINI_grouping_for_wheel[[#This Row],[Subgroup]])</f>
        <v>N7</v>
      </c>
    </row>
    <row r="318" spans="1:55" hidden="1">
      <c r="A318" t="s">
        <v>10</v>
      </c>
      <c r="B318">
        <v>4167519</v>
      </c>
      <c r="C318" t="s">
        <v>1388</v>
      </c>
      <c r="D318">
        <v>8708.15751623</v>
      </c>
      <c r="E318">
        <v>106</v>
      </c>
      <c r="F318">
        <v>2.12</v>
      </c>
      <c r="G318" t="s">
        <v>1422</v>
      </c>
      <c r="H318" t="s">
        <v>1423</v>
      </c>
      <c r="I318">
        <v>261.60000000000002</v>
      </c>
      <c r="J318" t="s">
        <v>90</v>
      </c>
      <c r="K318" t="s">
        <v>1424</v>
      </c>
      <c r="L318" t="s">
        <v>1425</v>
      </c>
      <c r="M318">
        <v>4341.379635</v>
      </c>
      <c r="N318">
        <v>17.36551854</v>
      </c>
      <c r="O318">
        <v>118814.33799</v>
      </c>
      <c r="P318">
        <v>915950.597445</v>
      </c>
      <c r="Q318">
        <v>3.6539189700870882E-2</v>
      </c>
      <c r="R318">
        <v>318.189019431</v>
      </c>
      <c r="S318" t="s">
        <v>165</v>
      </c>
      <c r="T318" t="s">
        <v>93</v>
      </c>
      <c r="U318">
        <v>2.1800000000000002</v>
      </c>
      <c r="V318" t="s">
        <v>166</v>
      </c>
      <c r="W318" t="s">
        <v>95</v>
      </c>
      <c r="X318" t="s">
        <v>96</v>
      </c>
      <c r="Y318" s="23" t="s">
        <v>167</v>
      </c>
      <c r="AA318">
        <v>501</v>
      </c>
      <c r="AB318" t="s">
        <v>1426</v>
      </c>
      <c r="AC318" t="s">
        <v>1392</v>
      </c>
      <c r="AD318" s="2">
        <v>7</v>
      </c>
      <c r="AE318" s="2" t="s">
        <v>70</v>
      </c>
      <c r="AF318" t="str">
        <f>_xlfn.CONCAT(FINI_grouping_for_wheel[[#This Row],[SEFI/Plant]],"/",IF(FINI_grouping_for_wheel[[#This Row],[RESET recipe combination]]&lt;&gt;"",FINI_grouping_for_wheel[[#This Row],[RESET recipe combination]],FINI_grouping_for_wheel[[#This Row],[Recipe Combination]]),"/",FINI_grouping_for_wheel[[#This Row],[Subgroup]])</f>
        <v>4167519/THDP/x/7</v>
      </c>
      <c r="AG3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0.29251754945756225</v>
      </c>
      <c r="AH318">
        <f>_xlfn.LET(_xlpm.pct, FINI_grouping_for_wheel[[#This Row],[% forecast within subgroup]], _xlpm.lote, FINI_grouping_for_wheel[[#This Row],[Lot size considered]], _xlpm.pct*_xlpm.lote)</f>
        <v>2547.2888969380515</v>
      </c>
      <c r="AI318" cm="1">
        <f t="array" aca="1" ref="AI318" ca="1">IFERROR(INDIRECT("FINI_grouping_for_wheel[@["&amp;FINI_grouping_for_wheel[[#This Row],[Selected PV]]&amp;"]]"),"")</f>
        <v>126</v>
      </c>
      <c r="AJ31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9.8</v>
      </c>
      <c r="AL318" s="4"/>
      <c r="AM31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126</v>
      </c>
      <c r="AN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1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18" t="str">
        <f>_xlfn.CONCAT(FINI_grouping_for_wheel[[#This Row],[Recipe Combination]],FINI_grouping_for_wheel[[#This Row],[Subgroup]])</f>
        <v>N7</v>
      </c>
    </row>
    <row r="319" spans="1:55" hidden="1">
      <c r="A319" t="s">
        <v>10</v>
      </c>
      <c r="B319">
        <v>4167519</v>
      </c>
      <c r="C319" t="s">
        <v>1388</v>
      </c>
      <c r="D319">
        <v>8708.15751623</v>
      </c>
      <c r="E319">
        <v>106</v>
      </c>
      <c r="F319">
        <v>2.12</v>
      </c>
      <c r="G319" t="s">
        <v>1427</v>
      </c>
      <c r="H319" t="s">
        <v>1428</v>
      </c>
      <c r="I319">
        <v>300</v>
      </c>
      <c r="J319" t="s">
        <v>90</v>
      </c>
      <c r="K319" t="s">
        <v>1429</v>
      </c>
      <c r="L319" t="s">
        <v>1430</v>
      </c>
      <c r="M319">
        <v>104414.501475</v>
      </c>
      <c r="N319">
        <v>417.6580059</v>
      </c>
      <c r="O319">
        <v>104414.501475</v>
      </c>
      <c r="P319">
        <v>915950.597445</v>
      </c>
      <c r="Q319">
        <v>1</v>
      </c>
      <c r="R319">
        <v>8708.15751623</v>
      </c>
      <c r="S319" t="s">
        <v>173</v>
      </c>
      <c r="T319" t="s">
        <v>93</v>
      </c>
      <c r="U319">
        <v>5</v>
      </c>
      <c r="V319" t="s">
        <v>119</v>
      </c>
      <c r="W319" t="s">
        <v>95</v>
      </c>
      <c r="X319" t="s">
        <v>96</v>
      </c>
      <c r="Y319" s="23" t="s">
        <v>120</v>
      </c>
      <c r="AA319">
        <v>21</v>
      </c>
      <c r="AB319" t="s">
        <v>1431</v>
      </c>
      <c r="AC319" t="s">
        <v>1392</v>
      </c>
      <c r="AD319" s="2">
        <v>6</v>
      </c>
      <c r="AE319" s="2" t="s">
        <v>70</v>
      </c>
      <c r="AF319" t="str">
        <f>_xlfn.CONCAT(FINI_grouping_for_wheel[[#This Row],[SEFI/Plant]],"/",IF(FINI_grouping_for_wheel[[#This Row],[RESET recipe combination]]&lt;&gt;"",FINI_grouping_for_wheel[[#This Row],[RESET recipe combination]],FINI_grouping_for_wheel[[#This Row],[Recipe Combination]]),"/",FINI_grouping_for_wheel[[#This Row],[Subgroup]])</f>
        <v>4167519/THDP/x/6</v>
      </c>
      <c r="AG3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19">
        <f>_xlfn.LET(_xlpm.pct, FINI_grouping_for_wheel[[#This Row],[% forecast within subgroup]], _xlpm.lote, FINI_grouping_for_wheel[[#This Row],[Lot size considered]], _xlpm.pct*_xlpm.lote)</f>
        <v>8708.15751623</v>
      </c>
      <c r="AI319" cm="1">
        <f t="array" aca="1" ref="AI319" ca="1">IFERROR(INDIRECT("FINI_grouping_for_wheel[@["&amp;FINI_grouping_for_wheel[[#This Row],[Selected PV]]&amp;"]]"),"")</f>
        <v>18</v>
      </c>
      <c r="AJ31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29.3</v>
      </c>
      <c r="AL319" s="4"/>
      <c r="AM31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v>
      </c>
      <c r="AN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1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19" t="str">
        <f>_xlfn.CONCAT(FINI_grouping_for_wheel[[#This Row],[Recipe Combination]],FINI_grouping_for_wheel[[#This Row],[Subgroup]])</f>
        <v>P6</v>
      </c>
    </row>
    <row r="320" spans="1:55" hidden="1">
      <c r="A320" t="s">
        <v>10</v>
      </c>
      <c r="B320">
        <v>4167519</v>
      </c>
      <c r="C320" t="s">
        <v>1388</v>
      </c>
      <c r="D320">
        <v>8708.15751623</v>
      </c>
      <c r="E320">
        <v>106</v>
      </c>
      <c r="F320">
        <v>2.12</v>
      </c>
      <c r="G320" t="s">
        <v>1432</v>
      </c>
      <c r="H320" t="s">
        <v>1433</v>
      </c>
      <c r="I320">
        <v>396</v>
      </c>
      <c r="J320" t="s">
        <v>90</v>
      </c>
      <c r="K320" t="s">
        <v>312</v>
      </c>
      <c r="L320" t="s">
        <v>313</v>
      </c>
      <c r="M320">
        <v>17476.80561</v>
      </c>
      <c r="N320">
        <v>69.90722244</v>
      </c>
      <c r="O320">
        <v>21567.197385</v>
      </c>
      <c r="P320">
        <v>915950.597445</v>
      </c>
      <c r="Q320">
        <v>0.81034198825273096</v>
      </c>
      <c r="R320">
        <v>7056.58567572</v>
      </c>
      <c r="S320" t="s">
        <v>356</v>
      </c>
      <c r="T320" t="s">
        <v>93</v>
      </c>
      <c r="U320">
        <v>1</v>
      </c>
      <c r="V320" t="s">
        <v>315</v>
      </c>
      <c r="W320" t="s">
        <v>142</v>
      </c>
      <c r="X320" t="s">
        <v>150</v>
      </c>
      <c r="Y320" s="23" t="s">
        <v>151</v>
      </c>
      <c r="AA320">
        <v>125</v>
      </c>
      <c r="AB320" t="s">
        <v>1434</v>
      </c>
      <c r="AC320" t="s">
        <v>1392</v>
      </c>
      <c r="AD320" s="2">
        <v>2</v>
      </c>
      <c r="AE320" s="2" t="s">
        <v>70</v>
      </c>
      <c r="AF320" t="str">
        <f>_xlfn.CONCAT(FINI_grouping_for_wheel[[#This Row],[SEFI/Plant]],"/",IF(FINI_grouping_for_wheel[[#This Row],[RESET recipe combination]]&lt;&gt;"",FINI_grouping_for_wheel[[#This Row],[RESET recipe combination]],FINI_grouping_for_wheel[[#This Row],[Recipe Combination]]),"/",FINI_grouping_for_wheel[[#This Row],[Subgroup]])</f>
        <v>4167519/THDP/x/2</v>
      </c>
      <c r="AG3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0.31002835240995485</v>
      </c>
      <c r="AH320">
        <f>_xlfn.LET(_xlpm.pct, FINI_grouping_for_wheel[[#This Row],[% forecast within subgroup]], _xlpm.lote, FINI_grouping_for_wheel[[#This Row],[Lot size considered]], _xlpm.pct*_xlpm.lote)</f>
        <v>2699.7757272831514</v>
      </c>
      <c r="AI320" cm="1">
        <f t="array" aca="1" ref="AI320" ca="1">IFERROR(INDIRECT("FINI_grouping_for_wheel[@["&amp;FINI_grouping_for_wheel[[#This Row],[Selected PV]]&amp;"]]"),"")</f>
        <v>33</v>
      </c>
      <c r="AJ32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6.9</v>
      </c>
      <c r="AL320" s="4"/>
      <c r="AM32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2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20" t="str">
        <f>_xlfn.CONCAT(FINI_grouping_for_wheel[[#This Row],[Recipe Combination]],FINI_grouping_for_wheel[[#This Row],[Subgroup]])</f>
        <v>R2</v>
      </c>
    </row>
    <row r="321" spans="1:55" hidden="1">
      <c r="A321" t="s">
        <v>10</v>
      </c>
      <c r="B321">
        <v>4167519</v>
      </c>
      <c r="C321" t="s">
        <v>1388</v>
      </c>
      <c r="D321">
        <v>8708.15751623</v>
      </c>
      <c r="E321">
        <v>106</v>
      </c>
      <c r="F321">
        <v>2.12</v>
      </c>
      <c r="G321" t="s">
        <v>1435</v>
      </c>
      <c r="H321" t="s">
        <v>1436</v>
      </c>
      <c r="I321">
        <v>330</v>
      </c>
      <c r="J321" t="s">
        <v>90</v>
      </c>
      <c r="K321" t="s">
        <v>312</v>
      </c>
      <c r="L321" t="s">
        <v>313</v>
      </c>
      <c r="M321">
        <v>4090.391775</v>
      </c>
      <c r="N321">
        <v>16.3615671</v>
      </c>
      <c r="O321">
        <v>21567.197385</v>
      </c>
      <c r="P321">
        <v>915950.597445</v>
      </c>
      <c r="Q321">
        <v>0.18965801174726904</v>
      </c>
      <c r="R321">
        <v>1651.57184051</v>
      </c>
      <c r="S321" t="s">
        <v>356</v>
      </c>
      <c r="T321" t="s">
        <v>93</v>
      </c>
      <c r="U321">
        <v>1</v>
      </c>
      <c r="V321" t="s">
        <v>315</v>
      </c>
      <c r="W321" t="s">
        <v>142</v>
      </c>
      <c r="X321" t="s">
        <v>150</v>
      </c>
      <c r="Y321" s="23" t="s">
        <v>151</v>
      </c>
      <c r="AA321">
        <v>532</v>
      </c>
      <c r="AB321" t="s">
        <v>1437</v>
      </c>
      <c r="AC321" t="s">
        <v>1392</v>
      </c>
      <c r="AD321" s="2">
        <v>3</v>
      </c>
      <c r="AE321" s="2" t="s">
        <v>70</v>
      </c>
      <c r="AF321" t="str">
        <f>_xlfn.CONCAT(FINI_grouping_for_wheel[[#This Row],[SEFI/Plant]],"/",IF(FINI_grouping_for_wheel[[#This Row],[RESET recipe combination]]&lt;&gt;"",FINI_grouping_for_wheel[[#This Row],[RESET recipe combination]],FINI_grouping_for_wheel[[#This Row],[Recipe Combination]]),"/",FINI_grouping_for_wheel[[#This Row],[Subgroup]])</f>
        <v>4167519/THDP/x/3</v>
      </c>
      <c r="AG3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0.09411860851562287</v>
      </c>
      <c r="AH321">
        <f>_xlfn.LET(_xlpm.pct, FINI_grouping_for_wheel[[#This Row],[% forecast within subgroup]], _xlpm.lote, FINI_grouping_for_wheel[[#This Row],[Lot size considered]], _xlpm.pct*_xlpm.lote)</f>
        <v>819.5996681624301</v>
      </c>
      <c r="AI321" cm="1">
        <f t="array" aca="1" ref="AI321" ca="1">IFERROR(INDIRECT("FINI_grouping_for_wheel[@["&amp;FINI_grouping_for_wheel[[#This Row],[Selected PV]]&amp;"]]"),"")</f>
        <v>43</v>
      </c>
      <c r="AJ32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2.5</v>
      </c>
      <c r="AL321" s="4"/>
      <c r="AM32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43</v>
      </c>
      <c r="AN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2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21" t="str">
        <f>_xlfn.CONCAT(FINI_grouping_for_wheel[[#This Row],[Recipe Combination]],FINI_grouping_for_wheel[[#This Row],[Subgroup]])</f>
        <v>R3</v>
      </c>
    </row>
    <row r="322" spans="1:55" hidden="1">
      <c r="A322" t="s">
        <v>10</v>
      </c>
      <c r="B322">
        <v>4167519</v>
      </c>
      <c r="C322" t="s">
        <v>1388</v>
      </c>
      <c r="D322">
        <v>8708.15751623</v>
      </c>
      <c r="E322">
        <v>106</v>
      </c>
      <c r="F322">
        <v>2.12</v>
      </c>
      <c r="G322" t="s">
        <v>1438</v>
      </c>
      <c r="H322" t="s">
        <v>1439</v>
      </c>
      <c r="I322">
        <v>440</v>
      </c>
      <c r="J322" t="s">
        <v>90</v>
      </c>
      <c r="K322" t="s">
        <v>1440</v>
      </c>
      <c r="L322" t="s">
        <v>1441</v>
      </c>
      <c r="M322">
        <v>486040.3587</v>
      </c>
      <c r="N322">
        <v>1944.1614348</v>
      </c>
      <c r="O322">
        <v>486040.3587</v>
      </c>
      <c r="P322">
        <v>915950.597445</v>
      </c>
      <c r="Q322">
        <v>1</v>
      </c>
      <c r="R322">
        <v>8708.15751623</v>
      </c>
      <c r="S322" t="s">
        <v>224</v>
      </c>
      <c r="T322" t="s">
        <v>93</v>
      </c>
      <c r="U322">
        <v>10</v>
      </c>
      <c r="V322" t="s">
        <v>94</v>
      </c>
      <c r="W322" t="s">
        <v>95</v>
      </c>
      <c r="X322" t="s">
        <v>96</v>
      </c>
      <c r="Y322" s="23" t="s">
        <v>97</v>
      </c>
      <c r="AA322">
        <v>4</v>
      </c>
      <c r="AB322" t="s">
        <v>1442</v>
      </c>
      <c r="AC322" t="s">
        <v>1392</v>
      </c>
      <c r="AD322" s="2">
        <v>1</v>
      </c>
      <c r="AE322" s="2" t="s">
        <v>70</v>
      </c>
      <c r="AF322" t="str">
        <f>_xlfn.CONCAT(FINI_grouping_for_wheel[[#This Row],[SEFI/Plant]],"/",IF(FINI_grouping_for_wheel[[#This Row],[RESET recipe combination]]&lt;&gt;"",FINI_grouping_for_wheel[[#This Row],[RESET recipe combination]],FINI_grouping_for_wheel[[#This Row],[Recipe Combination]]),"/",FINI_grouping_for_wheel[[#This Row],[Subgroup]])</f>
        <v>4167519/THDP/x/1</v>
      </c>
      <c r="AG3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22">
        <f>_xlfn.LET(_xlpm.pct, FINI_grouping_for_wheel[[#This Row],[% forecast within subgroup]], _xlpm.lote, FINI_grouping_for_wheel[[#This Row],[Lot size considered]], _xlpm.pct*_xlpm.lote)</f>
        <v>8708.15751623</v>
      </c>
      <c r="AI322" cm="1">
        <f t="array" aca="1" ref="AI322" ca="1">IFERROR(INDIRECT("FINI_grouping_for_wheel[@["&amp;FINI_grouping_for_wheel[[#This Row],[Selected PV]]&amp;"]]"),"")</f>
        <v>4</v>
      </c>
      <c r="AJ32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8799.965865</v>
      </c>
      <c r="AK3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v>
      </c>
      <c r="AL322" s="4"/>
      <c r="AM32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v>
      </c>
      <c r="AN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2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22" t="str">
        <f>_xlfn.CONCAT(FINI_grouping_for_wheel[[#This Row],[Recipe Combination]],FINI_grouping_for_wheel[[#This Row],[Subgroup]])</f>
        <v>V1</v>
      </c>
    </row>
    <row r="323" spans="1:55" hidden="1">
      <c r="A323" t="s">
        <v>10</v>
      </c>
      <c r="B323">
        <v>4011459</v>
      </c>
      <c r="C323" t="s">
        <v>1443</v>
      </c>
      <c r="D323">
        <v>8498.81875983</v>
      </c>
      <c r="E323">
        <v>94</v>
      </c>
      <c r="F323">
        <v>1.88</v>
      </c>
      <c r="G323" t="s">
        <v>1444</v>
      </c>
      <c r="H323" t="s">
        <v>1445</v>
      </c>
      <c r="I323">
        <v>300</v>
      </c>
      <c r="J323" t="s">
        <v>90</v>
      </c>
      <c r="K323" t="s">
        <v>254</v>
      </c>
      <c r="L323" t="s">
        <v>255</v>
      </c>
      <c r="M323">
        <v>10655.145</v>
      </c>
      <c r="N323">
        <v>42.62058</v>
      </c>
      <c r="O323">
        <v>11773.935225</v>
      </c>
      <c r="P323">
        <v>794020.221495</v>
      </c>
      <c r="Q323">
        <v>0.90497737556561086</v>
      </c>
      <c r="R323">
        <v>7691.23869668</v>
      </c>
      <c r="S323" t="s">
        <v>249</v>
      </c>
      <c r="T323" t="s">
        <v>93</v>
      </c>
      <c r="U323">
        <v>5</v>
      </c>
      <c r="V323" t="s">
        <v>119</v>
      </c>
      <c r="W323" t="s">
        <v>95</v>
      </c>
      <c r="X323" t="s">
        <v>96</v>
      </c>
      <c r="Y323" s="23" t="s">
        <v>120</v>
      </c>
      <c r="AA323">
        <v>199</v>
      </c>
      <c r="AB323" t="s">
        <v>1446</v>
      </c>
      <c r="AC323" t="s">
        <v>1447</v>
      </c>
      <c r="AD323" s="2">
        <v>9</v>
      </c>
      <c r="AE323" s="2" t="s">
        <v>70</v>
      </c>
      <c r="AF323" t="str">
        <f>_xlfn.CONCAT(FINI_grouping_for_wheel[[#This Row],[SEFI/Plant]],"/",IF(FINI_grouping_for_wheel[[#This Row],[RESET recipe combination]]&lt;&gt;"",FINI_grouping_for_wheel[[#This Row],[RESET recipe combination]],FINI_grouping_for_wheel[[#This Row],[Recipe Combination]]),"/",FINI_grouping_for_wheel[[#This Row],[Subgroup]])</f>
        <v>4011459/THDP/x/9</v>
      </c>
      <c r="AG3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0.818926296633303</v>
      </c>
      <c r="AH323">
        <f>_xlfn.LET(_xlpm.pct, FINI_grouping_for_wheel[[#This Row],[% forecast within subgroup]], _xlpm.lote, FINI_grouping_for_wheel[[#This Row],[Lot size considered]], _xlpm.pct*_xlpm.lote)</f>
        <v>6959.906172745222</v>
      </c>
      <c r="AI323" cm="1">
        <f t="array" aca="1" ref="AI323" ca="1">IFERROR(INDIRECT("FINI_grouping_for_wheel[@["&amp;FINI_grouping_for_wheel[[#This Row],[Selected PV]]&amp;"]]"),"")</f>
        <v>145</v>
      </c>
      <c r="AJ32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24.3</v>
      </c>
      <c r="AL323" s="4"/>
      <c r="AM32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145</v>
      </c>
      <c r="AN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2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23" t="str">
        <f>_xlfn.CONCAT(FINI_grouping_for_wheel[[#This Row],[Recipe Combination]],FINI_grouping_for_wheel[[#This Row],[Subgroup]])</f>
        <v>%9</v>
      </c>
    </row>
    <row r="324" spans="1:55" hidden="1">
      <c r="A324" t="s">
        <v>10</v>
      </c>
      <c r="B324">
        <v>4011459</v>
      </c>
      <c r="C324" t="s">
        <v>1443</v>
      </c>
      <c r="D324">
        <v>8498.81875983</v>
      </c>
      <c r="E324">
        <v>94</v>
      </c>
      <c r="F324">
        <v>1.88</v>
      </c>
      <c r="G324" t="s">
        <v>1448</v>
      </c>
      <c r="H324" t="s">
        <v>1449</v>
      </c>
      <c r="I324">
        <v>300</v>
      </c>
      <c r="J324" t="s">
        <v>90</v>
      </c>
      <c r="K324" t="s">
        <v>188</v>
      </c>
      <c r="L324" t="s">
        <v>189</v>
      </c>
      <c r="M324">
        <v>266.378625</v>
      </c>
      <c r="N324">
        <v>1.0655145</v>
      </c>
      <c r="O324">
        <v>11773.935225</v>
      </c>
      <c r="P324">
        <v>794020.221495</v>
      </c>
      <c r="Q324">
        <v>2.2624434389140271E-2</v>
      </c>
      <c r="R324">
        <v>192.280967417</v>
      </c>
      <c r="S324" t="s">
        <v>249</v>
      </c>
      <c r="T324" t="s">
        <v>93</v>
      </c>
      <c r="U324">
        <v>5</v>
      </c>
      <c r="V324" t="s">
        <v>119</v>
      </c>
      <c r="W324" t="s">
        <v>142</v>
      </c>
      <c r="X324" t="s">
        <v>96</v>
      </c>
      <c r="Y324" s="23" t="s">
        <v>120</v>
      </c>
      <c r="AA324">
        <v>7976</v>
      </c>
      <c r="AB324" t="s">
        <v>1450</v>
      </c>
      <c r="AC324" t="s">
        <v>1447</v>
      </c>
      <c r="AD324" s="2">
        <v>9</v>
      </c>
      <c r="AE324" s="2" t="s">
        <v>70</v>
      </c>
      <c r="AF324" t="str">
        <f>_xlfn.CONCAT(FINI_grouping_for_wheel[[#This Row],[SEFI/Plant]],"/",IF(FINI_grouping_for_wheel[[#This Row],[RESET recipe combination]]&lt;&gt;"",FINI_grouping_for_wheel[[#This Row],[RESET recipe combination]],FINI_grouping_for_wheel[[#This Row],[Recipe Combination]]),"/",FINI_grouping_for_wheel[[#This Row],[Subgroup]])</f>
        <v>4011459/THDP/x/9</v>
      </c>
      <c r="AG3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0.020473157415832572</v>
      </c>
      <c r="AH324">
        <f>_xlfn.LET(_xlpm.pct, FINI_grouping_for_wheel[[#This Row],[% forecast within subgroup]], _xlpm.lote, FINI_grouping_for_wheel[[#This Row],[Lot size considered]], _xlpm.pct*_xlpm.lote)</f>
        <v>173.99765431863054</v>
      </c>
      <c r="AI324" cm="1">
        <f t="array" aca="1" ref="AI324" ca="1">IFERROR(INDIRECT("FINI_grouping_for_wheel[@["&amp;FINI_grouping_for_wheel[[#This Row],[Selected PV]]&amp;"]]"),"")</f>
        <v>145</v>
      </c>
      <c r="AJ32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324" s="4"/>
      <c r="AM32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145</v>
      </c>
      <c r="AN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2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24" t="str">
        <f>_xlfn.CONCAT(FINI_grouping_for_wheel[[#This Row],[Recipe Combination]],FINI_grouping_for_wheel[[#This Row],[Subgroup]])</f>
        <v>%9</v>
      </c>
    </row>
    <row r="325" spans="1:55" hidden="1">
      <c r="A325" t="s">
        <v>10</v>
      </c>
      <c r="B325">
        <v>4011459</v>
      </c>
      <c r="C325" t="s">
        <v>1443</v>
      </c>
      <c r="D325">
        <v>8498.81875983</v>
      </c>
      <c r="E325">
        <v>94</v>
      </c>
      <c r="F325">
        <v>1.88</v>
      </c>
      <c r="G325" t="s">
        <v>1451</v>
      </c>
      <c r="H325" t="s">
        <v>1452</v>
      </c>
      <c r="I325">
        <v>300</v>
      </c>
      <c r="J325" t="s">
        <v>90</v>
      </c>
      <c r="M325">
        <v>852.4116</v>
      </c>
      <c r="N325">
        <v>3.4096464</v>
      </c>
      <c r="O325">
        <v>11773.935225</v>
      </c>
      <c r="P325">
        <v>794020.221495</v>
      </c>
      <c r="Q325">
        <v>7.2398190045248875E-2</v>
      </c>
      <c r="R325">
        <v>615.299095734</v>
      </c>
      <c r="S325" t="s">
        <v>249</v>
      </c>
      <c r="T325" t="s">
        <v>93</v>
      </c>
      <c r="U325">
        <v>5</v>
      </c>
      <c r="AA325">
        <v>2493</v>
      </c>
      <c r="AB325" t="s">
        <v>1453</v>
      </c>
      <c r="AC325" t="s">
        <v>1447</v>
      </c>
      <c r="AD325" s="2">
        <v>11</v>
      </c>
      <c r="AE325" s="2" t="s">
        <v>70</v>
      </c>
      <c r="AF325" t="str">
        <f>_xlfn.CONCAT(FINI_grouping_for_wheel[[#This Row],[SEFI/Plant]],"/",IF(FINI_grouping_for_wheel[[#This Row],[RESET recipe combination]]&lt;&gt;"",FINI_grouping_for_wheel[[#This Row],[RESET recipe combination]],FINI_grouping_for_wheel[[#This Row],[Recipe Combination]]),"/",FINI_grouping_for_wheel[[#This Row],[Subgroup]])</f>
        <v>4011459/THDP/x/11</v>
      </c>
      <c r="AG3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0.07426508509541001</v>
      </c>
      <c r="AH325">
        <f>_xlfn.LET(_xlpm.pct, FINI_grouping_for_wheel[[#This Row],[% forecast within subgroup]], _xlpm.lote, FINI_grouping_for_wheel[[#This Row],[Lot size considered]], _xlpm.pct*_xlpm.lote)</f>
        <v>631.1654984092419</v>
      </c>
      <c r="AI325" cm="1">
        <f t="array" aca="1" ref="AI325" ca="1">IFERROR(INDIRECT("FINI_grouping_for_wheel[@["&amp;FINI_grouping_for_wheel[[#This Row],[Selected PV]]&amp;"]]"),"")</f>
        <v>164</v>
      </c>
      <c r="AJ32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v>
      </c>
      <c r="AL325" s="4"/>
      <c r="AM32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164</v>
      </c>
      <c r="AN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2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25" s="2" t="str">
        <f>_xlfn.CONCAT(FINI_grouping_for_wheel[[#This Row],[Recipe Combination]],FINI_grouping_for_wheel[[#This Row],[Subgroup]])</f>
        <v>%11</v>
      </c>
    </row>
    <row r="326" spans="1:55" hidden="1">
      <c r="A326" t="s">
        <v>10</v>
      </c>
      <c r="B326">
        <v>4011459</v>
      </c>
      <c r="C326" t="s">
        <v>1443</v>
      </c>
      <c r="D326">
        <v>8498.81875983</v>
      </c>
      <c r="E326">
        <v>94</v>
      </c>
      <c r="F326">
        <v>1.88</v>
      </c>
      <c r="G326" t="s">
        <v>1454</v>
      </c>
      <c r="H326" t="s">
        <v>1455</v>
      </c>
      <c r="J326" t="s">
        <v>90</v>
      </c>
      <c r="K326" t="s">
        <v>860</v>
      </c>
      <c r="L326" t="s">
        <v>861</v>
      </c>
      <c r="M326">
        <v>9754.193295</v>
      </c>
      <c r="N326">
        <v>39.01677318</v>
      </c>
      <c r="O326">
        <v>9754.193295</v>
      </c>
      <c r="P326">
        <v>794020.221495</v>
      </c>
      <c r="Q326">
        <v>1</v>
      </c>
      <c r="R326">
        <v>8498.81875983</v>
      </c>
      <c r="S326" t="s">
        <v>594</v>
      </c>
      <c r="T326" t="s">
        <v>93</v>
      </c>
      <c r="U326">
        <v>2.5</v>
      </c>
      <c r="V326" t="s">
        <v>862</v>
      </c>
      <c r="W326" t="s">
        <v>142</v>
      </c>
      <c r="X326" t="s">
        <v>150</v>
      </c>
      <c r="Y326" s="23" t="s">
        <v>151</v>
      </c>
      <c r="AA326">
        <v>218</v>
      </c>
      <c r="AB326" t="s">
        <v>1456</v>
      </c>
      <c r="AC326" t="s">
        <v>1447</v>
      </c>
      <c r="AD326" s="2">
        <v>7</v>
      </c>
      <c r="AE326" s="2" t="s">
        <v>70</v>
      </c>
      <c r="AF326" t="str">
        <f>_xlfn.CONCAT(FINI_grouping_for_wheel[[#This Row],[SEFI/Plant]],"/",IF(FINI_grouping_for_wheel[[#This Row],[RESET recipe combination]]&lt;&gt;"",FINI_grouping_for_wheel[[#This Row],[RESET recipe combination]],FINI_grouping_for_wheel[[#This Row],[Recipe Combination]]),"/",FINI_grouping_for_wheel[[#This Row],[Subgroup]])</f>
        <v>4011459/THDP/x/7</v>
      </c>
      <c r="AG3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0.8325586095392078</v>
      </c>
      <c r="AH326">
        <f>_xlfn.LET(_xlpm.pct, FINI_grouping_for_wheel[[#This Row],[% forecast within subgroup]], _xlpm.lote, FINI_grouping_for_wheel[[#This Row],[Lot size considered]], _xlpm.pct*_xlpm.lote)</f>
        <v>7075.764729409799</v>
      </c>
      <c r="AI326" cm="1">
        <f t="array" aca="1" ref="AI326" ca="1">IFERROR(INDIRECT("FINI_grouping_for_wheel[@["&amp;FINI_grouping_for_wheel[[#This Row],[Selected PV]]&amp;"]]"),"")</f>
        <v>161</v>
      </c>
      <c r="AJ32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2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26" s="4"/>
      <c r="AM32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161</v>
      </c>
      <c r="AN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2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26" t="str">
        <f>_xlfn.CONCAT(FINI_grouping_for_wheel[[#This Row],[Recipe Combination]],FINI_grouping_for_wheel[[#This Row],[Subgroup]])</f>
        <v>47</v>
      </c>
    </row>
    <row r="327" spans="1:55" hidden="1">
      <c r="A327" t="s">
        <v>10</v>
      </c>
      <c r="B327">
        <v>4011459</v>
      </c>
      <c r="C327" t="s">
        <v>1443</v>
      </c>
      <c r="D327">
        <v>8498.81875983</v>
      </c>
      <c r="E327">
        <v>94</v>
      </c>
      <c r="F327">
        <v>1.88</v>
      </c>
      <c r="G327" t="s">
        <v>1457</v>
      </c>
      <c r="H327" t="s">
        <v>1458</v>
      </c>
      <c r="I327">
        <v>450</v>
      </c>
      <c r="J327" t="s">
        <v>90</v>
      </c>
      <c r="K327" t="s">
        <v>1459</v>
      </c>
      <c r="L327" t="s">
        <v>1460</v>
      </c>
      <c r="M327">
        <v>14711.20353</v>
      </c>
      <c r="N327">
        <v>58.84481412</v>
      </c>
      <c r="O327">
        <v>20388.028005</v>
      </c>
      <c r="P327">
        <v>794020.221495</v>
      </c>
      <c r="Q327">
        <v>0.72156088496602988</v>
      </c>
      <c r="R327">
        <v>6132.41518551</v>
      </c>
      <c r="S327" t="s">
        <v>273</v>
      </c>
      <c r="T327" t="s">
        <v>93</v>
      </c>
      <c r="U327">
        <v>3</v>
      </c>
      <c r="V327" t="s">
        <v>105</v>
      </c>
      <c r="W327" t="s">
        <v>95</v>
      </c>
      <c r="X327" t="s">
        <v>106</v>
      </c>
      <c r="Y327" s="23" t="s">
        <v>107</v>
      </c>
      <c r="AA327">
        <v>144</v>
      </c>
      <c r="AB327" t="s">
        <v>1461</v>
      </c>
      <c r="AC327" t="s">
        <v>1447</v>
      </c>
      <c r="AD327" s="2">
        <v>10</v>
      </c>
      <c r="AE327" s="2" t="s">
        <v>70</v>
      </c>
      <c r="AF327" t="str">
        <f>_xlfn.CONCAT(FINI_grouping_for_wheel[[#This Row],[SEFI/Plant]],"/",IF(FINI_grouping_for_wheel[[#This Row],[RESET recipe combination]]&lt;&gt;"",FINI_grouping_for_wheel[[#This Row],[RESET recipe combination]],FINI_grouping_for_wheel[[#This Row],[Recipe Combination]]),"/",FINI_grouping_for_wheel[[#This Row],[Subgroup]])</f>
        <v>4011459/THDP/x/10</v>
      </c>
      <c r="AG3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0.6341737266510156</v>
      </c>
      <c r="AH327">
        <f>_xlfn.LET(_xlpm.pct, FINI_grouping_for_wheel[[#This Row],[% forecast within subgroup]], _xlpm.lote, FINI_grouping_for_wheel[[#This Row],[Lot size considered]], _xlpm.pct*_xlpm.lote)</f>
        <v>5389.727565052953</v>
      </c>
      <c r="AI327" cm="1">
        <f t="array" aca="1" ref="AI327" ca="1">IFERROR(INDIRECT("FINI_grouping_for_wheel[@["&amp;FINI_grouping_for_wheel[[#This Row],[Selected PV]]&amp;"]]"),"")</f>
        <v>81</v>
      </c>
      <c r="AJ32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12.5</v>
      </c>
      <c r="AL327" s="4"/>
      <c r="AM32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81</v>
      </c>
      <c r="AN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2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27" t="str">
        <f>_xlfn.CONCAT(FINI_grouping_for_wheel[[#This Row],[Recipe Combination]],FINI_grouping_for_wheel[[#This Row],[Subgroup]])</f>
        <v>?10</v>
      </c>
    </row>
    <row r="328" spans="1:55" hidden="1">
      <c r="A328" t="s">
        <v>10</v>
      </c>
      <c r="B328">
        <v>4011459</v>
      </c>
      <c r="C328" t="s">
        <v>1443</v>
      </c>
      <c r="D328">
        <v>8498.81875983</v>
      </c>
      <c r="E328">
        <v>94</v>
      </c>
      <c r="F328">
        <v>1.88</v>
      </c>
      <c r="G328" t="s">
        <v>1462</v>
      </c>
      <c r="H328" t="s">
        <v>1463</v>
      </c>
      <c r="I328">
        <v>240</v>
      </c>
      <c r="J328" t="s">
        <v>90</v>
      </c>
      <c r="K328" t="s">
        <v>1464</v>
      </c>
      <c r="L328" t="s">
        <v>1465</v>
      </c>
      <c r="M328">
        <v>5676.824475</v>
      </c>
      <c r="N328">
        <v>22.7072979</v>
      </c>
      <c r="O328">
        <v>20388.028005</v>
      </c>
      <c r="P328">
        <v>794020.221495</v>
      </c>
      <c r="Q328">
        <v>0.27843911503397017</v>
      </c>
      <c r="R328">
        <v>2366.40357432</v>
      </c>
      <c r="S328" t="s">
        <v>273</v>
      </c>
      <c r="T328" t="s">
        <v>93</v>
      </c>
      <c r="U328">
        <v>5</v>
      </c>
      <c r="V328" t="s">
        <v>196</v>
      </c>
      <c r="W328" t="s">
        <v>95</v>
      </c>
      <c r="X328" t="s">
        <v>106</v>
      </c>
      <c r="Y328" s="23" t="s">
        <v>107</v>
      </c>
      <c r="AA328">
        <v>374</v>
      </c>
      <c r="AB328" t="s">
        <v>1466</v>
      </c>
      <c r="AC328" t="s">
        <v>1447</v>
      </c>
      <c r="AD328" s="2">
        <v>11</v>
      </c>
      <c r="AE328" s="2" t="s">
        <v>70</v>
      </c>
      <c r="AF328" t="str">
        <f>_xlfn.CONCAT(FINI_grouping_for_wheel[[#This Row],[SEFI/Plant]],"/",IF(FINI_grouping_for_wheel[[#This Row],[RESET recipe combination]]&lt;&gt;"",FINI_grouping_for_wheel[[#This Row],[RESET recipe combination]],FINI_grouping_for_wheel[[#This Row],[Recipe Combination]]),"/",FINI_grouping_for_wheel[[#This Row],[Subgroup]])</f>
        <v>4011459/THDP/x/11</v>
      </c>
      <c r="AG3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0.4945848375451264</v>
      </c>
      <c r="AH328">
        <f>_xlfn.LET(_xlpm.pct, FINI_grouping_for_wheel[[#This Row],[% forecast within subgroup]], _xlpm.lote, FINI_grouping_for_wheel[[#This Row],[Lot size considered]], _xlpm.pct*_xlpm.lote)</f>
        <v>4203.386895655993</v>
      </c>
      <c r="AI328" cm="1">
        <f t="array" aca="1" ref="AI328" ca="1">IFERROR(INDIRECT("FINI_grouping_for_wheel[@["&amp;FINI_grouping_for_wheel[[#This Row],[Selected PV]]&amp;"]]"),"")</f>
        <v>164</v>
      </c>
      <c r="AJ32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18.3</v>
      </c>
      <c r="AL328" s="4"/>
      <c r="AM32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164</v>
      </c>
      <c r="AN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2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28" t="str">
        <f>_xlfn.CONCAT(FINI_grouping_for_wheel[[#This Row],[Recipe Combination]],FINI_grouping_for_wheel[[#This Row],[Subgroup]])</f>
        <v>?11</v>
      </c>
    </row>
    <row r="329" spans="1:55" hidden="1">
      <c r="A329" t="s">
        <v>10</v>
      </c>
      <c r="B329">
        <v>4011459</v>
      </c>
      <c r="C329" t="s">
        <v>1443</v>
      </c>
      <c r="D329">
        <v>8498.81875983</v>
      </c>
      <c r="E329">
        <v>94</v>
      </c>
      <c r="F329">
        <v>1.88</v>
      </c>
      <c r="G329" t="s">
        <v>1467</v>
      </c>
      <c r="H329" t="s">
        <v>1468</v>
      </c>
      <c r="I329">
        <v>405</v>
      </c>
      <c r="J329" t="s">
        <v>90</v>
      </c>
      <c r="K329" t="s">
        <v>406</v>
      </c>
      <c r="L329" t="s">
        <v>407</v>
      </c>
      <c r="M329">
        <v>22855.286025</v>
      </c>
      <c r="N329">
        <v>91.4211441</v>
      </c>
      <c r="O329">
        <v>87662.245725</v>
      </c>
      <c r="P329">
        <v>794020.221495</v>
      </c>
      <c r="Q329">
        <v>0.26071983253426972</v>
      </c>
      <c r="R329">
        <v>2215.8106038</v>
      </c>
      <c r="S329" t="s">
        <v>118</v>
      </c>
      <c r="T329" t="s">
        <v>93</v>
      </c>
      <c r="U329">
        <v>15</v>
      </c>
      <c r="V329" t="s">
        <v>408</v>
      </c>
      <c r="W329" t="s">
        <v>142</v>
      </c>
      <c r="X329" t="s">
        <v>96</v>
      </c>
      <c r="Y329" s="23" t="s">
        <v>97</v>
      </c>
      <c r="AA329">
        <v>93</v>
      </c>
      <c r="AB329" t="s">
        <v>1469</v>
      </c>
      <c r="AC329" t="s">
        <v>1447</v>
      </c>
      <c r="AD329" s="2">
        <v>3</v>
      </c>
      <c r="AE329" s="2" t="s">
        <v>70</v>
      </c>
      <c r="AF329" t="str">
        <f>_xlfn.CONCAT(FINI_grouping_for_wheel[[#This Row],[SEFI/Plant]],"/",IF(FINI_grouping_for_wheel[[#This Row],[RESET recipe combination]]&lt;&gt;"",FINI_grouping_for_wheel[[#This Row],[RESET recipe combination]],FINI_grouping_for_wheel[[#This Row],[Recipe Combination]]),"/",FINI_grouping_for_wheel[[#This Row],[Subgroup]])</f>
        <v>4011459/THDP/x/3</v>
      </c>
      <c r="AG3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0.4578441835645678</v>
      </c>
      <c r="AH329">
        <f>_xlfn.LET(_xlpm.pct, FINI_grouping_for_wheel[[#This Row],[% forecast within subgroup]], _xlpm.lote, FINI_grouping_for_wheel[[#This Row],[Lot size considered]], _xlpm.pct*_xlpm.lote)</f>
        <v>3891.1347363575987</v>
      </c>
      <c r="AI329" cm="1">
        <f t="array" aca="1" ref="AI329" ca="1">IFERROR(INDIRECT("FINI_grouping_for_wheel[@["&amp;FINI_grouping_for_wheel[[#This Row],[Selected PV]]&amp;"]]"),"")</f>
        <v>38</v>
      </c>
      <c r="AJ32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v>
      </c>
      <c r="AL329" s="4"/>
      <c r="AM32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38</v>
      </c>
      <c r="AN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2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29" t="str">
        <f>_xlfn.CONCAT(FINI_grouping_for_wheel[[#This Row],[Recipe Combination]],FINI_grouping_for_wheel[[#This Row],[Subgroup]])</f>
        <v>A3</v>
      </c>
    </row>
    <row r="330" spans="1:55" hidden="1">
      <c r="A330" t="s">
        <v>10</v>
      </c>
      <c r="B330">
        <v>4011459</v>
      </c>
      <c r="C330" t="s">
        <v>1443</v>
      </c>
      <c r="D330">
        <v>8498.81875983</v>
      </c>
      <c r="E330">
        <v>94</v>
      </c>
      <c r="F330">
        <v>1.88</v>
      </c>
      <c r="G330" t="s">
        <v>1470</v>
      </c>
      <c r="H330" t="s">
        <v>1471</v>
      </c>
      <c r="I330">
        <v>440</v>
      </c>
      <c r="J330" t="s">
        <v>90</v>
      </c>
      <c r="K330" t="s">
        <v>666</v>
      </c>
      <c r="L330" t="s">
        <v>667</v>
      </c>
      <c r="M330">
        <v>64806.9597</v>
      </c>
      <c r="N330">
        <v>259.2278388</v>
      </c>
      <c r="O330">
        <v>87662.245725</v>
      </c>
      <c r="P330">
        <v>794020.221495</v>
      </c>
      <c r="Q330">
        <v>0.73928016746573033</v>
      </c>
      <c r="R330">
        <v>6283.00815603</v>
      </c>
      <c r="S330" t="s">
        <v>118</v>
      </c>
      <c r="T330" t="s">
        <v>93</v>
      </c>
      <c r="U330">
        <v>10</v>
      </c>
      <c r="V330" t="s">
        <v>94</v>
      </c>
      <c r="W330" t="s">
        <v>95</v>
      </c>
      <c r="X330" t="s">
        <v>96</v>
      </c>
      <c r="Y330" s="23" t="s">
        <v>97</v>
      </c>
      <c r="AA330">
        <v>33</v>
      </c>
      <c r="AB330" t="s">
        <v>1472</v>
      </c>
      <c r="AC330" t="s">
        <v>1447</v>
      </c>
      <c r="AD330" s="2">
        <v>4</v>
      </c>
      <c r="AE330" s="2" t="s">
        <v>70</v>
      </c>
      <c r="AF330" t="str">
        <f>_xlfn.CONCAT(FINI_grouping_for_wheel[[#This Row],[SEFI/Plant]],"/",IF(FINI_grouping_for_wheel[[#This Row],[RESET recipe combination]]&lt;&gt;"",FINI_grouping_for_wheel[[#This Row],[RESET recipe combination]],FINI_grouping_for_wheel[[#This Row],[Recipe Combination]]),"/",FINI_grouping_for_wheel[[#This Row],[Subgroup]])</f>
        <v>4011459/THDP/x/4</v>
      </c>
      <c r="AG3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0.8184808612440192</v>
      </c>
      <c r="AH330">
        <f>_xlfn.LET(_xlpm.pct, FINI_grouping_for_wheel[[#This Row],[% forecast within subgroup]], _xlpm.lote, FINI_grouping_for_wheel[[#This Row],[Lot size considered]], _xlpm.pct*_xlpm.lote)</f>
        <v>6956.120498102485</v>
      </c>
      <c r="AI330" cm="1">
        <f t="array" aca="1" ref="AI330" ca="1">IFERROR(INDIRECT("FINI_grouping_for_wheel[@["&amp;FINI_grouping_for_wheel[[#This Row],[Selected PV]]&amp;"]]"),"")</f>
        <v>24</v>
      </c>
      <c r="AJ33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16.5</v>
      </c>
      <c r="AL330" s="4"/>
      <c r="AM33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v>
      </c>
      <c r="AN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3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30" t="str">
        <f>_xlfn.CONCAT(FINI_grouping_for_wheel[[#This Row],[Recipe Combination]],FINI_grouping_for_wheel[[#This Row],[Subgroup]])</f>
        <v>A4</v>
      </c>
    </row>
    <row r="331" spans="1:55" hidden="1">
      <c r="A331" t="s">
        <v>10</v>
      </c>
      <c r="B331">
        <v>4011459</v>
      </c>
      <c r="C331" t="s">
        <v>1443</v>
      </c>
      <c r="D331">
        <v>8498.81875983</v>
      </c>
      <c r="E331">
        <v>94</v>
      </c>
      <c r="F331">
        <v>1.88</v>
      </c>
      <c r="G331" t="s">
        <v>1473</v>
      </c>
      <c r="H331" t="s">
        <v>1474</v>
      </c>
      <c r="I331">
        <v>330</v>
      </c>
      <c r="J331" t="s">
        <v>90</v>
      </c>
      <c r="K331" t="s">
        <v>617</v>
      </c>
      <c r="L331" t="s">
        <v>618</v>
      </c>
      <c r="M331">
        <v>14372.6067</v>
      </c>
      <c r="N331">
        <v>57.4904268</v>
      </c>
      <c r="O331">
        <v>30657.219975</v>
      </c>
      <c r="P331">
        <v>794020.221495</v>
      </c>
      <c r="Q331">
        <v>0.46881637381733926</v>
      </c>
      <c r="R331">
        <v>3984.38539272</v>
      </c>
      <c r="S331" t="s">
        <v>1156</v>
      </c>
      <c r="T331" t="s">
        <v>93</v>
      </c>
      <c r="U331">
        <v>10</v>
      </c>
      <c r="V331" t="s">
        <v>94</v>
      </c>
      <c r="W331" t="s">
        <v>142</v>
      </c>
      <c r="X331" t="s">
        <v>96</v>
      </c>
      <c r="Y331" s="23" t="s">
        <v>97</v>
      </c>
      <c r="AA331">
        <v>148</v>
      </c>
      <c r="AB331" t="s">
        <v>1475</v>
      </c>
      <c r="AC331" t="s">
        <v>1447</v>
      </c>
      <c r="AD331" s="2">
        <v>4</v>
      </c>
      <c r="AE331" s="2" t="s">
        <v>70</v>
      </c>
      <c r="AF331" t="str">
        <f>_xlfn.CONCAT(FINI_grouping_for_wheel[[#This Row],[SEFI/Plant]],"/",IF(FINI_grouping_for_wheel[[#This Row],[RESET recipe combination]]&lt;&gt;"",FINI_grouping_for_wheel[[#This Row],[RESET recipe combination]],FINI_grouping_for_wheel[[#This Row],[Recipe Combination]]),"/",FINI_grouping_for_wheel[[#This Row],[Subgroup]])</f>
        <v>4011459/THDP/x/4</v>
      </c>
      <c r="AG3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0.18151913875598089</v>
      </c>
      <c r="AH331">
        <f>_xlfn.LET(_xlpm.pct, FINI_grouping_for_wheel[[#This Row],[% forecast within subgroup]], _xlpm.lote, FINI_grouping_for_wheel[[#This Row],[Lot size considered]], _xlpm.pct*_xlpm.lote)</f>
        <v>1542.698261727515</v>
      </c>
      <c r="AI331" cm="1">
        <f t="array" aca="1" ref="AI331" ca="1">IFERROR(INDIRECT("FINI_grouping_for_wheel[@["&amp;FINI_grouping_for_wheel[[#This Row],[Selected PV]]&amp;"]]"),"")</f>
        <v>24</v>
      </c>
      <c r="AJ33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4.9</v>
      </c>
      <c r="AL331" s="4"/>
      <c r="AM33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v>
      </c>
      <c r="AN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3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31" t="str">
        <f>_xlfn.CONCAT(FINI_grouping_for_wheel[[#This Row],[Recipe Combination]],FINI_grouping_for_wheel[[#This Row],[Subgroup]])</f>
        <v>B4</v>
      </c>
    </row>
    <row r="332" spans="1:55" hidden="1">
      <c r="A332" t="s">
        <v>10</v>
      </c>
      <c r="B332">
        <v>4011459</v>
      </c>
      <c r="C332" t="s">
        <v>1443</v>
      </c>
      <c r="D332">
        <v>8498.81875983</v>
      </c>
      <c r="E332">
        <v>94</v>
      </c>
      <c r="F332">
        <v>1.88</v>
      </c>
      <c r="G332" t="s">
        <v>1476</v>
      </c>
      <c r="H332" t="s">
        <v>1477</v>
      </c>
      <c r="I332">
        <v>405</v>
      </c>
      <c r="J332" t="s">
        <v>90</v>
      </c>
      <c r="K332" t="s">
        <v>1478</v>
      </c>
      <c r="L332" t="s">
        <v>1479</v>
      </c>
      <c r="M332">
        <v>16284.613275</v>
      </c>
      <c r="N332">
        <v>65.1384531</v>
      </c>
      <c r="O332">
        <v>30657.219975</v>
      </c>
      <c r="P332">
        <v>794020.221495</v>
      </c>
      <c r="Q332">
        <v>0.5311836261826608</v>
      </c>
      <c r="R332">
        <v>4514.43336712</v>
      </c>
      <c r="S332" t="s">
        <v>1156</v>
      </c>
      <c r="T332" t="s">
        <v>93</v>
      </c>
      <c r="U332">
        <v>15</v>
      </c>
      <c r="V332" t="s">
        <v>231</v>
      </c>
      <c r="W332" t="s">
        <v>159</v>
      </c>
      <c r="X332" t="s">
        <v>96</v>
      </c>
      <c r="Y332" s="23" t="s">
        <v>97</v>
      </c>
      <c r="AA332">
        <v>130</v>
      </c>
      <c r="AB332" t="s">
        <v>1480</v>
      </c>
      <c r="AC332" t="s">
        <v>1447</v>
      </c>
      <c r="AD332" s="2">
        <v>3</v>
      </c>
      <c r="AE332" s="2" t="s">
        <v>70</v>
      </c>
      <c r="AF332" t="str">
        <f>_xlfn.CONCAT(FINI_grouping_for_wheel[[#This Row],[SEFI/Plant]],"/",IF(FINI_grouping_for_wheel[[#This Row],[RESET recipe combination]]&lt;&gt;"",FINI_grouping_for_wheel[[#This Row],[RESET recipe combination]],FINI_grouping_for_wheel[[#This Row],[Recipe Combination]]),"/",FINI_grouping_for_wheel[[#This Row],[Subgroup]])</f>
        <v>4011459/THDP/x/3</v>
      </c>
      <c r="AG3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0.3262184276058342</v>
      </c>
      <c r="AH332">
        <f>_xlfn.LET(_xlpm.pct, FINI_grouping_for_wheel[[#This Row],[% forecast within subgroup]], _xlpm.lote, FINI_grouping_for_wheel[[#This Row],[Lot size considered]], _xlpm.pct*_xlpm.lote)</f>
        <v>2772.4712923387083</v>
      </c>
      <c r="AI332" cm="1">
        <f t="array" aca="1" ref="AI332" ca="1">IFERROR(INDIRECT("FINI_grouping_for_wheel[@["&amp;FINI_grouping_for_wheel[[#This Row],[Selected PV]]&amp;"]]"),"")</f>
        <v>38</v>
      </c>
      <c r="AJ33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7.2</v>
      </c>
      <c r="AL332" s="4"/>
      <c r="AM33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38</v>
      </c>
      <c r="AN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3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32" t="str">
        <f>_xlfn.CONCAT(FINI_grouping_for_wheel[[#This Row],[Recipe Combination]],FINI_grouping_for_wheel[[#This Row],[Subgroup]])</f>
        <v>B3</v>
      </c>
    </row>
    <row r="333" spans="1:55" hidden="1">
      <c r="A333" t="s">
        <v>10</v>
      </c>
      <c r="B333">
        <v>4011459</v>
      </c>
      <c r="C333" t="s">
        <v>1443</v>
      </c>
      <c r="D333">
        <v>8498.81875983</v>
      </c>
      <c r="E333">
        <v>94</v>
      </c>
      <c r="F333">
        <v>1.88</v>
      </c>
      <c r="G333" t="s">
        <v>1481</v>
      </c>
      <c r="H333" t="s">
        <v>1482</v>
      </c>
      <c r="I333">
        <v>420</v>
      </c>
      <c r="J333" t="s">
        <v>90</v>
      </c>
      <c r="K333" t="s">
        <v>305</v>
      </c>
      <c r="L333" t="s">
        <v>306</v>
      </c>
      <c r="M333">
        <v>256.907385</v>
      </c>
      <c r="N333">
        <v>1.02762954</v>
      </c>
      <c r="O333">
        <v>256.907385</v>
      </c>
      <c r="P333">
        <v>794020.221495</v>
      </c>
      <c r="Q333">
        <v>1</v>
      </c>
      <c r="R333">
        <v>8498.81875983</v>
      </c>
      <c r="S333" t="s">
        <v>307</v>
      </c>
      <c r="T333" t="s">
        <v>93</v>
      </c>
      <c r="U333">
        <v>1</v>
      </c>
      <c r="V333" t="s">
        <v>308</v>
      </c>
      <c r="W333" t="s">
        <v>142</v>
      </c>
      <c r="X333" t="s">
        <v>150</v>
      </c>
      <c r="Y333" s="23" t="s">
        <v>151</v>
      </c>
      <c r="AA333">
        <v>8270</v>
      </c>
      <c r="AB333" t="s">
        <v>1483</v>
      </c>
      <c r="AC333" t="s">
        <v>1447</v>
      </c>
      <c r="AD333" s="2">
        <v>7</v>
      </c>
      <c r="AE333" s="2" t="s">
        <v>70</v>
      </c>
      <c r="AF333" t="str">
        <f>_xlfn.CONCAT(FINI_grouping_for_wheel[[#This Row],[SEFI/Plant]],"/",IF(FINI_grouping_for_wheel[[#This Row],[RESET recipe combination]]&lt;&gt;"",FINI_grouping_for_wheel[[#This Row],[RESET recipe combination]],FINI_grouping_for_wheel[[#This Row],[Recipe Combination]]),"/",FINI_grouping_for_wheel[[#This Row],[Subgroup]])</f>
        <v>4011459/THDP/x/7</v>
      </c>
      <c r="AG3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0.02192805173807599</v>
      </c>
      <c r="AH333">
        <f>_xlfn.LET(_xlpm.pct, FINI_grouping_for_wheel[[#This Row],[% forecast within subgroup]], _xlpm.lote, FINI_grouping_for_wheel[[#This Row],[Lot size considered]], _xlpm.pct*_xlpm.lote)</f>
        <v>186.36253747808303</v>
      </c>
      <c r="AI333" cm="1">
        <f t="array" aca="1" ref="AI333" ca="1">IFERROR(INDIRECT("FINI_grouping_for_wheel[@["&amp;FINI_grouping_for_wheel[[#This Row],[Selected PV]]&amp;"]]"),"")</f>
        <v>161</v>
      </c>
      <c r="AJ33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0.5</v>
      </c>
      <c r="AL333" s="4"/>
      <c r="AM33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161</v>
      </c>
      <c r="AN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3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33" t="str">
        <f>_xlfn.CONCAT(FINI_grouping_for_wheel[[#This Row],[Recipe Combination]],FINI_grouping_for_wheel[[#This Row],[Subgroup]])</f>
        <v>H7</v>
      </c>
    </row>
    <row r="334" spans="1:55" hidden="1">
      <c r="A334" t="s">
        <v>10</v>
      </c>
      <c r="B334">
        <v>4011459</v>
      </c>
      <c r="C334" t="s">
        <v>1443</v>
      </c>
      <c r="D334">
        <v>8498.81875983</v>
      </c>
      <c r="E334">
        <v>94</v>
      </c>
      <c r="F334">
        <v>1.88</v>
      </c>
      <c r="G334" t="s">
        <v>1484</v>
      </c>
      <c r="H334" t="s">
        <v>1485</v>
      </c>
      <c r="I334">
        <v>462</v>
      </c>
      <c r="J334" t="s">
        <v>90</v>
      </c>
      <c r="K334" t="s">
        <v>312</v>
      </c>
      <c r="L334" t="s">
        <v>313</v>
      </c>
      <c r="M334">
        <v>1704.8232</v>
      </c>
      <c r="N334">
        <v>6.8192928</v>
      </c>
      <c r="O334">
        <v>1704.8232</v>
      </c>
      <c r="P334">
        <v>794020.221495</v>
      </c>
      <c r="Q334">
        <v>1</v>
      </c>
      <c r="R334">
        <v>8498.81875983</v>
      </c>
      <c r="S334" t="s">
        <v>314</v>
      </c>
      <c r="T334" t="s">
        <v>93</v>
      </c>
      <c r="U334">
        <v>1</v>
      </c>
      <c r="V334" t="s">
        <v>315</v>
      </c>
      <c r="W334" t="s">
        <v>142</v>
      </c>
      <c r="X334" t="s">
        <v>150</v>
      </c>
      <c r="Y334" s="23" t="s">
        <v>151</v>
      </c>
      <c r="AA334">
        <v>1246</v>
      </c>
      <c r="AB334" t="s">
        <v>1486</v>
      </c>
      <c r="AC334" t="s">
        <v>1447</v>
      </c>
      <c r="AD334" s="2">
        <v>7</v>
      </c>
      <c r="AE334" s="2" t="s">
        <v>70</v>
      </c>
      <c r="AF334" t="str">
        <f>_xlfn.CONCAT(FINI_grouping_for_wheel[[#This Row],[SEFI/Plant]],"/",IF(FINI_grouping_for_wheel[[#This Row],[RESET recipe combination]]&lt;&gt;"",FINI_grouping_for_wheel[[#This Row],[RESET recipe combination]],FINI_grouping_for_wheel[[#This Row],[Recipe Combination]]),"/",FINI_grouping_for_wheel[[#This Row],[Subgroup]])</f>
        <v>4011459/THDP/x/7</v>
      </c>
      <c r="AG3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0.14551333872271627</v>
      </c>
      <c r="AH334">
        <f>_xlfn.LET(_xlpm.pct, FINI_grouping_for_wheel[[#This Row],[% forecast within subgroup]], _xlpm.lote, FINI_grouping_for_wheel[[#This Row],[Lot size considered]], _xlpm.pct*_xlpm.lote)</f>
        <v>1236.691492942118</v>
      </c>
      <c r="AI334" cm="1">
        <f t="array" aca="1" ref="AI334" ca="1">IFERROR(INDIRECT("FINI_grouping_for_wheel[@["&amp;FINI_grouping_for_wheel[[#This Row],[Selected PV]]&amp;"]]"),"")</f>
        <v>161</v>
      </c>
      <c r="AJ33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v>
      </c>
      <c r="AL334" s="4"/>
      <c r="AM33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161</v>
      </c>
      <c r="AN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3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34" t="str">
        <f>_xlfn.CONCAT(FINI_grouping_for_wheel[[#This Row],[Recipe Combination]],FINI_grouping_for_wheel[[#This Row],[Subgroup]])</f>
        <v>K7</v>
      </c>
    </row>
    <row r="335" spans="1:55" hidden="1">
      <c r="A335" t="s">
        <v>10</v>
      </c>
      <c r="B335">
        <v>4011459</v>
      </c>
      <c r="C335" t="s">
        <v>1443</v>
      </c>
      <c r="D335">
        <v>8498.81875983</v>
      </c>
      <c r="E335">
        <v>94</v>
      </c>
      <c r="F335">
        <v>1.88</v>
      </c>
      <c r="G335" t="s">
        <v>1487</v>
      </c>
      <c r="H335" t="s">
        <v>1488</v>
      </c>
      <c r="I335">
        <v>480</v>
      </c>
      <c r="J335" t="s">
        <v>90</v>
      </c>
      <c r="K335" t="s">
        <v>1489</v>
      </c>
      <c r="L335" t="s">
        <v>1490</v>
      </c>
      <c r="M335">
        <v>51600.499425</v>
      </c>
      <c r="N335">
        <v>206.4019977</v>
      </c>
      <c r="O335">
        <v>58638.81465</v>
      </c>
      <c r="P335">
        <v>794020.221495</v>
      </c>
      <c r="Q335">
        <v>0.87997173430244291</v>
      </c>
      <c r="R335">
        <v>7478.72028361</v>
      </c>
      <c r="S335" t="s">
        <v>173</v>
      </c>
      <c r="T335" t="s">
        <v>93</v>
      </c>
      <c r="U335">
        <v>5</v>
      </c>
      <c r="V335" t="s">
        <v>1491</v>
      </c>
      <c r="W335" t="s">
        <v>142</v>
      </c>
      <c r="X335" t="s">
        <v>150</v>
      </c>
      <c r="Y335" s="23" t="s">
        <v>151</v>
      </c>
      <c r="AA335">
        <v>41</v>
      </c>
      <c r="AB335" t="s">
        <v>1492</v>
      </c>
      <c r="AC335" t="s">
        <v>1447</v>
      </c>
      <c r="AD335" s="2">
        <v>6</v>
      </c>
      <c r="AE335" s="2" t="s">
        <v>70</v>
      </c>
      <c r="AF335" t="str">
        <f>_xlfn.CONCAT(FINI_grouping_for_wheel[[#This Row],[SEFI/Plant]],"/",IF(FINI_grouping_for_wheel[[#This Row],[RESET recipe combination]]&lt;&gt;"",FINI_grouping_for_wheel[[#This Row],[RESET recipe combination]],FINI_grouping_for_wheel[[#This Row],[Recipe Combination]]),"/",FINI_grouping_for_wheel[[#This Row],[Subgroup]])</f>
        <v>4011459/THDP/x/6</v>
      </c>
      <c r="AG3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35">
        <f>_xlfn.LET(_xlpm.pct, FINI_grouping_for_wheel[[#This Row],[% forecast within subgroup]], _xlpm.lote, FINI_grouping_for_wheel[[#This Row],[Lot size considered]], _xlpm.pct*_xlpm.lote)</f>
        <v>8498.81875983</v>
      </c>
      <c r="AI335" cm="1">
        <f t="array" aca="1" ref="AI335" ca="1">IFERROR(INDIRECT("FINI_grouping_for_wheel[@["&amp;FINI_grouping_for_wheel[[#This Row],[Selected PV]]&amp;"]]"),"")</f>
        <v>37</v>
      </c>
      <c r="AJ33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18.5</v>
      </c>
      <c r="AL335" s="4"/>
      <c r="AM33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37</v>
      </c>
      <c r="AN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3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35" t="str">
        <f>_xlfn.CONCAT(FINI_grouping_for_wheel[[#This Row],[Recipe Combination]],FINI_grouping_for_wheel[[#This Row],[Subgroup]])</f>
        <v>P6</v>
      </c>
    </row>
    <row r="336" spans="1:55" hidden="1">
      <c r="A336" t="s">
        <v>10</v>
      </c>
      <c r="B336">
        <v>4011459</v>
      </c>
      <c r="C336" t="s">
        <v>1443</v>
      </c>
      <c r="D336">
        <v>8498.81875983</v>
      </c>
      <c r="E336">
        <v>94</v>
      </c>
      <c r="F336">
        <v>1.88</v>
      </c>
      <c r="G336" t="s">
        <v>1493</v>
      </c>
      <c r="H336" t="s">
        <v>1494</v>
      </c>
      <c r="I336">
        <v>300</v>
      </c>
      <c r="J336" t="s">
        <v>90</v>
      </c>
      <c r="K336" t="s">
        <v>254</v>
      </c>
      <c r="L336" t="s">
        <v>255</v>
      </c>
      <c r="M336">
        <v>4948.7229</v>
      </c>
      <c r="N336">
        <v>19.7948916</v>
      </c>
      <c r="O336">
        <v>58638.81465</v>
      </c>
      <c r="P336">
        <v>794020.221495</v>
      </c>
      <c r="Q336">
        <v>8.4393296991722183E-2</v>
      </c>
      <c r="R336">
        <v>717.243335677</v>
      </c>
      <c r="S336" t="s">
        <v>173</v>
      </c>
      <c r="T336" t="s">
        <v>93</v>
      </c>
      <c r="U336">
        <v>5</v>
      </c>
      <c r="V336" t="s">
        <v>119</v>
      </c>
      <c r="W336" t="s">
        <v>95</v>
      </c>
      <c r="X336" t="s">
        <v>96</v>
      </c>
      <c r="Y336" s="23" t="s">
        <v>120</v>
      </c>
      <c r="AA336">
        <v>429</v>
      </c>
      <c r="AB336" t="s">
        <v>1495</v>
      </c>
      <c r="AC336" t="s">
        <v>1447</v>
      </c>
      <c r="AD336" s="2">
        <v>11</v>
      </c>
      <c r="AE336" s="2" t="s">
        <v>70</v>
      </c>
      <c r="AF336" t="str">
        <f>_xlfn.CONCAT(FINI_grouping_for_wheel[[#This Row],[SEFI/Plant]],"/",IF(FINI_grouping_for_wheel[[#This Row],[RESET recipe combination]]&lt;&gt;"",FINI_grouping_for_wheel[[#This Row],[RESET recipe combination]],FINI_grouping_for_wheel[[#This Row],[Recipe Combination]]),"/",FINI_grouping_for_wheel[[#This Row],[Subgroup]])</f>
        <v>4011459/THDP/x/11</v>
      </c>
      <c r="AG3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0.43115007735946365</v>
      </c>
      <c r="AH336">
        <f>_xlfn.LET(_xlpm.pct, FINI_grouping_for_wheel[[#This Row],[% forecast within subgroup]], _xlpm.lote, FINI_grouping_for_wheel[[#This Row],[Lot size considered]], _xlpm.pct*_xlpm.lote)</f>
        <v>3664.266365764765</v>
      </c>
      <c r="AI336" cm="1">
        <f t="array" aca="1" ref="AI336" ca="1">IFERROR(INDIRECT("FINI_grouping_for_wheel[@["&amp;FINI_grouping_for_wheel[[#This Row],[Selected PV]]&amp;"]]"),"")</f>
        <v>164</v>
      </c>
      <c r="AJ33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12.8</v>
      </c>
      <c r="AL336" s="4"/>
      <c r="AM33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164</v>
      </c>
      <c r="AN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3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36" t="str">
        <f>_xlfn.CONCAT(FINI_grouping_for_wheel[[#This Row],[Recipe Combination]],FINI_grouping_for_wheel[[#This Row],[Subgroup]])</f>
        <v>P11</v>
      </c>
    </row>
    <row r="337" spans="1:55" hidden="1">
      <c r="A337" t="s">
        <v>10</v>
      </c>
      <c r="B337">
        <v>4011459</v>
      </c>
      <c r="C337" t="s">
        <v>1443</v>
      </c>
      <c r="D337">
        <v>8498.81875983</v>
      </c>
      <c r="E337">
        <v>94</v>
      </c>
      <c r="F337">
        <v>1.88</v>
      </c>
      <c r="G337" t="s">
        <v>1496</v>
      </c>
      <c r="H337" t="s">
        <v>1497</v>
      </c>
      <c r="I337">
        <v>300</v>
      </c>
      <c r="J337" t="s">
        <v>90</v>
      </c>
      <c r="K337" t="s">
        <v>188</v>
      </c>
      <c r="L337" t="s">
        <v>189</v>
      </c>
      <c r="M337">
        <v>2089.592325</v>
      </c>
      <c r="N337">
        <v>8.3583693</v>
      </c>
      <c r="O337">
        <v>58638.81465</v>
      </c>
      <c r="P337">
        <v>794020.221495</v>
      </c>
      <c r="Q337">
        <v>3.5634968705834845E-2</v>
      </c>
      <c r="R337">
        <v>302.855140543</v>
      </c>
      <c r="S337" t="s">
        <v>173</v>
      </c>
      <c r="T337" t="s">
        <v>93</v>
      </c>
      <c r="U337">
        <v>5</v>
      </c>
      <c r="V337" t="s">
        <v>119</v>
      </c>
      <c r="W337" t="s">
        <v>142</v>
      </c>
      <c r="X337" t="s">
        <v>96</v>
      </c>
      <c r="Y337" s="23" t="s">
        <v>120</v>
      </c>
      <c r="AA337">
        <v>1017</v>
      </c>
      <c r="AB337" t="s">
        <v>1498</v>
      </c>
      <c r="AC337" t="s">
        <v>1447</v>
      </c>
      <c r="AD337" s="2">
        <v>9</v>
      </c>
      <c r="AE337" s="2" t="s">
        <v>70</v>
      </c>
      <c r="AF337" t="str">
        <f>_xlfn.CONCAT(FINI_grouping_for_wheel[[#This Row],[SEFI/Plant]],"/",IF(FINI_grouping_for_wheel[[#This Row],[RESET recipe combination]]&lt;&gt;"",FINI_grouping_for_wheel[[#This Row],[RESET recipe combination]],FINI_grouping_for_wheel[[#This Row],[Recipe Combination]]),"/",FINI_grouping_for_wheel[[#This Row],[Subgroup]])</f>
        <v>4011459/THDP/x/9</v>
      </c>
      <c r="AG3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0.16060054595086443</v>
      </c>
      <c r="AH337">
        <f>_xlfn.LET(_xlpm.pct, FINI_grouping_for_wheel[[#This Row],[% forecast within subgroup]], _xlpm.lote, FINI_grouping_for_wheel[[#This Row],[Lot size considered]], _xlpm.pct*_xlpm.lote)</f>
        <v>1364.9149327661464</v>
      </c>
      <c r="AI337" cm="1">
        <f t="array" aca="1" ref="AI337" ca="1">IFERROR(INDIRECT("FINI_grouping_for_wheel[@["&amp;FINI_grouping_for_wheel[[#This Row],[Selected PV]]&amp;"]]"),"")</f>
        <v>145</v>
      </c>
      <c r="AJ33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4.8</v>
      </c>
      <c r="AL337" s="4"/>
      <c r="AM33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145</v>
      </c>
      <c r="AN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3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37" t="str">
        <f>_xlfn.CONCAT(FINI_grouping_for_wheel[[#This Row],[Recipe Combination]],FINI_grouping_for_wheel[[#This Row],[Subgroup]])</f>
        <v>P9</v>
      </c>
    </row>
    <row r="338" spans="1:55" hidden="1">
      <c r="A338" t="s">
        <v>10</v>
      </c>
      <c r="B338">
        <v>4011459</v>
      </c>
      <c r="C338" t="s">
        <v>1443</v>
      </c>
      <c r="D338">
        <v>8498.81875983</v>
      </c>
      <c r="E338">
        <v>94</v>
      </c>
      <c r="F338">
        <v>1.88</v>
      </c>
      <c r="G338" t="s">
        <v>1499</v>
      </c>
      <c r="H338" t="s">
        <v>1500</v>
      </c>
      <c r="I338">
        <v>375</v>
      </c>
      <c r="J338" t="s">
        <v>90</v>
      </c>
      <c r="K338" t="s">
        <v>1501</v>
      </c>
      <c r="L338" t="s">
        <v>1502</v>
      </c>
      <c r="M338">
        <v>8486.23104</v>
      </c>
      <c r="N338">
        <v>33.94492416</v>
      </c>
      <c r="O338">
        <v>21378.95649</v>
      </c>
      <c r="P338">
        <v>794020.221495</v>
      </c>
      <c r="Q338">
        <v>0.39694318307675269</v>
      </c>
      <c r="R338">
        <v>3373.54817092</v>
      </c>
      <c r="S338" t="s">
        <v>195</v>
      </c>
      <c r="T338" t="s">
        <v>93</v>
      </c>
      <c r="U338">
        <v>2.5</v>
      </c>
      <c r="V338" t="s">
        <v>105</v>
      </c>
      <c r="W338" t="s">
        <v>95</v>
      </c>
      <c r="X338" t="s">
        <v>106</v>
      </c>
      <c r="Y338" s="23" t="s">
        <v>107</v>
      </c>
      <c r="AA338">
        <v>250</v>
      </c>
      <c r="AB338" t="s">
        <v>1503</v>
      </c>
      <c r="AC338" t="s">
        <v>1447</v>
      </c>
      <c r="AD338" s="2">
        <v>10</v>
      </c>
      <c r="AE338" s="2" t="s">
        <v>70</v>
      </c>
      <c r="AF338" t="str">
        <f>_xlfn.CONCAT(FINI_grouping_for_wheel[[#This Row],[SEFI/Plant]],"/",IF(FINI_grouping_for_wheel[[#This Row],[RESET recipe combination]]&lt;&gt;"",FINI_grouping_for_wheel[[#This Row],[RESET recipe combination]],FINI_grouping_for_wheel[[#This Row],[Recipe Combination]]),"/",FINI_grouping_for_wheel[[#This Row],[Subgroup]])</f>
        <v>4011459/THDP/x/10</v>
      </c>
      <c r="AG3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0.3658262733489844</v>
      </c>
      <c r="AH338">
        <f>_xlfn.LET(_xlpm.pct, FINI_grouping_for_wheel[[#This Row],[% forecast within subgroup]], _xlpm.lote, FINI_grouping_for_wheel[[#This Row],[Lot size considered]], _xlpm.pct*_xlpm.lote)</f>
        <v>3109.0911947770455</v>
      </c>
      <c r="AI338" cm="1">
        <f t="array" aca="1" ref="AI338" ca="1">IFERROR(INDIRECT("FINI_grouping_for_wheel[@["&amp;FINI_grouping_for_wheel[[#This Row],[Selected PV]]&amp;"]]"),"")</f>
        <v>81</v>
      </c>
      <c r="AJ33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8.7</v>
      </c>
      <c r="AL338" s="4"/>
      <c r="AM33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81</v>
      </c>
      <c r="AN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3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38" t="str">
        <f>_xlfn.CONCAT(FINI_grouping_for_wheel[[#This Row],[Recipe Combination]],FINI_grouping_for_wheel[[#This Row],[Subgroup]])</f>
        <v>S10</v>
      </c>
    </row>
    <row r="339" spans="1:55" hidden="1">
      <c r="A339" t="s">
        <v>10</v>
      </c>
      <c r="B339">
        <v>4011459</v>
      </c>
      <c r="C339" t="s">
        <v>1443</v>
      </c>
      <c r="D339">
        <v>8498.81875983</v>
      </c>
      <c r="E339">
        <v>94</v>
      </c>
      <c r="F339">
        <v>1.88</v>
      </c>
      <c r="G339" t="s">
        <v>1504</v>
      </c>
      <c r="H339" t="s">
        <v>1505</v>
      </c>
      <c r="I339">
        <v>288</v>
      </c>
      <c r="J339" t="s">
        <v>90</v>
      </c>
      <c r="K339" t="s">
        <v>1506</v>
      </c>
      <c r="L339" t="s">
        <v>1507</v>
      </c>
      <c r="M339">
        <v>12892.72545</v>
      </c>
      <c r="N339">
        <v>51.5709018</v>
      </c>
      <c r="O339">
        <v>21378.95649</v>
      </c>
      <c r="P339">
        <v>794020.221495</v>
      </c>
      <c r="Q339">
        <v>0.60305681692324731</v>
      </c>
      <c r="R339">
        <v>5125.27058891</v>
      </c>
      <c r="S339" t="s">
        <v>195</v>
      </c>
      <c r="T339" t="s">
        <v>93</v>
      </c>
      <c r="U339">
        <v>6</v>
      </c>
      <c r="V339" t="s">
        <v>196</v>
      </c>
      <c r="W339" t="s">
        <v>95</v>
      </c>
      <c r="X339" t="s">
        <v>106</v>
      </c>
      <c r="Y339" s="23" t="s">
        <v>107</v>
      </c>
      <c r="AA339">
        <v>165</v>
      </c>
      <c r="AB339" t="s">
        <v>1508</v>
      </c>
      <c r="AC339" t="s">
        <v>1447</v>
      </c>
      <c r="AD339" s="2">
        <v>8</v>
      </c>
      <c r="AE339" s="2" t="s">
        <v>70</v>
      </c>
      <c r="AF339" t="str">
        <f>_xlfn.CONCAT(FINI_grouping_for_wheel[[#This Row],[SEFI/Plant]],"/",IF(FINI_grouping_for_wheel[[#This Row],[RESET recipe combination]]&lt;&gt;"",FINI_grouping_for_wheel[[#This Row],[RESET recipe combination]],FINI_grouping_for_wheel[[#This Row],[Recipe Combination]]),"/",FINI_grouping_for_wheel[[#This Row],[Subgroup]])</f>
        <v>4011459/THDP/x/8</v>
      </c>
      <c r="AG3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0.20125669931620774</v>
      </c>
      <c r="AH339">
        <f>_xlfn.LET(_xlpm.pct, FINI_grouping_for_wheel[[#This Row],[% forecast within subgroup]], _xlpm.lote, FINI_grouping_for_wheel[[#This Row],[Lot size considered]], _xlpm.pct*_xlpm.lote)</f>
        <v>1710.4442116900516</v>
      </c>
      <c r="AI339" cm="1">
        <f t="array" aca="1" ref="AI339" ca="1">IFERROR(INDIRECT("FINI_grouping_for_wheel[@["&amp;FINI_grouping_for_wheel[[#This Row],[Selected PV]]&amp;"]]"),"")</f>
        <v>29</v>
      </c>
      <c r="AJ33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6.2</v>
      </c>
      <c r="AL339" s="4"/>
      <c r="AM33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29</v>
      </c>
      <c r="AN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3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39" t="str">
        <f>_xlfn.CONCAT(FINI_grouping_for_wheel[[#This Row],[Recipe Combination]],FINI_grouping_for_wheel[[#This Row],[Subgroup]])</f>
        <v>S8</v>
      </c>
    </row>
    <row r="340" spans="1:55" hidden="1">
      <c r="A340" t="s">
        <v>10</v>
      </c>
      <c r="B340">
        <v>4011459</v>
      </c>
      <c r="C340" t="s">
        <v>1443</v>
      </c>
      <c r="D340">
        <v>8498.81875983</v>
      </c>
      <c r="E340">
        <v>94</v>
      </c>
      <c r="F340">
        <v>1.88</v>
      </c>
      <c r="G340" t="s">
        <v>1509</v>
      </c>
      <c r="H340" t="s">
        <v>1510</v>
      </c>
      <c r="I340">
        <v>240</v>
      </c>
      <c r="J340" t="s">
        <v>90</v>
      </c>
      <c r="K340" t="s">
        <v>1221</v>
      </c>
      <c r="L340" t="s">
        <v>1222</v>
      </c>
      <c r="M340">
        <v>51168.3741</v>
      </c>
      <c r="N340">
        <v>204.6734964</v>
      </c>
      <c r="O340">
        <v>51168.3741</v>
      </c>
      <c r="P340">
        <v>794020.221495</v>
      </c>
      <c r="Q340">
        <v>1</v>
      </c>
      <c r="R340">
        <v>8498.81875983</v>
      </c>
      <c r="S340" t="s">
        <v>207</v>
      </c>
      <c r="T340" t="s">
        <v>93</v>
      </c>
      <c r="U340">
        <v>5</v>
      </c>
      <c r="V340" t="s">
        <v>196</v>
      </c>
      <c r="W340" t="s">
        <v>142</v>
      </c>
      <c r="X340" t="s">
        <v>106</v>
      </c>
      <c r="Y340" s="23" t="s">
        <v>107</v>
      </c>
      <c r="AA340">
        <v>42</v>
      </c>
      <c r="AB340" t="s">
        <v>1511</v>
      </c>
      <c r="AC340" t="s">
        <v>1447</v>
      </c>
      <c r="AD340" s="2">
        <v>8</v>
      </c>
      <c r="AE340" s="2" t="s">
        <v>70</v>
      </c>
      <c r="AF340" t="str">
        <f>_xlfn.CONCAT(FINI_grouping_for_wheel[[#This Row],[SEFI/Plant]],"/",IF(FINI_grouping_for_wheel[[#This Row],[RESET recipe combination]]&lt;&gt;"",FINI_grouping_for_wheel[[#This Row],[RESET recipe combination]],FINI_grouping_for_wheel[[#This Row],[Recipe Combination]]),"/",FINI_grouping_for_wheel[[#This Row],[Subgroup]])</f>
        <v>4011459/THDP/x/8</v>
      </c>
      <c r="AG3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0.7987433006837923</v>
      </c>
      <c r="AH340">
        <f>_xlfn.LET(_xlpm.pct, FINI_grouping_for_wheel[[#This Row],[% forecast within subgroup]], _xlpm.lote, FINI_grouping_for_wheel[[#This Row],[Lot size considered]], _xlpm.pct*_xlpm.lote)</f>
        <v>6788.374548139947</v>
      </c>
      <c r="AI340" cm="1">
        <f t="array" aca="1" ref="AI340" ca="1">IFERROR(INDIRECT("FINI_grouping_for_wheel[@["&amp;FINI_grouping_for_wheel[[#This Row],[Selected PV]]&amp;"]]"),"")</f>
        <v>29</v>
      </c>
      <c r="AJ34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29.6</v>
      </c>
      <c r="AL340" s="4"/>
      <c r="AM34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29</v>
      </c>
      <c r="AN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4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40" t="str">
        <f>_xlfn.CONCAT(FINI_grouping_for_wheel[[#This Row],[Recipe Combination]],FINI_grouping_for_wheel[[#This Row],[Subgroup]])</f>
        <v>T8</v>
      </c>
    </row>
    <row r="341" spans="1:55" hidden="1">
      <c r="A341" t="s">
        <v>10</v>
      </c>
      <c r="B341">
        <v>4011459</v>
      </c>
      <c r="C341" t="s">
        <v>1443</v>
      </c>
      <c r="D341">
        <v>8498.81875983</v>
      </c>
      <c r="E341">
        <v>94</v>
      </c>
      <c r="F341">
        <v>1.88</v>
      </c>
      <c r="G341" t="s">
        <v>1512</v>
      </c>
      <c r="H341" t="s">
        <v>1513</v>
      </c>
      <c r="I341">
        <v>288</v>
      </c>
      <c r="J341" t="s">
        <v>90</v>
      </c>
      <c r="K341" t="s">
        <v>1514</v>
      </c>
      <c r="L341" t="s">
        <v>1515</v>
      </c>
      <c r="M341">
        <v>311016.57912</v>
      </c>
      <c r="N341">
        <v>1244.06631648</v>
      </c>
      <c r="O341">
        <v>311016.57912</v>
      </c>
      <c r="P341">
        <v>794020.221495</v>
      </c>
      <c r="Q341">
        <v>1</v>
      </c>
      <c r="R341">
        <v>8498.81875983</v>
      </c>
      <c r="S341" t="s">
        <v>224</v>
      </c>
      <c r="T341" t="s">
        <v>93</v>
      </c>
      <c r="U341">
        <v>12</v>
      </c>
      <c r="V341" t="s">
        <v>238</v>
      </c>
      <c r="W341" t="s">
        <v>95</v>
      </c>
      <c r="X341" t="s">
        <v>96</v>
      </c>
      <c r="Y341" s="23" t="s">
        <v>97</v>
      </c>
      <c r="AA341">
        <v>7</v>
      </c>
      <c r="AB341" t="s">
        <v>1516</v>
      </c>
      <c r="AC341" t="s">
        <v>1447</v>
      </c>
      <c r="AD341" s="2">
        <v>1</v>
      </c>
      <c r="AE341" s="2" t="s">
        <v>70</v>
      </c>
      <c r="AF341" t="str">
        <f>_xlfn.CONCAT(FINI_grouping_for_wheel[[#This Row],[SEFI/Plant]],"/",IF(FINI_grouping_for_wheel[[#This Row],[RESET recipe combination]]&lt;&gt;"",FINI_grouping_for_wheel[[#This Row],[RESET recipe combination]],FINI_grouping_for_wheel[[#This Row],[Recipe Combination]]),"/",FINI_grouping_for_wheel[[#This Row],[Subgroup]])</f>
        <v>4011459/THDP/x/1</v>
      </c>
      <c r="AG3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41">
        <f>_xlfn.LET(_xlpm.pct, FINI_grouping_for_wheel[[#This Row],[% forecast within subgroup]], _xlpm.lote, FINI_grouping_for_wheel[[#This Row],[Lot size considered]], _xlpm.pct*_xlpm.lote)</f>
        <v>8498.81875983</v>
      </c>
      <c r="AI341" cm="1">
        <f t="array" aca="1" ref="AI341" ca="1">IFERROR(INDIRECT("FINI_grouping_for_wheel[@["&amp;FINI_grouping_for_wheel[[#This Row],[Selected PV]]&amp;"]]"),"")</f>
        <v>6</v>
      </c>
      <c r="AJ34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30.9</v>
      </c>
      <c r="AL341" s="4"/>
      <c r="AM34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v>
      </c>
      <c r="AN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4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41" t="str">
        <f>_xlfn.CONCAT(FINI_grouping_for_wheel[[#This Row],[Recipe Combination]],FINI_grouping_for_wheel[[#This Row],[Subgroup]])</f>
        <v>V1</v>
      </c>
    </row>
    <row r="342" spans="1:55" hidden="1">
      <c r="A342" t="s">
        <v>10</v>
      </c>
      <c r="B342">
        <v>4011459</v>
      </c>
      <c r="C342" t="s">
        <v>1443</v>
      </c>
      <c r="D342">
        <v>8498.81875983</v>
      </c>
      <c r="E342">
        <v>94</v>
      </c>
      <c r="F342">
        <v>1.88</v>
      </c>
      <c r="G342" t="s">
        <v>1517</v>
      </c>
      <c r="H342" t="s">
        <v>1518</v>
      </c>
      <c r="I342">
        <v>440</v>
      </c>
      <c r="J342" t="s">
        <v>90</v>
      </c>
      <c r="M342">
        <v>83157.4872</v>
      </c>
      <c r="N342">
        <v>332.6299488</v>
      </c>
      <c r="O342">
        <v>189620.144325</v>
      </c>
      <c r="P342">
        <v>794020.221495</v>
      </c>
      <c r="Q342">
        <v>0.43854774763525117</v>
      </c>
      <c r="R342">
        <v>3727.13782468</v>
      </c>
      <c r="S342" t="s">
        <v>387</v>
      </c>
      <c r="T342" t="s">
        <v>93</v>
      </c>
      <c r="U342">
        <v>10</v>
      </c>
      <c r="AA342">
        <v>26</v>
      </c>
      <c r="AB342" t="s">
        <v>1519</v>
      </c>
      <c r="AC342" t="s">
        <v>1447</v>
      </c>
      <c r="AD342" s="2">
        <v>5</v>
      </c>
      <c r="AE342" s="2" t="s">
        <v>70</v>
      </c>
      <c r="AF342" t="str">
        <f>_xlfn.CONCAT(FINI_grouping_for_wheel[[#This Row],[SEFI/Plant]],"/",IF(FINI_grouping_for_wheel[[#This Row],[RESET recipe combination]]&lt;&gt;"",FINI_grouping_for_wheel[[#This Row],[RESET recipe combination]],FINI_grouping_for_wheel[[#This Row],[Recipe Combination]]),"/",FINI_grouping_for_wheel[[#This Row],[Subgroup]])</f>
        <v>4011459/THDP/x/5</v>
      </c>
      <c r="AG3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42">
        <f>_xlfn.LET(_xlpm.pct, FINI_grouping_for_wheel[[#This Row],[% forecast within subgroup]], _xlpm.lote, FINI_grouping_for_wheel[[#This Row],[Lot size considered]], _xlpm.pct*_xlpm.lote)</f>
        <v>8498.81875983</v>
      </c>
      <c r="AI342" cm="1">
        <f t="array" aca="1" ref="AI342" ca="1">IFERROR(INDIRECT("FINI_grouping_for_wheel[@["&amp;FINI_grouping_for_wheel[[#This Row],[Selected PV]]&amp;"]]"),"")</f>
        <v>23</v>
      </c>
      <c r="AJ34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20.2</v>
      </c>
      <c r="AL342" s="4"/>
      <c r="AM34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23</v>
      </c>
      <c r="AN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4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42" t="str">
        <f>_xlfn.CONCAT(FINI_grouping_for_wheel[[#This Row],[Recipe Combination]],FINI_grouping_for_wheel[[#This Row],[Subgroup]])</f>
        <v>X5</v>
      </c>
    </row>
    <row r="343" spans="1:55" hidden="1">
      <c r="A343" t="s">
        <v>10</v>
      </c>
      <c r="B343">
        <v>4011459</v>
      </c>
      <c r="C343" t="s">
        <v>1443</v>
      </c>
      <c r="D343">
        <v>8498.81875983</v>
      </c>
      <c r="E343">
        <v>94</v>
      </c>
      <c r="F343">
        <v>1.88</v>
      </c>
      <c r="G343" t="s">
        <v>1520</v>
      </c>
      <c r="H343" t="s">
        <v>1521</v>
      </c>
      <c r="I343">
        <v>405</v>
      </c>
      <c r="J343" t="s">
        <v>90</v>
      </c>
      <c r="K343" t="s">
        <v>406</v>
      </c>
      <c r="L343" t="s">
        <v>407</v>
      </c>
      <c r="M343">
        <v>10779.455025</v>
      </c>
      <c r="N343">
        <v>43.1178201</v>
      </c>
      <c r="O343">
        <v>189620.144325</v>
      </c>
      <c r="P343">
        <v>794020.221495</v>
      </c>
      <c r="Q343">
        <v>5.6847625885805261E-2</v>
      </c>
      <c r="R343">
        <v>483.13766933</v>
      </c>
      <c r="S343" t="s">
        <v>387</v>
      </c>
      <c r="T343" t="s">
        <v>93</v>
      </c>
      <c r="U343">
        <v>15</v>
      </c>
      <c r="V343" t="s">
        <v>408</v>
      </c>
      <c r="W343" t="s">
        <v>142</v>
      </c>
      <c r="X343" t="s">
        <v>96</v>
      </c>
      <c r="Y343" s="23" t="s">
        <v>97</v>
      </c>
      <c r="AA343">
        <v>197</v>
      </c>
      <c r="AB343" t="s">
        <v>1522</v>
      </c>
      <c r="AC343" t="s">
        <v>1447</v>
      </c>
      <c r="AD343" s="2">
        <v>3</v>
      </c>
      <c r="AE343" s="2" t="s">
        <v>70</v>
      </c>
      <c r="AF343" t="str">
        <f>_xlfn.CONCAT(FINI_grouping_for_wheel[[#This Row],[SEFI/Plant]],"/",IF(FINI_grouping_for_wheel[[#This Row],[RESET recipe combination]]&lt;&gt;"",FINI_grouping_for_wheel[[#This Row],[RESET recipe combination]],FINI_grouping_for_wheel[[#This Row],[Recipe Combination]]),"/",FINI_grouping_for_wheel[[#This Row],[Subgroup]])</f>
        <v>4011459/THDP/x/3</v>
      </c>
      <c r="AG3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0.21593738882959798</v>
      </c>
      <c r="AH343">
        <f>_xlfn.LET(_xlpm.pct, FINI_grouping_for_wheel[[#This Row],[% forecast within subgroup]], _xlpm.lote, FINI_grouping_for_wheel[[#This Row],[Lot size considered]], _xlpm.pct*_xlpm.lote)</f>
        <v>1835.2127311336922</v>
      </c>
      <c r="AI343" cm="1">
        <f t="array" aca="1" ref="AI343" ca="1">IFERROR(INDIRECT("FINI_grouping_for_wheel[@["&amp;FINI_grouping_for_wheel[[#This Row],[Selected PV]]&amp;"]]"),"")</f>
        <v>38</v>
      </c>
      <c r="AJ34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4.7</v>
      </c>
      <c r="AL343" s="4"/>
      <c r="AM34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38</v>
      </c>
      <c r="AN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4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43" t="str">
        <f>_xlfn.CONCAT(FINI_grouping_for_wheel[[#This Row],[Recipe Combination]],FINI_grouping_for_wheel[[#This Row],[Subgroup]])</f>
        <v>X3</v>
      </c>
    </row>
    <row r="344" spans="1:55" hidden="1">
      <c r="A344" t="s">
        <v>10</v>
      </c>
      <c r="B344">
        <v>4011459</v>
      </c>
      <c r="C344" t="s">
        <v>1443</v>
      </c>
      <c r="D344">
        <v>8498.81875983</v>
      </c>
      <c r="E344">
        <v>94</v>
      </c>
      <c r="F344">
        <v>1.88</v>
      </c>
      <c r="G344" t="s">
        <v>1523</v>
      </c>
      <c r="H344" t="s">
        <v>1524</v>
      </c>
      <c r="I344">
        <v>495</v>
      </c>
      <c r="J344" t="s">
        <v>90</v>
      </c>
      <c r="K344" t="s">
        <v>412</v>
      </c>
      <c r="L344" t="s">
        <v>413</v>
      </c>
      <c r="M344">
        <v>95683.2021</v>
      </c>
      <c r="N344">
        <v>382.7328084</v>
      </c>
      <c r="O344">
        <v>189620.144325</v>
      </c>
      <c r="P344">
        <v>794020.221495</v>
      </c>
      <c r="Q344">
        <v>0.50460462647894355</v>
      </c>
      <c r="R344">
        <v>4288.54326582</v>
      </c>
      <c r="S344" t="s">
        <v>387</v>
      </c>
      <c r="T344" t="s">
        <v>93</v>
      </c>
      <c r="U344">
        <v>15</v>
      </c>
      <c r="V344" t="s">
        <v>408</v>
      </c>
      <c r="W344" t="s">
        <v>95</v>
      </c>
      <c r="X344" t="s">
        <v>96</v>
      </c>
      <c r="Y344" s="23" t="s">
        <v>97</v>
      </c>
      <c r="AA344">
        <v>22</v>
      </c>
      <c r="AB344" t="s">
        <v>1525</v>
      </c>
      <c r="AC344" t="s">
        <v>1447</v>
      </c>
      <c r="AD344" s="2">
        <v>2</v>
      </c>
      <c r="AE344" s="2" t="s">
        <v>70</v>
      </c>
      <c r="AF344" t="str">
        <f>_xlfn.CONCAT(FINI_grouping_for_wheel[[#This Row],[SEFI/Plant]],"/",IF(FINI_grouping_for_wheel[[#This Row],[RESET recipe combination]]&lt;&gt;"",FINI_grouping_for_wheel[[#This Row],[RESET recipe combination]],FINI_grouping_for_wheel[[#This Row],[Recipe Combination]]),"/",FINI_grouping_for_wheel[[#This Row],[Subgroup]])</f>
        <v>4011459/THDP/x/2</v>
      </c>
      <c r="AG3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44">
        <f>_xlfn.LET(_xlpm.pct, FINI_grouping_for_wheel[[#This Row],[% forecast within subgroup]], _xlpm.lote, FINI_grouping_for_wheel[[#This Row],[Lot size considered]], _xlpm.pct*_xlpm.lote)</f>
        <v>8498.81875983</v>
      </c>
      <c r="AI344" cm="1">
        <f t="array" aca="1" ref="AI344" ca="1">IFERROR(INDIRECT("FINI_grouping_for_wheel[@["&amp;FINI_grouping_for_wheel[[#This Row],[Selected PV]]&amp;"]]"),"")</f>
        <v>20</v>
      </c>
      <c r="AJ34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8885.207025</v>
      </c>
      <c r="AK3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17.9</v>
      </c>
      <c r="AL344" s="4"/>
      <c r="AM34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v>
      </c>
      <c r="AN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4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44" t="str">
        <f>_xlfn.CONCAT(FINI_grouping_for_wheel[[#This Row],[Recipe Combination]],FINI_grouping_for_wheel[[#This Row],[Subgroup]])</f>
        <v>X2</v>
      </c>
    </row>
    <row r="345" spans="1:55" hidden="1">
      <c r="A345" t="s">
        <v>10</v>
      </c>
      <c r="B345">
        <v>4145975</v>
      </c>
      <c r="C345" t="s">
        <v>1526</v>
      </c>
      <c r="D345">
        <v>8631.30941955</v>
      </c>
      <c r="E345">
        <v>82</v>
      </c>
      <c r="F345">
        <v>1.64</v>
      </c>
      <c r="G345" t="s">
        <v>1527</v>
      </c>
      <c r="H345" t="s">
        <v>1528</v>
      </c>
      <c r="J345" t="s">
        <v>90</v>
      </c>
      <c r="K345" t="s">
        <v>1529</v>
      </c>
      <c r="L345" t="s">
        <v>1530</v>
      </c>
      <c r="M345">
        <v>3468.84165</v>
      </c>
      <c r="N345">
        <v>13.8753666</v>
      </c>
      <c r="O345">
        <v>476673.30234</v>
      </c>
      <c r="P345">
        <v>701566.712235</v>
      </c>
      <c r="Q345">
        <v>7.2771888691298171E-3</v>
      </c>
      <c r="R345">
        <v>62.811668834</v>
      </c>
      <c r="S345" t="s">
        <v>471</v>
      </c>
      <c r="T345" t="s">
        <v>93</v>
      </c>
      <c r="U345">
        <v>5</v>
      </c>
      <c r="V345" t="s">
        <v>657</v>
      </c>
      <c r="W345" t="s">
        <v>95</v>
      </c>
      <c r="X345" t="s">
        <v>106</v>
      </c>
      <c r="Y345" s="23" t="s">
        <v>107</v>
      </c>
      <c r="AA345">
        <v>622</v>
      </c>
      <c r="AB345" t="s">
        <v>1531</v>
      </c>
      <c r="AC345" t="s">
        <v>1532</v>
      </c>
      <c r="AD345" s="2">
        <v>17</v>
      </c>
      <c r="AE345" s="2" t="s">
        <v>70</v>
      </c>
      <c r="AF345" t="str">
        <f>_xlfn.CONCAT(FINI_grouping_for_wheel[[#This Row],[SEFI/Plant]],"/",IF(FINI_grouping_for_wheel[[#This Row],[RESET recipe combination]]&lt;&gt;"",FINI_grouping_for_wheel[[#This Row],[RESET recipe combination]],FINI_grouping_for_wheel[[#This Row],[Recipe Combination]]),"/",FINI_grouping_for_wheel[[#This Row],[Subgroup]])</f>
        <v>4145975/THDP/x/17</v>
      </c>
      <c r="AG3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0.27344843677088193</v>
      </c>
      <c r="AH345">
        <f>_xlfn.LET(_xlpm.pct, FINI_grouping_for_wheel[[#This Row],[% forecast within subgroup]], _xlpm.lote, FINI_grouping_for_wheel[[#This Row],[Lot size considered]], _xlpm.pct*_xlpm.lote)</f>
        <v>2360.2180680617357</v>
      </c>
      <c r="AI345" cm="1">
        <f t="array" aca="1" ref="AI345" ca="1">IFERROR(INDIRECT("FINI_grouping_for_wheel[@["&amp;FINI_grouping_for_wheel[[#This Row],[Selected PV]]&amp;"]]"),"")</f>
        <v>148</v>
      </c>
      <c r="AJ34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4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45" s="4"/>
      <c r="AM34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148</v>
      </c>
      <c r="AN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4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45" t="str">
        <f>_xlfn.CONCAT(FINI_grouping_for_wheel[[#This Row],[Recipe Combination]],FINI_grouping_for_wheel[[#This Row],[Subgroup]])</f>
        <v>17</v>
      </c>
    </row>
    <row r="346" spans="1:55" hidden="1">
      <c r="A346" t="s">
        <v>10</v>
      </c>
      <c r="B346">
        <v>4145975</v>
      </c>
      <c r="C346" t="s">
        <v>1526</v>
      </c>
      <c r="D346">
        <v>8631.30941955</v>
      </c>
      <c r="E346">
        <v>82</v>
      </c>
      <c r="F346">
        <v>1.64</v>
      </c>
      <c r="G346" t="s">
        <v>1533</v>
      </c>
      <c r="H346" t="s">
        <v>1534</v>
      </c>
      <c r="I346">
        <v>440</v>
      </c>
      <c r="J346" t="s">
        <v>90</v>
      </c>
      <c r="K346" t="s">
        <v>666</v>
      </c>
      <c r="L346" t="s">
        <v>667</v>
      </c>
      <c r="M346">
        <v>3220.2216</v>
      </c>
      <c r="N346">
        <v>12.8808864</v>
      </c>
      <c r="O346">
        <v>476673.30234</v>
      </c>
      <c r="P346">
        <v>701566.712235</v>
      </c>
      <c r="Q346">
        <v>6.7556156054720488E-3</v>
      </c>
      <c r="R346">
        <v>58.3098086104</v>
      </c>
      <c r="S346" t="s">
        <v>471</v>
      </c>
      <c r="T346" t="s">
        <v>93</v>
      </c>
      <c r="U346">
        <v>10</v>
      </c>
      <c r="V346" t="s">
        <v>94</v>
      </c>
      <c r="W346" t="s">
        <v>95</v>
      </c>
      <c r="X346" t="s">
        <v>96</v>
      </c>
      <c r="Y346" s="23" t="s">
        <v>97</v>
      </c>
      <c r="AA346">
        <v>670</v>
      </c>
      <c r="AB346" t="s">
        <v>1535</v>
      </c>
      <c r="AC346" t="s">
        <v>1532</v>
      </c>
      <c r="AD346" s="2">
        <v>11</v>
      </c>
      <c r="AE346" s="2" t="s">
        <v>70</v>
      </c>
      <c r="AF346" t="str">
        <f>_xlfn.CONCAT(FINI_grouping_for_wheel[[#This Row],[SEFI/Plant]],"/",IF(FINI_grouping_for_wheel[[#This Row],[RESET recipe combination]]&lt;&gt;"",FINI_grouping_for_wheel[[#This Row],[RESET recipe combination]],FINI_grouping_for_wheel[[#This Row],[Recipe Combination]]),"/",FINI_grouping_for_wheel[[#This Row],[Subgroup]])</f>
        <v>4145975/THDP/x/11</v>
      </c>
      <c r="AG3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0.0670611439842209</v>
      </c>
      <c r="AH346">
        <f>_xlfn.LET(_xlpm.pct, FINI_grouping_for_wheel[[#This Row],[% forecast within subgroup]], _xlpm.lote, FINI_grouping_for_wheel[[#This Row],[Lot size considered]], _xlpm.pct*_xlpm.lote)</f>
        <v>578.8254837568047</v>
      </c>
      <c r="AI346" cm="1">
        <f t="array" aca="1" ref="AI346" ca="1">IFERROR(INDIRECT("FINI_grouping_for_wheel[@["&amp;FINI_grouping_for_wheel[[#This Row],[Selected PV]]&amp;"]]"),"")</f>
        <v>39</v>
      </c>
      <c r="AJ34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v>
      </c>
      <c r="AL346" s="4"/>
      <c r="AM34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4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46" t="str">
        <f>_xlfn.CONCAT(FINI_grouping_for_wheel[[#This Row],[Recipe Combination]],FINI_grouping_for_wheel[[#This Row],[Subgroup]])</f>
        <v>11</v>
      </c>
    </row>
    <row r="347" spans="1:55" hidden="1">
      <c r="A347" t="s">
        <v>10</v>
      </c>
      <c r="B347">
        <v>4145975</v>
      </c>
      <c r="C347" t="s">
        <v>1526</v>
      </c>
      <c r="D347">
        <v>8631.30941955</v>
      </c>
      <c r="E347">
        <v>82</v>
      </c>
      <c r="F347">
        <v>1.64</v>
      </c>
      <c r="G347" t="s">
        <v>1536</v>
      </c>
      <c r="H347" t="s">
        <v>1537</v>
      </c>
      <c r="J347" t="s">
        <v>90</v>
      </c>
      <c r="K347" t="s">
        <v>254</v>
      </c>
      <c r="L347" t="s">
        <v>255</v>
      </c>
      <c r="M347">
        <v>5209.182</v>
      </c>
      <c r="N347">
        <v>20.836728</v>
      </c>
      <c r="O347">
        <v>476673.30234</v>
      </c>
      <c r="P347">
        <v>701566.712235</v>
      </c>
      <c r="Q347">
        <v>1.0928201714734196E-2</v>
      </c>
      <c r="R347">
        <v>94.3246903991</v>
      </c>
      <c r="S347" t="s">
        <v>471</v>
      </c>
      <c r="T347" t="s">
        <v>93</v>
      </c>
      <c r="U347">
        <v>5</v>
      </c>
      <c r="V347" t="s">
        <v>119</v>
      </c>
      <c r="W347" t="s">
        <v>95</v>
      </c>
      <c r="X347" t="s">
        <v>96</v>
      </c>
      <c r="Y347" s="23" t="s">
        <v>120</v>
      </c>
      <c r="AA347">
        <v>414</v>
      </c>
      <c r="AB347" t="s">
        <v>1538</v>
      </c>
      <c r="AC347" t="s">
        <v>1532</v>
      </c>
      <c r="AD347" s="2">
        <v>17</v>
      </c>
      <c r="AE347" s="2" t="s">
        <v>70</v>
      </c>
      <c r="AF347" t="str">
        <f>_xlfn.CONCAT(FINI_grouping_for_wheel[[#This Row],[SEFI/Plant]],"/",IF(FINI_grouping_for_wheel[[#This Row],[RESET recipe combination]]&lt;&gt;"",FINI_grouping_for_wheel[[#This Row],[RESET recipe combination]],FINI_grouping_for_wheel[[#This Row],[Recipe Combination]]),"/",FINI_grouping_for_wheel[[#This Row],[Subgroup]])</f>
        <v>4145975/THDP/x/17</v>
      </c>
      <c r="AG3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0.4106392907139524</v>
      </c>
      <c r="AH347">
        <f>_xlfn.LET(_xlpm.pct, FINI_grouping_for_wheel[[#This Row],[% forecast within subgroup]], _xlpm.lote, FINI_grouping_for_wheel[[#This Row],[Lot size considered]], _xlpm.pct*_xlpm.lote)</f>
        <v>3544.354777976668</v>
      </c>
      <c r="AI347" cm="1">
        <f t="array" aca="1" ref="AI347" ca="1">IFERROR(INDIRECT("FINI_grouping_for_wheel[@["&amp;FINI_grouping_for_wheel[[#This Row],[Selected PV]]&amp;"]]"),"")</f>
        <v>148</v>
      </c>
      <c r="AJ34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4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47" s="4"/>
      <c r="AM34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148</v>
      </c>
      <c r="AN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4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47" t="str">
        <f>_xlfn.CONCAT(FINI_grouping_for_wheel[[#This Row],[Recipe Combination]],FINI_grouping_for_wheel[[#This Row],[Subgroup]])</f>
        <v>17</v>
      </c>
    </row>
    <row r="348" spans="1:55" hidden="1">
      <c r="A348" t="s">
        <v>10</v>
      </c>
      <c r="B348">
        <v>4145975</v>
      </c>
      <c r="C348" t="s">
        <v>1526</v>
      </c>
      <c r="D348">
        <v>8631.30941955</v>
      </c>
      <c r="E348">
        <v>82</v>
      </c>
      <c r="F348">
        <v>1.64</v>
      </c>
      <c r="G348" t="s">
        <v>1539</v>
      </c>
      <c r="H348" t="s">
        <v>1540</v>
      </c>
      <c r="I348">
        <v>440</v>
      </c>
      <c r="J348" t="s">
        <v>90</v>
      </c>
      <c r="K348" t="s">
        <v>1541</v>
      </c>
      <c r="L348" t="s">
        <v>1542</v>
      </c>
      <c r="M348">
        <v>65813.27895</v>
      </c>
      <c r="N348">
        <v>263.2531158</v>
      </c>
      <c r="O348">
        <v>476673.30234</v>
      </c>
      <c r="P348">
        <v>701566.712235</v>
      </c>
      <c r="Q348">
        <v>0.138067893936835</v>
      </c>
      <c r="R348">
        <v>1191.70671347</v>
      </c>
      <c r="S348" t="s">
        <v>471</v>
      </c>
      <c r="T348" t="s">
        <v>93</v>
      </c>
      <c r="U348">
        <v>10</v>
      </c>
      <c r="V348" t="s">
        <v>94</v>
      </c>
      <c r="W348" t="s">
        <v>95</v>
      </c>
      <c r="X348" t="s">
        <v>96</v>
      </c>
      <c r="Y348" s="23" t="s">
        <v>97</v>
      </c>
      <c r="AA348">
        <v>33</v>
      </c>
      <c r="AB348" t="s">
        <v>1543</v>
      </c>
      <c r="AC348" t="s">
        <v>1532</v>
      </c>
      <c r="AD348" s="2">
        <v>10</v>
      </c>
      <c r="AE348" s="2" t="s">
        <v>70</v>
      </c>
      <c r="AF348" t="str">
        <f>_xlfn.CONCAT(FINI_grouping_for_wheel[[#This Row],[SEFI/Plant]],"/",IF(FINI_grouping_for_wheel[[#This Row],[RESET recipe combination]]&lt;&gt;"",FINI_grouping_for_wheel[[#This Row],[RESET recipe combination]],FINI_grouping_for_wheel[[#This Row],[Recipe Combination]]),"/",FINI_grouping_for_wheel[[#This Row],[Subgroup]])</f>
        <v>4145975/THDP/x/10</v>
      </c>
      <c r="AG3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0.9212794166390454</v>
      </c>
      <c r="AH348">
        <f>_xlfn.LET(_xlpm.pct, FINI_grouping_for_wheel[[#This Row],[% forecast within subgroup]], _xlpm.lote, FINI_grouping_for_wheel[[#This Row],[Lot size considered]], _xlpm.pct*_xlpm.lote)</f>
        <v>7951.847706874122</v>
      </c>
      <c r="AI348" cm="1">
        <f t="array" aca="1" ref="AI348" ca="1">IFERROR(INDIRECT("FINI_grouping_for_wheel[@["&amp;FINI_grouping_for_wheel[[#This Row],[Selected PV]]&amp;"]]"),"")</f>
        <v>26</v>
      </c>
      <c r="AJ34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18.5</v>
      </c>
      <c r="AL348" s="4"/>
      <c r="AM34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v>
      </c>
      <c r="AN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4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48" t="str">
        <f>_xlfn.CONCAT(FINI_grouping_for_wheel[[#This Row],[Recipe Combination]],FINI_grouping_for_wheel[[#This Row],[Subgroup]])</f>
        <v>10</v>
      </c>
    </row>
    <row r="349" spans="1:55" hidden="1">
      <c r="A349" t="s">
        <v>10</v>
      </c>
      <c r="B349">
        <v>4145975</v>
      </c>
      <c r="C349" t="s">
        <v>1526</v>
      </c>
      <c r="D349">
        <v>8631.30941955</v>
      </c>
      <c r="E349">
        <v>82</v>
      </c>
      <c r="F349">
        <v>1.64</v>
      </c>
      <c r="G349" t="s">
        <v>1544</v>
      </c>
      <c r="H349" t="s">
        <v>1545</v>
      </c>
      <c r="I349">
        <v>450</v>
      </c>
      <c r="J349" t="s">
        <v>90</v>
      </c>
      <c r="K349" t="s">
        <v>264</v>
      </c>
      <c r="L349" t="s">
        <v>265</v>
      </c>
      <c r="M349">
        <v>3958.97832</v>
      </c>
      <c r="N349">
        <v>15.83591328</v>
      </c>
      <c r="O349">
        <v>476673.30234</v>
      </c>
      <c r="P349">
        <v>701566.712235</v>
      </c>
      <c r="Q349">
        <v>8.3054333031979885E-3</v>
      </c>
      <c r="R349">
        <v>71.6867647033</v>
      </c>
      <c r="S349" t="s">
        <v>471</v>
      </c>
      <c r="T349" t="s">
        <v>93</v>
      </c>
      <c r="U349">
        <v>2.5</v>
      </c>
      <c r="V349" t="s">
        <v>267</v>
      </c>
      <c r="W349" t="s">
        <v>142</v>
      </c>
      <c r="X349" t="s">
        <v>150</v>
      </c>
      <c r="Y349" s="23" t="s">
        <v>151</v>
      </c>
      <c r="AA349">
        <v>545</v>
      </c>
      <c r="AB349" t="s">
        <v>1546</v>
      </c>
      <c r="AC349" t="s">
        <v>1532</v>
      </c>
      <c r="AD349" s="2">
        <v>6</v>
      </c>
      <c r="AE349" s="2" t="s">
        <v>70</v>
      </c>
      <c r="AF349" t="str">
        <f>_xlfn.CONCAT(FINI_grouping_for_wheel[[#This Row],[SEFI/Plant]],"/",IF(FINI_grouping_for_wheel[[#This Row],[RESET recipe combination]]&lt;&gt;"",FINI_grouping_for_wheel[[#This Row],[RESET recipe combination]],FINI_grouping_for_wheel[[#This Row],[Recipe Combination]]),"/",FINI_grouping_for_wheel[[#This Row],[Subgroup]])</f>
        <v>4145975/THDP/x/6</v>
      </c>
      <c r="AG3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0.24210831161309007</v>
      </c>
      <c r="AH349">
        <f>_xlfn.LET(_xlpm.pct, FINI_grouping_for_wheel[[#This Row],[% forecast within subgroup]], _xlpm.lote, FINI_grouping_for_wheel[[#This Row],[Lot size considered]], _xlpm.pct*_xlpm.lote)</f>
        <v>2089.711750577411</v>
      </c>
      <c r="AI349" cm="1">
        <f t="array" aca="1" ref="AI349" ca="1">IFERROR(INDIRECT("FINI_grouping_for_wheel[@["&amp;FINI_grouping_for_wheel[[#This Row],[Selected PV]]&amp;"]]"),"")</f>
        <v>115</v>
      </c>
      <c r="AJ34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4.8</v>
      </c>
      <c r="AL349" s="4"/>
      <c r="AM34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115</v>
      </c>
      <c r="AN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4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49" t="str">
        <f>_xlfn.CONCAT(FINI_grouping_for_wheel[[#This Row],[Recipe Combination]],FINI_grouping_for_wheel[[#This Row],[Subgroup]])</f>
        <v>6</v>
      </c>
    </row>
    <row r="350" spans="1:55" hidden="1">
      <c r="A350" t="s">
        <v>10</v>
      </c>
      <c r="B350">
        <v>4145975</v>
      </c>
      <c r="C350" t="s">
        <v>1526</v>
      </c>
      <c r="D350">
        <v>8631.30941955</v>
      </c>
      <c r="E350">
        <v>82</v>
      </c>
      <c r="F350">
        <v>1.64</v>
      </c>
      <c r="G350" t="s">
        <v>1547</v>
      </c>
      <c r="H350" t="s">
        <v>1548</v>
      </c>
      <c r="J350" t="s">
        <v>90</v>
      </c>
      <c r="K350" t="s">
        <v>608</v>
      </c>
      <c r="L350" t="s">
        <v>609</v>
      </c>
      <c r="M350">
        <v>3307.83057</v>
      </c>
      <c r="N350">
        <v>13.23132228</v>
      </c>
      <c r="O350">
        <v>476673.30234</v>
      </c>
      <c r="P350">
        <v>701566.712235</v>
      </c>
      <c r="Q350">
        <v>6.9394080888562143E-3</v>
      </c>
      <c r="R350">
        <v>59.8961784034</v>
      </c>
      <c r="S350" t="s">
        <v>471</v>
      </c>
      <c r="T350" t="s">
        <v>93</v>
      </c>
      <c r="U350">
        <v>0.75</v>
      </c>
      <c r="V350" t="s">
        <v>610</v>
      </c>
      <c r="W350" t="s">
        <v>142</v>
      </c>
      <c r="X350" t="s">
        <v>150</v>
      </c>
      <c r="Y350" s="23" t="s">
        <v>151</v>
      </c>
      <c r="AA350">
        <v>652</v>
      </c>
      <c r="AB350" t="s">
        <v>1549</v>
      </c>
      <c r="AC350" t="s">
        <v>1532</v>
      </c>
      <c r="AD350" s="2">
        <v>1</v>
      </c>
      <c r="AE350" s="2" t="s">
        <v>70</v>
      </c>
      <c r="AF350" t="str">
        <f>_xlfn.CONCAT(FINI_grouping_for_wheel[[#This Row],[SEFI/Plant]],"/",IF(FINI_grouping_for_wheel[[#This Row],[RESET recipe combination]]&lt;&gt;"",FINI_grouping_for_wheel[[#This Row],[RESET recipe combination]],FINI_grouping_for_wheel[[#This Row],[Recipe Combination]]),"/",FINI_grouping_for_wheel[[#This Row],[Subgroup]])</f>
        <v>4145975/THDP/x/1</v>
      </c>
      <c r="AG3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0.126528394167195</v>
      </c>
      <c r="AH350">
        <f>_xlfn.LET(_xlpm.pct, FINI_grouping_for_wheel[[#This Row],[% forecast within subgroup]], _xlpm.lote, FINI_grouping_for_wheel[[#This Row],[Lot size considered]], _xlpm.pct*_xlpm.lote)</f>
        <v>1092.1057204158453</v>
      </c>
      <c r="AI350" cm="1">
        <f t="array" aca="1" ref="AI350" ca="1">IFERROR(INDIRECT("FINI_grouping_for_wheel[@["&amp;FINI_grouping_for_wheel[[#This Row],[Selected PV]]&amp;"]]"),"")</f>
        <v>72</v>
      </c>
      <c r="AJ35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5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50" s="4"/>
      <c r="AM35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v>
      </c>
      <c r="AN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5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50" t="str">
        <f>_xlfn.CONCAT(FINI_grouping_for_wheel[[#This Row],[Recipe Combination]],FINI_grouping_for_wheel[[#This Row],[Subgroup]])</f>
        <v>1</v>
      </c>
    </row>
    <row r="351" spans="1:55" hidden="1">
      <c r="A351" t="s">
        <v>10</v>
      </c>
      <c r="B351">
        <v>4145975</v>
      </c>
      <c r="C351" t="s">
        <v>1526</v>
      </c>
      <c r="D351">
        <v>8631.30941955</v>
      </c>
      <c r="E351">
        <v>82</v>
      </c>
      <c r="F351">
        <v>1.64</v>
      </c>
      <c r="G351" t="s">
        <v>1550</v>
      </c>
      <c r="H351" t="s">
        <v>1551</v>
      </c>
      <c r="J351" t="s">
        <v>90</v>
      </c>
      <c r="K351" t="s">
        <v>360</v>
      </c>
      <c r="L351" t="s">
        <v>361</v>
      </c>
      <c r="M351">
        <v>5541.859305</v>
      </c>
      <c r="N351">
        <v>22.16743722</v>
      </c>
      <c r="O351">
        <v>476673.30234</v>
      </c>
      <c r="P351">
        <v>701566.712235</v>
      </c>
      <c r="Q351">
        <v>1.1626116415152448E-2</v>
      </c>
      <c r="R351">
        <v>100.348608127</v>
      </c>
      <c r="S351" t="s">
        <v>471</v>
      </c>
      <c r="T351" t="s">
        <v>93</v>
      </c>
      <c r="U351">
        <v>0.5</v>
      </c>
      <c r="V351" t="s">
        <v>149</v>
      </c>
      <c r="W351" t="s">
        <v>142</v>
      </c>
      <c r="X351" t="s">
        <v>150</v>
      </c>
      <c r="Y351" s="23" t="s">
        <v>151</v>
      </c>
      <c r="AA351">
        <v>389</v>
      </c>
      <c r="AB351" t="s">
        <v>1552</v>
      </c>
      <c r="AC351" t="s">
        <v>1532</v>
      </c>
      <c r="AD351" s="2">
        <v>1</v>
      </c>
      <c r="AE351" s="2" t="s">
        <v>70</v>
      </c>
      <c r="AF351" t="str">
        <f>_xlfn.CONCAT(FINI_grouping_for_wheel[[#This Row],[SEFI/Plant]],"/",IF(FINI_grouping_for_wheel[[#This Row],[RESET recipe combination]]&lt;&gt;"",FINI_grouping_for_wheel[[#This Row],[RESET recipe combination]],FINI_grouping_for_wheel[[#This Row],[Recipe Combination]]),"/",FINI_grouping_for_wheel[[#This Row],[Subgroup]])</f>
        <v>4145975/THDP/x/1</v>
      </c>
      <c r="AG3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0.2119826102708088</v>
      </c>
      <c r="AH351">
        <f>_xlfn.LET(_xlpm.pct, FINI_grouping_for_wheel[[#This Row],[% forecast within subgroup]], _xlpm.lote, FINI_grouping_for_wheel[[#This Row],[Lot size considered]], _xlpm.pct*_xlpm.lote)</f>
        <v>1829.6875008112286</v>
      </c>
      <c r="AI351" cm="1">
        <f t="array" aca="1" ref="AI351" ca="1">IFERROR(INDIRECT("FINI_grouping_for_wheel[@["&amp;FINI_grouping_for_wheel[[#This Row],[Selected PV]]&amp;"]]"),"")</f>
        <v>72</v>
      </c>
      <c r="AJ35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5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51" s="4"/>
      <c r="AM35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v>
      </c>
      <c r="AN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5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51" t="str">
        <f>_xlfn.CONCAT(FINI_grouping_for_wheel[[#This Row],[Recipe Combination]],FINI_grouping_for_wheel[[#This Row],[Subgroup]])</f>
        <v>1</v>
      </c>
    </row>
    <row r="352" spans="1:55" hidden="1">
      <c r="A352" t="s">
        <v>10</v>
      </c>
      <c r="B352">
        <v>4145975</v>
      </c>
      <c r="C352" t="s">
        <v>1526</v>
      </c>
      <c r="D352">
        <v>8631.30941955</v>
      </c>
      <c r="E352">
        <v>82</v>
      </c>
      <c r="F352">
        <v>1.64</v>
      </c>
      <c r="G352" t="s">
        <v>1553</v>
      </c>
      <c r="H352" t="s">
        <v>1554</v>
      </c>
      <c r="I352">
        <v>462</v>
      </c>
      <c r="J352" t="s">
        <v>90</v>
      </c>
      <c r="K352" t="s">
        <v>312</v>
      </c>
      <c r="L352" t="s">
        <v>313</v>
      </c>
      <c r="M352">
        <v>63.93087</v>
      </c>
      <c r="N352">
        <v>0.25572348</v>
      </c>
      <c r="O352">
        <v>476673.30234</v>
      </c>
      <c r="P352">
        <v>701566.712235</v>
      </c>
      <c r="Q352">
        <v>1.3411883922628332E-4</v>
      </c>
      <c r="R352">
        <v>1.15762120035</v>
      </c>
      <c r="S352" t="s">
        <v>471</v>
      </c>
      <c r="T352" t="s">
        <v>93</v>
      </c>
      <c r="U352">
        <v>1</v>
      </c>
      <c r="V352" t="s">
        <v>315</v>
      </c>
      <c r="W352" t="s">
        <v>142</v>
      </c>
      <c r="X352" t="s">
        <v>150</v>
      </c>
      <c r="Y352" s="23" t="s">
        <v>151</v>
      </c>
      <c r="AA352">
        <v>33753</v>
      </c>
      <c r="AB352" t="s">
        <v>1555</v>
      </c>
      <c r="AC352" t="s">
        <v>1532</v>
      </c>
      <c r="AD352" s="2">
        <v>2</v>
      </c>
      <c r="AE352" s="2" t="s">
        <v>70</v>
      </c>
      <c r="AF352" t="str">
        <f>_xlfn.CONCAT(FINI_grouping_for_wheel[[#This Row],[SEFI/Plant]],"/",IF(FINI_grouping_for_wheel[[#This Row],[RESET recipe combination]]&lt;&gt;"",FINI_grouping_for_wheel[[#This Row],[RESET recipe combination]],FINI_grouping_for_wheel[[#This Row],[Recipe Combination]]),"/",FINI_grouping_for_wheel[[#This Row],[Subgroup]])</f>
        <v>4145975/THDP/x/2</v>
      </c>
      <c r="AG3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0.008348794063079777</v>
      </c>
      <c r="AH352">
        <f>_xlfn.LET(_xlpm.pct, FINI_grouping_for_wheel[[#This Row],[% forecast within subgroup]], _xlpm.lote, FINI_grouping_for_wheel[[#This Row],[Lot size considered]], _xlpm.pct*_xlpm.lote)</f>
        <v>72.0610248385436</v>
      </c>
      <c r="AI352" cm="1">
        <f t="array" aca="1" ref="AI352" ca="1">IFERROR(INDIRECT("FINI_grouping_for_wheel[@["&amp;FINI_grouping_for_wheel[[#This Row],[Selected PV]]&amp;"]]"),"")</f>
        <v>245</v>
      </c>
      <c r="AJ35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352" s="4"/>
      <c r="AM35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245</v>
      </c>
      <c r="AN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5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52" t="str">
        <f>_xlfn.CONCAT(FINI_grouping_for_wheel[[#This Row],[Recipe Combination]],FINI_grouping_for_wheel[[#This Row],[Subgroup]])</f>
        <v>2</v>
      </c>
    </row>
    <row r="353" spans="1:55" hidden="1">
      <c r="A353" t="s">
        <v>10</v>
      </c>
      <c r="B353">
        <v>4145975</v>
      </c>
      <c r="C353" t="s">
        <v>1526</v>
      </c>
      <c r="D353">
        <v>8631.30941955</v>
      </c>
      <c r="E353">
        <v>82</v>
      </c>
      <c r="F353">
        <v>1.64</v>
      </c>
      <c r="G353" t="s">
        <v>1556</v>
      </c>
      <c r="H353" t="s">
        <v>1557</v>
      </c>
      <c r="J353" t="s">
        <v>90</v>
      </c>
      <c r="K353" t="s">
        <v>1558</v>
      </c>
      <c r="L353" t="s">
        <v>1559</v>
      </c>
      <c r="M353">
        <v>1111.686795</v>
      </c>
      <c r="N353">
        <v>4.44674718</v>
      </c>
      <c r="O353">
        <v>476673.30234</v>
      </c>
      <c r="P353">
        <v>701566.712235</v>
      </c>
      <c r="Q353">
        <v>2.3321775932125931E-3</v>
      </c>
      <c r="R353">
        <v>20.1297464284</v>
      </c>
      <c r="S353" t="s">
        <v>471</v>
      </c>
      <c r="T353" t="s">
        <v>93</v>
      </c>
      <c r="U353">
        <v>1</v>
      </c>
      <c r="V353" t="s">
        <v>315</v>
      </c>
      <c r="W353" t="s">
        <v>142</v>
      </c>
      <c r="X353" t="s">
        <v>150</v>
      </c>
      <c r="Y353" s="23" t="s">
        <v>151</v>
      </c>
      <c r="AA353">
        <v>1941</v>
      </c>
      <c r="AB353" t="s">
        <v>1560</v>
      </c>
      <c r="AC353" t="s">
        <v>1532</v>
      </c>
      <c r="AD353" s="2">
        <v>2</v>
      </c>
      <c r="AE353" s="2" t="s">
        <v>70</v>
      </c>
      <c r="AF353" t="str">
        <f>_xlfn.CONCAT(FINI_grouping_for_wheel[[#This Row],[SEFI/Plant]],"/",IF(FINI_grouping_for_wheel[[#This Row],[RESET recipe combination]]&lt;&gt;"",FINI_grouping_for_wheel[[#This Row],[RESET recipe combination]],FINI_grouping_for_wheel[[#This Row],[Recipe Combination]]),"/",FINI_grouping_for_wheel[[#This Row],[Subgroup]])</f>
        <v>4145975/THDP/x/2</v>
      </c>
      <c r="AG3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0.14517625231910947</v>
      </c>
      <c r="AH353">
        <f>_xlfn.LET(_xlpm.pct, FINI_grouping_for_wheel[[#This Row],[% forecast within subgroup]], _xlpm.lote, FINI_grouping_for_wheel[[#This Row],[Lot size considered]], _xlpm.pct*_xlpm.lote)</f>
        <v>1253.0611541368971</v>
      </c>
      <c r="AI353" cm="1">
        <f t="array" aca="1" ref="AI353" ca="1">IFERROR(INDIRECT("FINI_grouping_for_wheel[@["&amp;FINI_grouping_for_wheel[[#This Row],[Selected PV]]&amp;"]]"),"")</f>
        <v>245</v>
      </c>
      <c r="AJ35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5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53" s="4"/>
      <c r="AM35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245</v>
      </c>
      <c r="AN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5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53" t="str">
        <f>_xlfn.CONCAT(FINI_grouping_for_wheel[[#This Row],[Recipe Combination]],FINI_grouping_for_wheel[[#This Row],[Subgroup]])</f>
        <v>2</v>
      </c>
    </row>
    <row r="354" spans="1:55" hidden="1">
      <c r="A354" t="s">
        <v>10</v>
      </c>
      <c r="B354">
        <v>4145975</v>
      </c>
      <c r="C354" t="s">
        <v>1526</v>
      </c>
      <c r="D354">
        <v>8631.30941955</v>
      </c>
      <c r="E354">
        <v>82</v>
      </c>
      <c r="F354">
        <v>1.64</v>
      </c>
      <c r="G354" t="s">
        <v>1561</v>
      </c>
      <c r="H354" t="s">
        <v>1562</v>
      </c>
      <c r="I354">
        <v>330</v>
      </c>
      <c r="J354" t="s">
        <v>90</v>
      </c>
      <c r="K354" t="s">
        <v>312</v>
      </c>
      <c r="L354" t="s">
        <v>313</v>
      </c>
      <c r="M354">
        <v>3633.404445</v>
      </c>
      <c r="N354">
        <v>14.53361778</v>
      </c>
      <c r="O354">
        <v>476673.30234</v>
      </c>
      <c r="P354">
        <v>701566.712235</v>
      </c>
      <c r="Q354">
        <v>7.6224206960271018E-3</v>
      </c>
      <c r="R354">
        <v>65.7914715534</v>
      </c>
      <c r="S354" t="s">
        <v>471</v>
      </c>
      <c r="T354" t="s">
        <v>93</v>
      </c>
      <c r="U354">
        <v>1</v>
      </c>
      <c r="V354" t="s">
        <v>315</v>
      </c>
      <c r="W354" t="s">
        <v>142</v>
      </c>
      <c r="X354" t="s">
        <v>150</v>
      </c>
      <c r="Y354" s="23" t="s">
        <v>151</v>
      </c>
      <c r="AA354">
        <v>594</v>
      </c>
      <c r="AB354" t="s">
        <v>1563</v>
      </c>
      <c r="AC354" t="s">
        <v>1532</v>
      </c>
      <c r="AD354" s="2">
        <v>3</v>
      </c>
      <c r="AE354" s="2" t="s">
        <v>70</v>
      </c>
      <c r="AF354" t="str">
        <f>_xlfn.CONCAT(FINI_grouping_for_wheel[[#This Row],[SEFI/Plant]],"/",IF(FINI_grouping_for_wheel[[#This Row],[RESET recipe combination]]&lt;&gt;"",FINI_grouping_for_wheel[[#This Row],[RESET recipe combination]],FINI_grouping_for_wheel[[#This Row],[Recipe Combination]]),"/",FINI_grouping_for_wheel[[#This Row],[Subgroup]])</f>
        <v>4145975/THDP/x/3</v>
      </c>
      <c r="AG3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0.37949795968838884</v>
      </c>
      <c r="AH354">
        <f>_xlfn.LET(_xlpm.pct, FINI_grouping_for_wheel[[#This Row],[% forecast within subgroup]], _xlpm.lote, FINI_grouping_for_wheel[[#This Row],[Lot size considered]], _xlpm.pct*_xlpm.lote)</f>
        <v>3275.564314158397</v>
      </c>
      <c r="AI354" cm="1">
        <f t="array" aca="1" ref="AI354" ca="1">IFERROR(INDIRECT("FINI_grouping_for_wheel[@["&amp;FINI_grouping_for_wheel[[#This Row],[Selected PV]]&amp;"]]"),"")</f>
        <v>196</v>
      </c>
      <c r="AJ35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10.2</v>
      </c>
      <c r="AL354" s="4"/>
      <c r="AM35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196</v>
      </c>
      <c r="AN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5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54" t="str">
        <f>_xlfn.CONCAT(FINI_grouping_for_wheel[[#This Row],[Recipe Combination]],FINI_grouping_for_wheel[[#This Row],[Subgroup]])</f>
        <v>3</v>
      </c>
    </row>
    <row r="355" spans="1:55" hidden="1">
      <c r="A355" t="s">
        <v>10</v>
      </c>
      <c r="B355">
        <v>4145975</v>
      </c>
      <c r="C355" t="s">
        <v>1526</v>
      </c>
      <c r="D355">
        <v>8631.30941955</v>
      </c>
      <c r="E355">
        <v>82</v>
      </c>
      <c r="F355">
        <v>1.64</v>
      </c>
      <c r="G355" t="s">
        <v>1564</v>
      </c>
      <c r="H355" t="s">
        <v>1565</v>
      </c>
      <c r="I355">
        <v>440</v>
      </c>
      <c r="J355" t="s">
        <v>90</v>
      </c>
      <c r="K355" t="s">
        <v>1566</v>
      </c>
      <c r="L355" t="s">
        <v>1567</v>
      </c>
      <c r="M355">
        <v>220881.15585</v>
      </c>
      <c r="N355">
        <v>883.5246234</v>
      </c>
      <c r="O355">
        <v>476673.30234</v>
      </c>
      <c r="P355">
        <v>701566.712235</v>
      </c>
      <c r="Q355">
        <v>0.46338058952680888</v>
      </c>
      <c r="R355">
        <v>3999.58124722</v>
      </c>
      <c r="S355" t="s">
        <v>471</v>
      </c>
      <c r="T355" t="s">
        <v>93</v>
      </c>
      <c r="U355">
        <v>10</v>
      </c>
      <c r="V355" t="s">
        <v>94</v>
      </c>
      <c r="W355" t="s">
        <v>95</v>
      </c>
      <c r="X355" t="s">
        <v>96</v>
      </c>
      <c r="Y355" s="23" t="s">
        <v>97</v>
      </c>
      <c r="AA355">
        <v>10</v>
      </c>
      <c r="AB355" t="s">
        <v>1568</v>
      </c>
      <c r="AC355" t="s">
        <v>1532</v>
      </c>
      <c r="AD355" s="2">
        <v>9</v>
      </c>
      <c r="AE355" s="2" t="s">
        <v>70</v>
      </c>
      <c r="AF355" t="str">
        <f>_xlfn.CONCAT(FINI_grouping_for_wheel[[#This Row],[SEFI/Plant]],"/",IF(FINI_grouping_for_wheel[[#This Row],[RESET recipe combination]]&lt;&gt;"",FINI_grouping_for_wheel[[#This Row],[RESET recipe combination]],FINI_grouping_for_wheel[[#This Row],[Recipe Combination]]),"/",FINI_grouping_for_wheel[[#This Row],[Subgroup]])</f>
        <v>4145975/THDP/x/9</v>
      </c>
      <c r="AG3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55">
        <f>_xlfn.LET(_xlpm.pct, FINI_grouping_for_wheel[[#This Row],[% forecast within subgroup]], _xlpm.lote, FINI_grouping_for_wheel[[#This Row],[Lot size considered]], _xlpm.pct*_xlpm.lote)</f>
        <v>8631.30941955</v>
      </c>
      <c r="AI355" cm="1">
        <f t="array" aca="1" ref="AI355" ca="1">IFERROR(INDIRECT("FINI_grouping_for_wheel[@["&amp;FINI_grouping_for_wheel[[#This Row],[Selected PV]]&amp;"]]"),"")</f>
        <v>9</v>
      </c>
      <c r="AJ35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20.1</v>
      </c>
      <c r="AL355" s="4"/>
      <c r="AM35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v>
      </c>
      <c r="AN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5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55" t="str">
        <f>_xlfn.CONCAT(FINI_grouping_for_wheel[[#This Row],[Recipe Combination]],FINI_grouping_for_wheel[[#This Row],[Subgroup]])</f>
        <v>9</v>
      </c>
    </row>
    <row r="356" spans="1:55" hidden="1">
      <c r="A356" t="s">
        <v>10</v>
      </c>
      <c r="B356">
        <v>4145975</v>
      </c>
      <c r="C356" t="s">
        <v>1526</v>
      </c>
      <c r="D356">
        <v>8631.30941955</v>
      </c>
      <c r="E356">
        <v>82</v>
      </c>
      <c r="F356">
        <v>1.64</v>
      </c>
      <c r="G356" t="s">
        <v>1569</v>
      </c>
      <c r="H356" t="s">
        <v>1570</v>
      </c>
      <c r="J356" t="s">
        <v>90</v>
      </c>
      <c r="K356" t="s">
        <v>1096</v>
      </c>
      <c r="L356" t="s">
        <v>1097</v>
      </c>
      <c r="M356">
        <v>11311.02837</v>
      </c>
      <c r="N356">
        <v>45.24411348</v>
      </c>
      <c r="O356">
        <v>476673.30234</v>
      </c>
      <c r="P356">
        <v>701566.712235</v>
      </c>
      <c r="Q356">
        <v>2.3729099814220569E-2</v>
      </c>
      <c r="R356">
        <v>204.813202744</v>
      </c>
      <c r="S356" t="s">
        <v>471</v>
      </c>
      <c r="T356" t="s">
        <v>93</v>
      </c>
      <c r="U356">
        <v>2.5</v>
      </c>
      <c r="V356" t="s">
        <v>267</v>
      </c>
      <c r="W356" t="s">
        <v>142</v>
      </c>
      <c r="X356" t="s">
        <v>150</v>
      </c>
      <c r="Y356" s="23" t="s">
        <v>151</v>
      </c>
      <c r="AA356">
        <v>191</v>
      </c>
      <c r="AB356" t="s">
        <v>1571</v>
      </c>
      <c r="AC356" t="s">
        <v>1532</v>
      </c>
      <c r="AD356" s="2">
        <v>5</v>
      </c>
      <c r="AE356" s="2" t="s">
        <v>70</v>
      </c>
      <c r="AF356" t="str">
        <f>_xlfn.CONCAT(FINI_grouping_for_wheel[[#This Row],[SEFI/Plant]],"/",IF(FINI_grouping_for_wheel[[#This Row],[RESET recipe combination]]&lt;&gt;"",FINI_grouping_for_wheel[[#This Row],[RESET recipe combination]],FINI_grouping_for_wheel[[#This Row],[Recipe Combination]]),"/",FINI_grouping_for_wheel[[#This Row],[Subgroup]])</f>
        <v>4145975/THDP/x/5</v>
      </c>
      <c r="AG3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0.8761922230374175</v>
      </c>
      <c r="AH356">
        <f>_xlfn.LET(_xlpm.pct, FINI_grouping_for_wheel[[#This Row],[% forecast within subgroup]], _xlpm.lote, FINI_grouping_for_wheel[[#This Row],[Lot size considered]], _xlpm.pct*_xlpm.lote)</f>
        <v>7562.686188039316</v>
      </c>
      <c r="AI356" cm="1">
        <f t="array" aca="1" ref="AI356" ca="1">IFERROR(INDIRECT("FINI_grouping_for_wheel[@["&amp;FINI_grouping_for_wheel[[#This Row],[Selected PV]]&amp;"]]"),"")</f>
        <v>146</v>
      </c>
      <c r="AJ35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5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56" s="4"/>
      <c r="AM35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146</v>
      </c>
      <c r="AN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5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56" t="str">
        <f>_xlfn.CONCAT(FINI_grouping_for_wheel[[#This Row],[Recipe Combination]],FINI_grouping_for_wheel[[#This Row],[Subgroup]])</f>
        <v>5</v>
      </c>
    </row>
    <row r="357" spans="1:55" hidden="1">
      <c r="A357" t="s">
        <v>10</v>
      </c>
      <c r="B357">
        <v>4145975</v>
      </c>
      <c r="C357" t="s">
        <v>1526</v>
      </c>
      <c r="D357">
        <v>8631.30941955</v>
      </c>
      <c r="E357">
        <v>82</v>
      </c>
      <c r="F357">
        <v>1.64</v>
      </c>
      <c r="G357" t="s">
        <v>1572</v>
      </c>
      <c r="H357" t="s">
        <v>1573</v>
      </c>
      <c r="I357">
        <v>440</v>
      </c>
      <c r="J357" t="s">
        <v>90</v>
      </c>
      <c r="K357" t="s">
        <v>617</v>
      </c>
      <c r="L357" t="s">
        <v>618</v>
      </c>
      <c r="M357">
        <v>3658.26645</v>
      </c>
      <c r="N357">
        <v>14.6330658</v>
      </c>
      <c r="O357">
        <v>476673.30234</v>
      </c>
      <c r="P357">
        <v>701566.712235</v>
      </c>
      <c r="Q357">
        <v>7.6745780223928788E-3</v>
      </c>
      <c r="R357">
        <v>66.2416575757</v>
      </c>
      <c r="S357" t="s">
        <v>471</v>
      </c>
      <c r="T357" t="s">
        <v>93</v>
      </c>
      <c r="U357">
        <v>10</v>
      </c>
      <c r="V357" t="s">
        <v>94</v>
      </c>
      <c r="W357" t="s">
        <v>142</v>
      </c>
      <c r="X357" t="s">
        <v>96</v>
      </c>
      <c r="Y357" s="23" t="s">
        <v>97</v>
      </c>
      <c r="AA357">
        <v>590</v>
      </c>
      <c r="AB357" t="s">
        <v>1574</v>
      </c>
      <c r="AC357" t="s">
        <v>1532</v>
      </c>
      <c r="AD357" s="2">
        <v>11</v>
      </c>
      <c r="AE357" s="2" t="s">
        <v>70</v>
      </c>
      <c r="AF357" t="str">
        <f>_xlfn.CONCAT(FINI_grouping_for_wheel[[#This Row],[SEFI/Plant]],"/",IF(FINI_grouping_for_wheel[[#This Row],[RESET recipe combination]]&lt;&gt;"",FINI_grouping_for_wheel[[#This Row],[RESET recipe combination]],FINI_grouping_for_wheel[[#This Row],[Recipe Combination]]),"/",FINI_grouping_for_wheel[[#This Row],[Subgroup]])</f>
        <v>4145975/THDP/x/11</v>
      </c>
      <c r="AG3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0.07618343195266272</v>
      </c>
      <c r="AH357">
        <f>_xlfn.LET(_xlpm.pct, FINI_grouping_for_wheel[[#This Row],[% forecast within subgroup]], _xlpm.lote, FINI_grouping_for_wheel[[#This Row],[Lot size considered]], _xlpm.pct*_xlpm.lote)</f>
        <v>657.5627738266642</v>
      </c>
      <c r="AI357" cm="1">
        <f t="array" aca="1" ref="AI357" ca="1">IFERROR(INDIRECT("FINI_grouping_for_wheel[@["&amp;FINI_grouping_for_wheel[[#This Row],[Selected PV]]&amp;"]]"),"")</f>
        <v>39</v>
      </c>
      <c r="AJ35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357" s="4"/>
      <c r="AM35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5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57" t="str">
        <f>_xlfn.CONCAT(FINI_grouping_for_wheel[[#This Row],[Recipe Combination]],FINI_grouping_for_wheel[[#This Row],[Subgroup]])</f>
        <v>11</v>
      </c>
    </row>
    <row r="358" spans="1:55" hidden="1">
      <c r="A358" t="s">
        <v>10</v>
      </c>
      <c r="B358">
        <v>4145975</v>
      </c>
      <c r="C358" t="s">
        <v>1526</v>
      </c>
      <c r="D358">
        <v>8631.30941955</v>
      </c>
      <c r="E358">
        <v>82</v>
      </c>
      <c r="F358">
        <v>1.64</v>
      </c>
      <c r="G358" t="s">
        <v>1575</v>
      </c>
      <c r="H358" t="s">
        <v>1576</v>
      </c>
      <c r="I358">
        <v>450</v>
      </c>
      <c r="J358" t="s">
        <v>90</v>
      </c>
      <c r="K358" t="s">
        <v>264</v>
      </c>
      <c r="L358" t="s">
        <v>265</v>
      </c>
      <c r="M358">
        <v>741.12453</v>
      </c>
      <c r="N358">
        <v>2.96449812</v>
      </c>
      <c r="O358">
        <v>476673.30234</v>
      </c>
      <c r="P358">
        <v>701566.712235</v>
      </c>
      <c r="Q358">
        <v>1.5547850621417288E-3</v>
      </c>
      <c r="R358">
        <v>13.4198309522</v>
      </c>
      <c r="S358" t="s">
        <v>471</v>
      </c>
      <c r="T358" t="s">
        <v>93</v>
      </c>
      <c r="U358">
        <v>2.5</v>
      </c>
      <c r="V358" t="s">
        <v>267</v>
      </c>
      <c r="W358" t="s">
        <v>142</v>
      </c>
      <c r="X358" t="s">
        <v>150</v>
      </c>
      <c r="Y358" s="23" t="s">
        <v>151</v>
      </c>
      <c r="AA358">
        <v>2912</v>
      </c>
      <c r="AB358" t="s">
        <v>1577</v>
      </c>
      <c r="AC358" t="s">
        <v>1532</v>
      </c>
      <c r="AD358" s="2">
        <v>5</v>
      </c>
      <c r="AE358" s="2" t="s">
        <v>70</v>
      </c>
      <c r="AF358" t="str">
        <f>_xlfn.CONCAT(FINI_grouping_for_wheel[[#This Row],[SEFI/Plant]],"/",IF(FINI_grouping_for_wheel[[#This Row],[RESET recipe combination]]&lt;&gt;"",FINI_grouping_for_wheel[[#This Row],[RESET recipe combination]],FINI_grouping_for_wheel[[#This Row],[Recipe Combination]]),"/",FINI_grouping_for_wheel[[#This Row],[Subgroup]])</f>
        <v>4145975/THDP/x/5</v>
      </c>
      <c r="AG3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0.057410124724871614</v>
      </c>
      <c r="AH358">
        <f>_xlfn.LET(_xlpm.pct, FINI_grouping_for_wheel[[#This Row],[% forecast within subgroup]], _xlpm.lote, FINI_grouping_for_wheel[[#This Row],[Lot size considered]], _xlpm.pct*_xlpm.lote)</f>
        <v>495.5245503153247</v>
      </c>
      <c r="AI358" cm="1">
        <f t="array" aca="1" ref="AI358" ca="1">IFERROR(INDIRECT("FINI_grouping_for_wheel[@["&amp;FINI_grouping_for_wheel[[#This Row],[Selected PV]]&amp;"]]"),"")</f>
        <v>146</v>
      </c>
      <c r="AJ35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v>
      </c>
      <c r="AL358" s="4"/>
      <c r="AM35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146</v>
      </c>
      <c r="AN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5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58" t="str">
        <f>_xlfn.CONCAT(FINI_grouping_for_wheel[[#This Row],[Recipe Combination]],FINI_grouping_for_wheel[[#This Row],[Subgroup]])</f>
        <v>5</v>
      </c>
    </row>
    <row r="359" spans="1:55" hidden="1">
      <c r="A359" t="s">
        <v>10</v>
      </c>
      <c r="B359">
        <v>4145975</v>
      </c>
      <c r="C359" t="s">
        <v>1526</v>
      </c>
      <c r="D359">
        <v>8631.30941955</v>
      </c>
      <c r="E359">
        <v>82</v>
      </c>
      <c r="F359">
        <v>1.64</v>
      </c>
      <c r="G359" t="s">
        <v>1578</v>
      </c>
      <c r="H359" t="s">
        <v>1579</v>
      </c>
      <c r="I359">
        <v>570</v>
      </c>
      <c r="J359" t="s">
        <v>90</v>
      </c>
      <c r="K359" t="s">
        <v>860</v>
      </c>
      <c r="L359" t="s">
        <v>861</v>
      </c>
      <c r="M359">
        <v>17595.19611</v>
      </c>
      <c r="N359">
        <v>70.38078444</v>
      </c>
      <c r="O359">
        <v>476673.30234</v>
      </c>
      <c r="P359">
        <v>701566.712235</v>
      </c>
      <c r="Q359">
        <v>3.691248497372264E-2</v>
      </c>
      <c r="R359">
        <v>318.603079253</v>
      </c>
      <c r="S359" t="s">
        <v>471</v>
      </c>
      <c r="T359" t="s">
        <v>93</v>
      </c>
      <c r="U359">
        <v>2.5</v>
      </c>
      <c r="V359" t="s">
        <v>862</v>
      </c>
      <c r="W359" t="s">
        <v>142</v>
      </c>
      <c r="X359" t="s">
        <v>150</v>
      </c>
      <c r="Y359" s="23" t="s">
        <v>151</v>
      </c>
      <c r="AA359">
        <v>123</v>
      </c>
      <c r="AB359" t="s">
        <v>1580</v>
      </c>
      <c r="AC359" t="s">
        <v>1532</v>
      </c>
      <c r="AD359" s="2">
        <v>4</v>
      </c>
      <c r="AE359" s="2" t="s">
        <v>70</v>
      </c>
      <c r="AF359" t="str">
        <f>_xlfn.CONCAT(FINI_grouping_for_wheel[[#This Row],[SEFI/Plant]],"/",IF(FINI_grouping_for_wheel[[#This Row],[RESET recipe combination]]&lt;&gt;"",FINI_grouping_for_wheel[[#This Row],[RESET recipe combination]],FINI_grouping_for_wheel[[#This Row],[Recipe Combination]]),"/",FINI_grouping_for_wheel[[#This Row],[Subgroup]])</f>
        <v>4145975/THDP/x/4</v>
      </c>
      <c r="AG3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0.7920908170335235</v>
      </c>
      <c r="AH359">
        <f>_xlfn.LET(_xlpm.pct, FINI_grouping_for_wheel[[#This Row],[% forecast within subgroup]], _xlpm.lote, FINI_grouping_for_wheel[[#This Row],[Lot size considered]], _xlpm.pct*_xlpm.lote)</f>
        <v>6836.780930200506</v>
      </c>
      <c r="AI359" cm="1">
        <f t="array" aca="1" ref="AI359" ca="1">IFERROR(INDIRECT("FINI_grouping_for_wheel[@["&amp;FINI_grouping_for_wheel[[#This Row],[Selected PV]]&amp;"]]"),"")</f>
        <v>85</v>
      </c>
      <c r="AJ35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12.3</v>
      </c>
      <c r="AL359" s="4"/>
      <c r="AM35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85</v>
      </c>
      <c r="AN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5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59" t="str">
        <f>_xlfn.CONCAT(FINI_grouping_for_wheel[[#This Row],[Recipe Combination]],FINI_grouping_for_wheel[[#This Row],[Subgroup]])</f>
        <v>4</v>
      </c>
    </row>
    <row r="360" spans="1:55" hidden="1">
      <c r="A360" t="s">
        <v>10</v>
      </c>
      <c r="B360">
        <v>4145975</v>
      </c>
      <c r="C360" t="s">
        <v>1526</v>
      </c>
      <c r="D360">
        <v>8631.30941955</v>
      </c>
      <c r="E360">
        <v>82</v>
      </c>
      <c r="F360">
        <v>1.64</v>
      </c>
      <c r="G360" t="s">
        <v>1581</v>
      </c>
      <c r="H360" t="s">
        <v>1582</v>
      </c>
      <c r="I360">
        <v>462</v>
      </c>
      <c r="J360" t="s">
        <v>90</v>
      </c>
      <c r="K360" t="s">
        <v>312</v>
      </c>
      <c r="L360" t="s">
        <v>313</v>
      </c>
      <c r="M360">
        <v>3847.69125</v>
      </c>
      <c r="N360">
        <v>15.390765</v>
      </c>
      <c r="O360">
        <v>476673.30234</v>
      </c>
      <c r="P360">
        <v>701566.712235</v>
      </c>
      <c r="Q360">
        <v>8.0719671756559405E-3</v>
      </c>
      <c r="R360">
        <v>69.6716463175</v>
      </c>
      <c r="S360" t="s">
        <v>471</v>
      </c>
      <c r="T360" t="s">
        <v>93</v>
      </c>
      <c r="U360">
        <v>1</v>
      </c>
      <c r="V360" t="s">
        <v>315</v>
      </c>
      <c r="W360" t="s">
        <v>142</v>
      </c>
      <c r="X360" t="s">
        <v>150</v>
      </c>
      <c r="Y360" s="23" t="s">
        <v>151</v>
      </c>
      <c r="AA360">
        <v>561</v>
      </c>
      <c r="AB360" t="s">
        <v>1583</v>
      </c>
      <c r="AC360" t="s">
        <v>1532</v>
      </c>
      <c r="AD360" s="2">
        <v>3</v>
      </c>
      <c r="AE360" s="2" t="s">
        <v>70</v>
      </c>
      <c r="AF360" t="str">
        <f>_xlfn.CONCAT(FINI_grouping_for_wheel[[#This Row],[SEFI/Plant]],"/",IF(FINI_grouping_for_wheel[[#This Row],[RESET recipe combination]]&lt;&gt;"",FINI_grouping_for_wheel[[#This Row],[RESET recipe combination]],FINI_grouping_for_wheel[[#This Row],[Recipe Combination]]),"/",FINI_grouping_for_wheel[[#This Row],[Subgroup]])</f>
        <v>4145975/THDP/x/3</v>
      </c>
      <c r="AG3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0.401879559787313</v>
      </c>
      <c r="AH360">
        <f>_xlfn.LET(_xlpm.pct, FINI_grouping_for_wheel[[#This Row],[% forecast within subgroup]], _xlpm.lote, FINI_grouping_for_wheel[[#This Row],[Lot size considered]], _xlpm.pct*_xlpm.lote)</f>
        <v>3468.7468299168418</v>
      </c>
      <c r="AI360" cm="1">
        <f t="array" aca="1" ref="AI360" ca="1">IFERROR(INDIRECT("FINI_grouping_for_wheel[@["&amp;FINI_grouping_for_wheel[[#This Row],[Selected PV]]&amp;"]]"),"")</f>
        <v>196</v>
      </c>
      <c r="AJ36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7.7</v>
      </c>
      <c r="AL360" s="4"/>
      <c r="AM36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196</v>
      </c>
      <c r="AN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6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60" t="str">
        <f>_xlfn.CONCAT(FINI_grouping_for_wheel[[#This Row],[Recipe Combination]],FINI_grouping_for_wheel[[#This Row],[Subgroup]])</f>
        <v>3</v>
      </c>
    </row>
    <row r="361" spans="1:55" hidden="1">
      <c r="A361" t="s">
        <v>10</v>
      </c>
      <c r="B361">
        <v>4145975</v>
      </c>
      <c r="C361" t="s">
        <v>1526</v>
      </c>
      <c r="D361">
        <v>8631.30941955</v>
      </c>
      <c r="E361">
        <v>82</v>
      </c>
      <c r="F361">
        <v>1.64</v>
      </c>
      <c r="G361" t="s">
        <v>1584</v>
      </c>
      <c r="H361" t="s">
        <v>1585</v>
      </c>
      <c r="J361" t="s">
        <v>90</v>
      </c>
      <c r="K361" t="s">
        <v>1586</v>
      </c>
      <c r="L361" t="s">
        <v>1587</v>
      </c>
      <c r="M361">
        <v>18670.18185</v>
      </c>
      <c r="N361">
        <v>74.6807274</v>
      </c>
      <c r="O361">
        <v>476673.30234</v>
      </c>
      <c r="P361">
        <v>701566.712235</v>
      </c>
      <c r="Q361">
        <v>3.9167668418490516E-2</v>
      </c>
      <c r="R361">
        <v>338.068265362</v>
      </c>
      <c r="S361" t="s">
        <v>471</v>
      </c>
      <c r="T361" t="s">
        <v>93</v>
      </c>
      <c r="U361">
        <v>5</v>
      </c>
      <c r="V361" t="s">
        <v>119</v>
      </c>
      <c r="W361" t="s">
        <v>95</v>
      </c>
      <c r="X361" t="s">
        <v>96</v>
      </c>
      <c r="Y361" s="23" t="s">
        <v>120</v>
      </c>
      <c r="AA361">
        <v>116</v>
      </c>
      <c r="AB361" t="s">
        <v>1588</v>
      </c>
      <c r="AC361" t="s">
        <v>1532</v>
      </c>
      <c r="AD361" s="2">
        <v>16</v>
      </c>
      <c r="AE361" s="2" t="s">
        <v>70</v>
      </c>
      <c r="AF361" t="str">
        <f>_xlfn.CONCAT(FINI_grouping_for_wheel[[#This Row],[SEFI/Plant]],"/",IF(FINI_grouping_for_wheel[[#This Row],[RESET recipe combination]]&lt;&gt;"",FINI_grouping_for_wheel[[#This Row],[RESET recipe combination]],FINI_grouping_for_wheel[[#This Row],[Recipe Combination]]),"/",FINI_grouping_for_wheel[[#This Row],[Subgroup]])</f>
        <v>4145975/THDP/x/16</v>
      </c>
      <c r="AG3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0.8944980147475893</v>
      </c>
      <c r="AH361">
        <f>_xlfn.LET(_xlpm.pct, FINI_grouping_for_wheel[[#This Row],[% forecast within subgroup]], _xlpm.lote, FINI_grouping_for_wheel[[#This Row],[Lot size considered]], _xlpm.pct*_xlpm.lote)</f>
        <v>7720.689140459642</v>
      </c>
      <c r="AI361" cm="1">
        <f t="array" aca="1" ref="AI361" ca="1">IFERROR(INDIRECT("FINI_grouping_for_wheel[@["&amp;FINI_grouping_for_wheel[[#This Row],[Selected PV]]&amp;"]]"),"")</f>
        <v>90</v>
      </c>
      <c r="AJ36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6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61" s="4"/>
      <c r="AM36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90</v>
      </c>
      <c r="AN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6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61" t="str">
        <f>_xlfn.CONCAT(FINI_grouping_for_wheel[[#This Row],[Recipe Combination]],FINI_grouping_for_wheel[[#This Row],[Subgroup]])</f>
        <v>16</v>
      </c>
    </row>
    <row r="362" spans="1:55" hidden="1">
      <c r="A362" t="s">
        <v>10</v>
      </c>
      <c r="B362">
        <v>4145975</v>
      </c>
      <c r="C362" t="s">
        <v>1526</v>
      </c>
      <c r="D362">
        <v>8631.30941955</v>
      </c>
      <c r="E362">
        <v>82</v>
      </c>
      <c r="F362">
        <v>1.64</v>
      </c>
      <c r="G362" t="s">
        <v>1589</v>
      </c>
      <c r="H362" t="s">
        <v>1590</v>
      </c>
      <c r="I362">
        <v>432</v>
      </c>
      <c r="J362" t="s">
        <v>90</v>
      </c>
      <c r="K362" t="s">
        <v>608</v>
      </c>
      <c r="L362" t="s">
        <v>609</v>
      </c>
      <c r="M362">
        <v>9602.653455</v>
      </c>
      <c r="N362">
        <v>38.41061382</v>
      </c>
      <c r="O362">
        <v>476673.30234</v>
      </c>
      <c r="P362">
        <v>701566.712235</v>
      </c>
      <c r="Q362">
        <v>2.0145146388229333E-2</v>
      </c>
      <c r="R362">
        <v>173.878991779</v>
      </c>
      <c r="S362" t="s">
        <v>471</v>
      </c>
      <c r="T362" t="s">
        <v>93</v>
      </c>
      <c r="U362">
        <v>0.75</v>
      </c>
      <c r="V362" t="s">
        <v>610</v>
      </c>
      <c r="W362" t="s">
        <v>142</v>
      </c>
      <c r="X362" t="s">
        <v>150</v>
      </c>
      <c r="Y362" s="23" t="s">
        <v>151</v>
      </c>
      <c r="AA362">
        <v>225</v>
      </c>
      <c r="AB362" t="s">
        <v>1591</v>
      </c>
      <c r="AC362" t="s">
        <v>1532</v>
      </c>
      <c r="AD362" s="2">
        <v>1</v>
      </c>
      <c r="AE362" s="2" t="s">
        <v>70</v>
      </c>
      <c r="AF362" t="str">
        <f>_xlfn.CONCAT(FINI_grouping_for_wheel[[#This Row],[SEFI/Plant]],"/",IF(FINI_grouping_for_wheel[[#This Row],[RESET recipe combination]]&lt;&gt;"",FINI_grouping_for_wheel[[#This Row],[RESET recipe combination]],FINI_grouping_for_wheel[[#This Row],[Recipe Combination]]),"/",FINI_grouping_for_wheel[[#This Row],[Subgroup]])</f>
        <v>4145975/THDP/x/1</v>
      </c>
      <c r="AG3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0.3673127434109229</v>
      </c>
      <c r="AH362">
        <f>_xlfn.LET(_xlpm.pct, FINI_grouping_for_wheel[[#This Row],[% forecast within subgroup]], _xlpm.lote, FINI_grouping_for_wheel[[#This Row],[Lot size considered]], _xlpm.pct*_xlpm.lote)</f>
        <v>3170.389942123451</v>
      </c>
      <c r="AI362" cm="1">
        <f t="array" aca="1" ref="AI362" ca="1">IFERROR(INDIRECT("FINI_grouping_for_wheel[@["&amp;FINI_grouping_for_wheel[[#This Row],[Selected PV]]&amp;"]]"),"")</f>
        <v>72</v>
      </c>
      <c r="AJ36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7.5</v>
      </c>
      <c r="AL362" s="4"/>
      <c r="AM36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v>
      </c>
      <c r="AN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6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62" t="str">
        <f>_xlfn.CONCAT(FINI_grouping_for_wheel[[#This Row],[Recipe Combination]],FINI_grouping_for_wheel[[#This Row],[Subgroup]])</f>
        <v>1</v>
      </c>
    </row>
    <row r="363" spans="1:55" hidden="1">
      <c r="A363" t="s">
        <v>10</v>
      </c>
      <c r="B363">
        <v>4145975</v>
      </c>
      <c r="C363" t="s">
        <v>1526</v>
      </c>
      <c r="D363">
        <v>8631.30941955</v>
      </c>
      <c r="E363">
        <v>82</v>
      </c>
      <c r="F363">
        <v>1.64</v>
      </c>
      <c r="G363" t="s">
        <v>1592</v>
      </c>
      <c r="H363" t="s">
        <v>1593</v>
      </c>
      <c r="J363" t="s">
        <v>90</v>
      </c>
      <c r="K363" t="s">
        <v>312</v>
      </c>
      <c r="L363" t="s">
        <v>313</v>
      </c>
      <c r="M363">
        <v>587.21688</v>
      </c>
      <c r="N363">
        <v>2.34886752</v>
      </c>
      <c r="O363">
        <v>476673.30234</v>
      </c>
      <c r="P363">
        <v>701566.712235</v>
      </c>
      <c r="Q363">
        <v>1.2319063751154912E-3</v>
      </c>
      <c r="R363">
        <v>10.6329650995</v>
      </c>
      <c r="S363" t="s">
        <v>471</v>
      </c>
      <c r="T363" t="s">
        <v>93</v>
      </c>
      <c r="U363">
        <v>1</v>
      </c>
      <c r="V363" t="s">
        <v>315</v>
      </c>
      <c r="W363" t="s">
        <v>142</v>
      </c>
      <c r="X363" t="s">
        <v>150</v>
      </c>
      <c r="Y363" s="23" t="s">
        <v>151</v>
      </c>
      <c r="AA363">
        <v>3675</v>
      </c>
      <c r="AB363" t="s">
        <v>1594</v>
      </c>
      <c r="AC363" t="s">
        <v>1532</v>
      </c>
      <c r="AD363" s="2">
        <v>2</v>
      </c>
      <c r="AE363" s="2" t="s">
        <v>70</v>
      </c>
      <c r="AF363" t="str">
        <f>_xlfn.CONCAT(FINI_grouping_for_wheel[[#This Row],[SEFI/Plant]],"/",IF(FINI_grouping_for_wheel[[#This Row],[RESET recipe combination]]&lt;&gt;"",FINI_grouping_for_wheel[[#This Row],[RESET recipe combination]],FINI_grouping_for_wheel[[#This Row],[Recipe Combination]]),"/",FINI_grouping_for_wheel[[#This Row],[Subgroup]])</f>
        <v>4145975/THDP/x/2</v>
      </c>
      <c r="AG3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0.07668521954236239</v>
      </c>
      <c r="AH363">
        <f>_xlfn.LET(_xlpm.pct, FINI_grouping_for_wheel[[#This Row],[% forecast within subgroup]], _xlpm.lote, FINI_grouping_for_wheel[[#This Row],[Lot size considered]], _xlpm.pct*_xlpm.lote)</f>
        <v>661.8938577762523</v>
      </c>
      <c r="AI363" cm="1">
        <f t="array" aca="1" ref="AI363" ca="1">IFERROR(INDIRECT("FINI_grouping_for_wheel[@["&amp;FINI_grouping_for_wheel[[#This Row],[Selected PV]]&amp;"]]"),"")</f>
        <v>245</v>
      </c>
      <c r="AJ36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6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63" s="4"/>
      <c r="AM36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245</v>
      </c>
      <c r="AN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6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63" t="str">
        <f>_xlfn.CONCAT(FINI_grouping_for_wheel[[#This Row],[Recipe Combination]],FINI_grouping_for_wheel[[#This Row],[Subgroup]])</f>
        <v>2</v>
      </c>
    </row>
    <row r="364" spans="1:55" hidden="1">
      <c r="A364" t="s">
        <v>10</v>
      </c>
      <c r="B364">
        <v>4145975</v>
      </c>
      <c r="C364" t="s">
        <v>1526</v>
      </c>
      <c r="D364">
        <v>8631.30941955</v>
      </c>
      <c r="E364">
        <v>82</v>
      </c>
      <c r="F364">
        <v>1.64</v>
      </c>
      <c r="G364" t="s">
        <v>1595</v>
      </c>
      <c r="H364" t="s">
        <v>1596</v>
      </c>
      <c r="I364">
        <v>440</v>
      </c>
      <c r="J364" t="s">
        <v>90</v>
      </c>
      <c r="K364" t="s">
        <v>617</v>
      </c>
      <c r="L364" t="s">
        <v>618</v>
      </c>
      <c r="M364">
        <v>41140.69875</v>
      </c>
      <c r="N364">
        <v>164.562795</v>
      </c>
      <c r="O364">
        <v>476673.30234</v>
      </c>
      <c r="P364">
        <v>701566.712235</v>
      </c>
      <c r="Q364">
        <v>8.6307956724321205E-2</v>
      </c>
      <c r="R364">
        <v>744.950679857</v>
      </c>
      <c r="S364" t="s">
        <v>471</v>
      </c>
      <c r="T364" t="s">
        <v>93</v>
      </c>
      <c r="U364">
        <v>10</v>
      </c>
      <c r="V364" t="s">
        <v>94</v>
      </c>
      <c r="W364" t="s">
        <v>142</v>
      </c>
      <c r="X364" t="s">
        <v>96</v>
      </c>
      <c r="Y364" s="23" t="s">
        <v>97</v>
      </c>
      <c r="AA364">
        <v>52</v>
      </c>
      <c r="AB364" t="s">
        <v>1597</v>
      </c>
      <c r="AC364" t="s">
        <v>1532</v>
      </c>
      <c r="AD364" s="2">
        <v>11</v>
      </c>
      <c r="AE364" s="2" t="s">
        <v>70</v>
      </c>
      <c r="AF364" t="str">
        <f>_xlfn.CONCAT(FINI_grouping_for_wheel[[#This Row],[SEFI/Plant]],"/",IF(FINI_grouping_for_wheel[[#This Row],[RESET recipe combination]]&lt;&gt;"",FINI_grouping_for_wheel[[#This Row],[RESET recipe combination]],FINI_grouping_for_wheel[[#This Row],[Recipe Combination]]),"/",FINI_grouping_for_wheel[[#This Row],[Subgroup]])</f>
        <v>4145975/THDP/x/11</v>
      </c>
      <c r="AG3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0.8567554240631163</v>
      </c>
      <c r="AH364">
        <f>_xlfn.LET(_xlpm.pct, FINI_grouping_for_wheel[[#This Row],[% forecast within subgroup]], _xlpm.lote, FINI_grouping_for_wheel[[#This Row],[Lot size considered]], _xlpm.pct*_xlpm.lote)</f>
        <v>7394.92116196653</v>
      </c>
      <c r="AI364" cm="1">
        <f t="array" aca="1" ref="AI364" ca="1">IFERROR(INDIRECT("FINI_grouping_for_wheel[@["&amp;FINI_grouping_for_wheel[[#This Row],[Selected PV]]&amp;"]]"),"")</f>
        <v>39</v>
      </c>
      <c r="AJ36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17.2</v>
      </c>
      <c r="AL364" s="4"/>
      <c r="AM36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6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64" t="str">
        <f>_xlfn.CONCAT(FINI_grouping_for_wheel[[#This Row],[Recipe Combination]],FINI_grouping_for_wheel[[#This Row],[Subgroup]])</f>
        <v>11</v>
      </c>
    </row>
    <row r="365" spans="1:55" hidden="1">
      <c r="A365" t="s">
        <v>10</v>
      </c>
      <c r="B365">
        <v>4145975</v>
      </c>
      <c r="C365" t="s">
        <v>1526</v>
      </c>
      <c r="D365">
        <v>8631.30941955</v>
      </c>
      <c r="E365">
        <v>82</v>
      </c>
      <c r="F365">
        <v>1.64</v>
      </c>
      <c r="G365" t="s">
        <v>1598</v>
      </c>
      <c r="H365" t="s">
        <v>1599</v>
      </c>
      <c r="I365">
        <v>440</v>
      </c>
      <c r="J365" t="s">
        <v>90</v>
      </c>
      <c r="K365" t="s">
        <v>385</v>
      </c>
      <c r="L365" t="s">
        <v>386</v>
      </c>
      <c r="M365">
        <v>5623.54875</v>
      </c>
      <c r="N365">
        <v>22.494195</v>
      </c>
      <c r="O365">
        <v>476673.30234</v>
      </c>
      <c r="P365">
        <v>701566.712235</v>
      </c>
      <c r="Q365">
        <v>1.1797490487497144E-2</v>
      </c>
      <c r="R365">
        <v>101.827790772</v>
      </c>
      <c r="S365" t="s">
        <v>471</v>
      </c>
      <c r="T365" t="s">
        <v>93</v>
      </c>
      <c r="U365">
        <v>10</v>
      </c>
      <c r="V365" t="s">
        <v>94</v>
      </c>
      <c r="W365" t="s">
        <v>95</v>
      </c>
      <c r="X365" t="s">
        <v>96</v>
      </c>
      <c r="Y365" s="23" t="s">
        <v>97</v>
      </c>
      <c r="AA365">
        <v>384</v>
      </c>
      <c r="AB365" t="s">
        <v>1600</v>
      </c>
      <c r="AC365" t="s">
        <v>1532</v>
      </c>
      <c r="AD365" s="2">
        <v>10</v>
      </c>
      <c r="AE365" s="2" t="s">
        <v>70</v>
      </c>
      <c r="AF365" t="str">
        <f>_xlfn.CONCAT(FINI_grouping_for_wheel[[#This Row],[SEFI/Plant]],"/",IF(FINI_grouping_for_wheel[[#This Row],[RESET recipe combination]]&lt;&gt;"",FINI_grouping_for_wheel[[#This Row],[RESET recipe combination]],FINI_grouping_for_wheel[[#This Row],[Recipe Combination]]),"/",FINI_grouping_for_wheel[[#This Row],[Subgroup]])</f>
        <v>4145975/THDP/x/10</v>
      </c>
      <c r="AG3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0.07872058336095458</v>
      </c>
      <c r="AH365">
        <f>_xlfn.LET(_xlpm.pct, FINI_grouping_for_wheel[[#This Row],[% forecast within subgroup]], _xlpm.lote, FINI_grouping_for_wheel[[#This Row],[Lot size considered]], _xlpm.pct*_xlpm.lote)</f>
        <v>679.4617126758783</v>
      </c>
      <c r="AI365" cm="1">
        <f t="array" aca="1" ref="AI365" ca="1">IFERROR(INDIRECT("FINI_grouping_for_wheel[@["&amp;FINI_grouping_for_wheel[[#This Row],[Selected PV]]&amp;"]]"),"")</f>
        <v>26</v>
      </c>
      <c r="AJ36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v>
      </c>
      <c r="AL365" s="4"/>
      <c r="AM36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v>
      </c>
      <c r="AN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6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65" t="str">
        <f>_xlfn.CONCAT(FINI_grouping_for_wheel[[#This Row],[Recipe Combination]],FINI_grouping_for_wheel[[#This Row],[Subgroup]])</f>
        <v>10</v>
      </c>
    </row>
    <row r="366" spans="1:55" hidden="1">
      <c r="A366" t="s">
        <v>10</v>
      </c>
      <c r="B366">
        <v>4145975</v>
      </c>
      <c r="C366" t="s">
        <v>1526</v>
      </c>
      <c r="D366">
        <v>8631.30941955</v>
      </c>
      <c r="E366">
        <v>82</v>
      </c>
      <c r="F366">
        <v>1.64</v>
      </c>
      <c r="G366" t="s">
        <v>1601</v>
      </c>
      <c r="H366" t="s">
        <v>1602</v>
      </c>
      <c r="I366">
        <v>360</v>
      </c>
      <c r="J366" t="s">
        <v>90</v>
      </c>
      <c r="K366" t="s">
        <v>1603</v>
      </c>
      <c r="L366" t="s">
        <v>1604</v>
      </c>
      <c r="M366">
        <v>1278.6174</v>
      </c>
      <c r="N366">
        <v>5.1144696</v>
      </c>
      <c r="O366">
        <v>476673.30234</v>
      </c>
      <c r="P366">
        <v>701566.712235</v>
      </c>
      <c r="Q366">
        <v>2.6823767845256664E-3</v>
      </c>
      <c r="R366">
        <v>23.1524240071</v>
      </c>
      <c r="S366" t="s">
        <v>471</v>
      </c>
      <c r="T366" t="s">
        <v>93</v>
      </c>
      <c r="U366">
        <v>10</v>
      </c>
      <c r="V366" t="s">
        <v>158</v>
      </c>
      <c r="W366" t="s">
        <v>142</v>
      </c>
      <c r="X366" t="s">
        <v>96</v>
      </c>
      <c r="Y366" s="23" t="s">
        <v>97</v>
      </c>
      <c r="AA366">
        <v>1688</v>
      </c>
      <c r="AB366" t="s">
        <v>1605</v>
      </c>
      <c r="AC366" t="s">
        <v>1532</v>
      </c>
      <c r="AD366" s="2">
        <v>12</v>
      </c>
      <c r="AE366" s="2" t="s">
        <v>70</v>
      </c>
      <c r="AF366" t="str">
        <f>_xlfn.CONCAT(FINI_grouping_for_wheel[[#This Row],[SEFI/Plant]],"/",IF(FINI_grouping_for_wheel[[#This Row],[RESET recipe combination]]&lt;&gt;"",FINI_grouping_for_wheel[[#This Row],[RESET recipe combination]],FINI_grouping_for_wheel[[#This Row],[Recipe Combination]]),"/",FINI_grouping_for_wheel[[#This Row],[Subgroup]])</f>
        <v>4145975/THDP/x/12</v>
      </c>
      <c r="AG3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0.036734693877551024</v>
      </c>
      <c r="AH366">
        <f>_xlfn.LET(_xlpm.pct, FINI_grouping_for_wheel[[#This Row],[% forecast within subgroup]], _xlpm.lote, FINI_grouping_for_wheel[[#This Row],[Lot size considered]], _xlpm.pct*_xlpm.lote)</f>
        <v>317.0685092895919</v>
      </c>
      <c r="AI366" cm="1">
        <f t="array" aca="1" ref="AI366" ca="1">IFERROR(INDIRECT("FINI_grouping_for_wheel[@["&amp;FINI_grouping_for_wheel[[#This Row],[Selected PV]]&amp;"]]"),"")</f>
        <v>54</v>
      </c>
      <c r="AJ36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0.9</v>
      </c>
      <c r="AL366" s="4"/>
      <c r="AM36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54</v>
      </c>
      <c r="AN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6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66" t="str">
        <f>_xlfn.CONCAT(FINI_grouping_for_wheel[[#This Row],[Recipe Combination]],FINI_grouping_for_wheel[[#This Row],[Subgroup]])</f>
        <v>12</v>
      </c>
    </row>
    <row r="367" spans="1:55" hidden="1">
      <c r="A367" t="s">
        <v>10</v>
      </c>
      <c r="B367">
        <v>4145975</v>
      </c>
      <c r="C367" t="s">
        <v>1526</v>
      </c>
      <c r="D367">
        <v>8631.30941955</v>
      </c>
      <c r="E367">
        <v>82</v>
      </c>
      <c r="F367">
        <v>1.64</v>
      </c>
      <c r="G367" t="s">
        <v>1606</v>
      </c>
      <c r="H367" t="s">
        <v>1607</v>
      </c>
      <c r="I367">
        <v>375</v>
      </c>
      <c r="J367" t="s">
        <v>90</v>
      </c>
      <c r="K367" t="s">
        <v>469</v>
      </c>
      <c r="L367" t="s">
        <v>470</v>
      </c>
      <c r="M367">
        <v>2409.246675</v>
      </c>
      <c r="N367">
        <v>9.6369867</v>
      </c>
      <c r="O367">
        <v>476673.30234</v>
      </c>
      <c r="P367">
        <v>701566.712235</v>
      </c>
      <c r="Q367">
        <v>5.0542932930645662E-3</v>
      </c>
      <c r="R367">
        <v>43.6251693096</v>
      </c>
      <c r="S367" t="s">
        <v>471</v>
      </c>
      <c r="T367" t="s">
        <v>93</v>
      </c>
      <c r="U367">
        <v>2.5</v>
      </c>
      <c r="V367" t="s">
        <v>472</v>
      </c>
      <c r="W367" t="s">
        <v>142</v>
      </c>
      <c r="X367" t="s">
        <v>150</v>
      </c>
      <c r="Y367" s="23" t="s">
        <v>151</v>
      </c>
      <c r="AA367">
        <v>896</v>
      </c>
      <c r="AB367" t="s">
        <v>1608</v>
      </c>
      <c r="AC367" t="s">
        <v>1532</v>
      </c>
      <c r="AD367" s="2">
        <v>8</v>
      </c>
      <c r="AE367" s="2" t="s">
        <v>70</v>
      </c>
      <c r="AF367" t="str">
        <f>_xlfn.CONCAT(FINI_grouping_for_wheel[[#This Row],[SEFI/Plant]],"/",IF(FINI_grouping_for_wheel[[#This Row],[RESET recipe combination]]&lt;&gt;"",FINI_grouping_for_wheel[[#This Row],[RESET recipe combination]],FINI_grouping_for_wheel[[#This Row],[Recipe Combination]]),"/",FINI_grouping_for_wheel[[#This Row],[Subgroup]])</f>
        <v>4145975/THDP/x/8</v>
      </c>
      <c r="AG3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0.1464977323446836</v>
      </c>
      <c r="AH367">
        <f>_xlfn.LET(_xlpm.pct, FINI_grouping_for_wheel[[#This Row],[% forecast within subgroup]], _xlpm.lote, FINI_grouping_for_wheel[[#This Row],[Lot size considered]], _xlpm.pct*_xlpm.lote)</f>
        <v>1264.4672571293822</v>
      </c>
      <c r="AI367" cm="1">
        <f t="array" aca="1" ref="AI367" ca="1">IFERROR(INDIRECT("FINI_grouping_for_wheel[@["&amp;FINI_grouping_for_wheel[[#This Row],[Selected PV]]&amp;"]]"),"")</f>
        <v>114</v>
      </c>
      <c r="AJ36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3.5</v>
      </c>
      <c r="AL367" s="4"/>
      <c r="AM36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114</v>
      </c>
      <c r="AN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6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67" t="str">
        <f>_xlfn.CONCAT(FINI_grouping_for_wheel[[#This Row],[Recipe Combination]],FINI_grouping_for_wheel[[#This Row],[Subgroup]])</f>
        <v>8</v>
      </c>
    </row>
    <row r="368" spans="1:55" hidden="1">
      <c r="A368" t="s">
        <v>10</v>
      </c>
      <c r="B368">
        <v>4145975</v>
      </c>
      <c r="C368" t="s">
        <v>1526</v>
      </c>
      <c r="D368">
        <v>8631.30941955</v>
      </c>
      <c r="E368">
        <v>82</v>
      </c>
      <c r="F368">
        <v>1.64</v>
      </c>
      <c r="G368" t="s">
        <v>1609</v>
      </c>
      <c r="H368" t="s">
        <v>1610</v>
      </c>
      <c r="I368">
        <v>375</v>
      </c>
      <c r="J368" t="s">
        <v>90</v>
      </c>
      <c r="K368" t="s">
        <v>1611</v>
      </c>
      <c r="L368" t="s">
        <v>1612</v>
      </c>
      <c r="M368">
        <v>9189.47061</v>
      </c>
      <c r="N368">
        <v>36.75788244</v>
      </c>
      <c r="O368">
        <v>476673.30234</v>
      </c>
      <c r="P368">
        <v>701566.712235</v>
      </c>
      <c r="Q368">
        <v>1.9278341297674279E-2</v>
      </c>
      <c r="R368">
        <v>166.397328836</v>
      </c>
      <c r="S368" t="s">
        <v>471</v>
      </c>
      <c r="T368" t="s">
        <v>93</v>
      </c>
      <c r="U368">
        <v>2.5</v>
      </c>
      <c r="V368" t="s">
        <v>1613</v>
      </c>
      <c r="W368" t="s">
        <v>142</v>
      </c>
      <c r="X368" t="s">
        <v>150</v>
      </c>
      <c r="Y368" s="23" t="s">
        <v>151</v>
      </c>
      <c r="AA368">
        <v>235</v>
      </c>
      <c r="AB368" t="s">
        <v>1614</v>
      </c>
      <c r="AC368" t="s">
        <v>1532</v>
      </c>
      <c r="AD368" s="2">
        <v>8</v>
      </c>
      <c r="AE368" s="2" t="s">
        <v>70</v>
      </c>
      <c r="AF368" t="str">
        <f>_xlfn.CONCAT(FINI_grouping_for_wheel[[#This Row],[SEFI/Plant]],"/",IF(FINI_grouping_for_wheel[[#This Row],[RESET recipe combination]]&lt;&gt;"",FINI_grouping_for_wheel[[#This Row],[RESET recipe combination]],FINI_grouping_for_wheel[[#This Row],[Recipe Combination]]),"/",FINI_grouping_for_wheel[[#This Row],[Subgroup]])</f>
        <v>4145975/THDP/x/8</v>
      </c>
      <c r="AG3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0.5587790655820315</v>
      </c>
      <c r="AH368">
        <f>_xlfn.LET(_xlpm.pct, FINI_grouping_for_wheel[[#This Row],[% forecast within subgroup]], _xlpm.lote, FINI_grouping_for_wheel[[#This Row],[Lot size considered]], _xlpm.pct*_xlpm.lote)</f>
        <v>4822.995012205535</v>
      </c>
      <c r="AI368" cm="1">
        <f t="array" aca="1" ref="AI368" ca="1">IFERROR(INDIRECT("FINI_grouping_for_wheel[@["&amp;FINI_grouping_for_wheel[[#This Row],[Selected PV]]&amp;"]]"),"")</f>
        <v>114</v>
      </c>
      <c r="AJ36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13.2</v>
      </c>
      <c r="AL368" s="4"/>
      <c r="AM36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114</v>
      </c>
      <c r="AN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6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68" t="str">
        <f>_xlfn.CONCAT(FINI_grouping_for_wheel[[#This Row],[Recipe Combination]],FINI_grouping_for_wheel[[#This Row],[Subgroup]])</f>
        <v>8</v>
      </c>
    </row>
    <row r="369" spans="1:55" hidden="1">
      <c r="A369" t="s">
        <v>10</v>
      </c>
      <c r="B369">
        <v>4145975</v>
      </c>
      <c r="C369" t="s">
        <v>1526</v>
      </c>
      <c r="D369">
        <v>8631.30941955</v>
      </c>
      <c r="E369">
        <v>82</v>
      </c>
      <c r="F369">
        <v>1.64</v>
      </c>
      <c r="G369" t="s">
        <v>1615</v>
      </c>
      <c r="H369" t="s">
        <v>1616</v>
      </c>
      <c r="I369">
        <v>570</v>
      </c>
      <c r="J369" t="s">
        <v>90</v>
      </c>
      <c r="K369" t="s">
        <v>860</v>
      </c>
      <c r="L369" t="s">
        <v>861</v>
      </c>
      <c r="M369">
        <v>4618.413405</v>
      </c>
      <c r="N369">
        <v>18.47365362</v>
      </c>
      <c r="O369">
        <v>476673.30234</v>
      </c>
      <c r="P369">
        <v>701566.712235</v>
      </c>
      <c r="Q369">
        <v>9.6888442929950226E-3</v>
      </c>
      <c r="R369">
        <v>83.6274130107</v>
      </c>
      <c r="S369" t="s">
        <v>471</v>
      </c>
      <c r="T369" t="s">
        <v>93</v>
      </c>
      <c r="U369">
        <v>2.5</v>
      </c>
      <c r="V369" t="s">
        <v>862</v>
      </c>
      <c r="W369" t="s">
        <v>142</v>
      </c>
      <c r="X369" t="s">
        <v>150</v>
      </c>
      <c r="Y369" s="23" t="s">
        <v>151</v>
      </c>
      <c r="AA369">
        <v>467</v>
      </c>
      <c r="AB369" t="s">
        <v>1617</v>
      </c>
      <c r="AC369" t="s">
        <v>1532</v>
      </c>
      <c r="AD369" s="2">
        <v>4</v>
      </c>
      <c r="AE369" s="2" t="s">
        <v>70</v>
      </c>
      <c r="AF369" t="str">
        <f>_xlfn.CONCAT(FINI_grouping_for_wheel[[#This Row],[SEFI/Plant]],"/",IF(FINI_grouping_for_wheel[[#This Row],[RESET recipe combination]]&lt;&gt;"",FINI_grouping_for_wheel[[#This Row],[RESET recipe combination]],FINI_grouping_for_wheel[[#This Row],[Recipe Combination]]),"/",FINI_grouping_for_wheel[[#This Row],[Subgroup]])</f>
        <v>4145975/THDP/x/4</v>
      </c>
      <c r="AG3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0.2079091829664766</v>
      </c>
      <c r="AH369">
        <f>_xlfn.LET(_xlpm.pct, FINI_grouping_for_wheel[[#This Row],[% forecast within subgroup]], _xlpm.lote, FINI_grouping_for_wheel[[#This Row],[Lot size considered]], _xlpm.pct*_xlpm.lote)</f>
        <v>1794.5284893494938</v>
      </c>
      <c r="AI369" cm="1">
        <f t="array" aca="1" ref="AI369" ca="1">IFERROR(INDIRECT("FINI_grouping_for_wheel[@["&amp;FINI_grouping_for_wheel[[#This Row],[Selected PV]]&amp;"]]"),"")</f>
        <v>85</v>
      </c>
      <c r="AJ36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3.2</v>
      </c>
      <c r="AL369" s="4"/>
      <c r="AM36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85</v>
      </c>
      <c r="AN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6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69" t="str">
        <f>_xlfn.CONCAT(FINI_grouping_for_wheel[[#This Row],[Recipe Combination]],FINI_grouping_for_wheel[[#This Row],[Subgroup]])</f>
        <v>4</v>
      </c>
    </row>
    <row r="370" spans="1:55" hidden="1">
      <c r="A370" t="s">
        <v>10</v>
      </c>
      <c r="B370">
        <v>4145975</v>
      </c>
      <c r="C370" t="s">
        <v>1526</v>
      </c>
      <c r="D370">
        <v>8631.30941955</v>
      </c>
      <c r="E370">
        <v>82</v>
      </c>
      <c r="F370">
        <v>1.64</v>
      </c>
      <c r="G370" t="s">
        <v>1618</v>
      </c>
      <c r="H370" t="s">
        <v>1619</v>
      </c>
      <c r="J370" t="s">
        <v>90</v>
      </c>
      <c r="K370" t="s">
        <v>1611</v>
      </c>
      <c r="L370" t="s">
        <v>1612</v>
      </c>
      <c r="M370">
        <v>4669.32132</v>
      </c>
      <c r="N370">
        <v>18.67728528</v>
      </c>
      <c r="O370">
        <v>476673.30234</v>
      </c>
      <c r="P370">
        <v>701566.712235</v>
      </c>
      <c r="Q370">
        <v>9.7956426279344703E-3</v>
      </c>
      <c r="R370">
        <v>84.549222485</v>
      </c>
      <c r="S370" t="s">
        <v>471</v>
      </c>
      <c r="T370" t="s">
        <v>93</v>
      </c>
      <c r="U370">
        <v>2.5</v>
      </c>
      <c r="V370" t="s">
        <v>1613</v>
      </c>
      <c r="W370" t="s">
        <v>142</v>
      </c>
      <c r="X370" t="s">
        <v>150</v>
      </c>
      <c r="Y370" s="23" t="s">
        <v>151</v>
      </c>
      <c r="AA370">
        <v>462</v>
      </c>
      <c r="AB370" t="s">
        <v>1620</v>
      </c>
      <c r="AC370" t="s">
        <v>1532</v>
      </c>
      <c r="AD370" s="2">
        <v>8</v>
      </c>
      <c r="AE370" s="2" t="s">
        <v>70</v>
      </c>
      <c r="AF370" t="str">
        <f>_xlfn.CONCAT(FINI_grouping_for_wheel[[#This Row],[SEFI/Plant]],"/",IF(FINI_grouping_for_wheel[[#This Row],[RESET recipe combination]]&lt;&gt;"",FINI_grouping_for_wheel[[#This Row],[RESET recipe combination]],FINI_grouping_for_wheel[[#This Row],[Recipe Combination]]),"/",FINI_grouping_for_wheel[[#This Row],[Subgroup]])</f>
        <v>4145975/THDP/x/8</v>
      </c>
      <c r="AG3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0.2839248434237996</v>
      </c>
      <c r="AH370">
        <f>_xlfn.LET(_xlpm.pct, FINI_grouping_for_wheel[[#This Row],[% forecast within subgroup]], _xlpm.lote, FINI_grouping_for_wheel[[#This Row],[Lot size considered]], _xlpm.pct*_xlpm.lote)</f>
        <v>2450.6431754881</v>
      </c>
      <c r="AI370" cm="1">
        <f t="array" aca="1" ref="AI370" ca="1">IFERROR(INDIRECT("FINI_grouping_for_wheel[@["&amp;FINI_grouping_for_wheel[[#This Row],[Selected PV]]&amp;"]]"),"")</f>
        <v>114</v>
      </c>
      <c r="AJ37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7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70" s="4"/>
      <c r="AM37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114</v>
      </c>
      <c r="AN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7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70" t="str">
        <f>_xlfn.CONCAT(FINI_grouping_for_wheel[[#This Row],[Recipe Combination]],FINI_grouping_for_wheel[[#This Row],[Subgroup]])</f>
        <v>8</v>
      </c>
    </row>
    <row r="371" spans="1:55" hidden="1">
      <c r="A371" t="s">
        <v>10</v>
      </c>
      <c r="B371">
        <v>4145975</v>
      </c>
      <c r="C371" t="s">
        <v>1526</v>
      </c>
      <c r="D371">
        <v>8631.30941955</v>
      </c>
      <c r="E371">
        <v>82</v>
      </c>
      <c r="F371">
        <v>1.64</v>
      </c>
      <c r="G371" t="s">
        <v>1621</v>
      </c>
      <c r="H371" t="s">
        <v>1622</v>
      </c>
      <c r="I371">
        <v>450</v>
      </c>
      <c r="J371" t="s">
        <v>90</v>
      </c>
      <c r="K371" t="s">
        <v>264</v>
      </c>
      <c r="L371" t="s">
        <v>265</v>
      </c>
      <c r="M371">
        <v>2321.637705</v>
      </c>
      <c r="N371">
        <v>9.28655082</v>
      </c>
      <c r="O371">
        <v>476673.30234</v>
      </c>
      <c r="P371">
        <v>701566.712235</v>
      </c>
      <c r="Q371">
        <v>4.8705008096803998E-3</v>
      </c>
      <c r="R371">
        <v>42.0387995165</v>
      </c>
      <c r="S371" t="s">
        <v>471</v>
      </c>
      <c r="T371" t="s">
        <v>93</v>
      </c>
      <c r="U371">
        <v>2.5</v>
      </c>
      <c r="V371" t="s">
        <v>267</v>
      </c>
      <c r="W371" t="s">
        <v>142</v>
      </c>
      <c r="X371" t="s">
        <v>150</v>
      </c>
      <c r="Y371" s="23" t="s">
        <v>151</v>
      </c>
      <c r="AA371">
        <v>929</v>
      </c>
      <c r="AB371" t="s">
        <v>1623</v>
      </c>
      <c r="AC371" t="s">
        <v>1532</v>
      </c>
      <c r="AD371" s="2">
        <v>6</v>
      </c>
      <c r="AE371" s="2" t="s">
        <v>70</v>
      </c>
      <c r="AF371" t="str">
        <f>_xlfn.CONCAT(FINI_grouping_for_wheel[[#This Row],[SEFI/Plant]],"/",IF(FINI_grouping_for_wheel[[#This Row],[RESET recipe combination]]&lt;&gt;"",FINI_grouping_for_wheel[[#This Row],[RESET recipe combination]],FINI_grouping_for_wheel[[#This Row],[Recipe Combination]]),"/",FINI_grouping_for_wheel[[#This Row],[Subgroup]])</f>
        <v>4145975/THDP/x/6</v>
      </c>
      <c r="AG3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0.14197799015348972</v>
      </c>
      <c r="AH371">
        <f>_xlfn.LET(_xlpm.pct, FINI_grouping_for_wheel[[#This Row],[% forecast within subgroup]], _xlpm.lote, FINI_grouping_for_wheel[[#This Row],[Lot size considered]], _xlpm.pct*_xlpm.lote)</f>
        <v>1225.455963780593</v>
      </c>
      <c r="AI371" cm="1">
        <f t="array" aca="1" ref="AI371" ca="1">IFERROR(INDIRECT("FINI_grouping_for_wheel[@["&amp;FINI_grouping_for_wheel[[#This Row],[Selected PV]]&amp;"]]"),"")</f>
        <v>115</v>
      </c>
      <c r="AJ37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v>
      </c>
      <c r="AL371" s="4"/>
      <c r="AM37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115</v>
      </c>
      <c r="AN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7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71" t="str">
        <f>_xlfn.CONCAT(FINI_grouping_for_wheel[[#This Row],[Recipe Combination]],FINI_grouping_for_wheel[[#This Row],[Subgroup]])</f>
        <v>6</v>
      </c>
    </row>
    <row r="372" spans="1:55" hidden="1">
      <c r="A372" t="s">
        <v>10</v>
      </c>
      <c r="B372">
        <v>4145975</v>
      </c>
      <c r="C372" t="s">
        <v>1526</v>
      </c>
      <c r="D372">
        <v>8631.30941955</v>
      </c>
      <c r="E372">
        <v>82</v>
      </c>
      <c r="F372">
        <v>1.64</v>
      </c>
      <c r="G372" t="s">
        <v>1624</v>
      </c>
      <c r="H372" t="s">
        <v>1625</v>
      </c>
      <c r="I372">
        <v>483</v>
      </c>
      <c r="J372" t="s">
        <v>90</v>
      </c>
      <c r="K372" t="s">
        <v>1558</v>
      </c>
      <c r="L372" t="s">
        <v>1559</v>
      </c>
      <c r="M372">
        <v>4562.76987</v>
      </c>
      <c r="N372">
        <v>18.25107948</v>
      </c>
      <c r="O372">
        <v>476673.30234</v>
      </c>
      <c r="P372">
        <v>701566.712235</v>
      </c>
      <c r="Q372">
        <v>9.5721112292239986E-3</v>
      </c>
      <c r="R372">
        <v>82.6198538178</v>
      </c>
      <c r="S372" t="s">
        <v>471</v>
      </c>
      <c r="T372" t="s">
        <v>93</v>
      </c>
      <c r="U372">
        <v>1</v>
      </c>
      <c r="V372" t="s">
        <v>315</v>
      </c>
      <c r="W372" t="s">
        <v>142</v>
      </c>
      <c r="X372" t="s">
        <v>150</v>
      </c>
      <c r="Y372" s="23" t="s">
        <v>151</v>
      </c>
      <c r="AA372">
        <v>473</v>
      </c>
      <c r="AB372" t="s">
        <v>1626</v>
      </c>
      <c r="AC372" t="s">
        <v>1532</v>
      </c>
      <c r="AD372" s="2">
        <v>2</v>
      </c>
      <c r="AE372" s="2" t="s">
        <v>70</v>
      </c>
      <c r="AF372" t="str">
        <f>_xlfn.CONCAT(FINI_grouping_for_wheel[[#This Row],[SEFI/Plant]],"/",IF(FINI_grouping_for_wheel[[#This Row],[RESET recipe combination]]&lt;&gt;"",FINI_grouping_for_wheel[[#This Row],[RESET recipe combination]],FINI_grouping_for_wheel[[#This Row],[Recipe Combination]]),"/",FINI_grouping_for_wheel[[#This Row],[Subgroup]])</f>
        <v>4145975/THDP/x/2</v>
      </c>
      <c r="AG3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0.595856524427953</v>
      </c>
      <c r="AH372">
        <f>_xlfn.LET(_xlpm.pct, FINI_grouping_for_wheel[[#This Row],[% forecast within subgroup]], _xlpm.lote, FINI_grouping_for_wheel[[#This Row],[Lot size considered]], _xlpm.pct*_xlpm.lote)</f>
        <v>5143.022031995315</v>
      </c>
      <c r="AI372" cm="1">
        <f t="array" aca="1" ref="AI372" ca="1">IFERROR(INDIRECT("FINI_grouping_for_wheel[@["&amp;FINI_grouping_for_wheel[[#This Row],[Selected PV]]&amp;"]]"),"")</f>
        <v>245</v>
      </c>
      <c r="AJ37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10.9</v>
      </c>
      <c r="AL372" s="4"/>
      <c r="AM37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245</v>
      </c>
      <c r="AN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7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72" t="str">
        <f>_xlfn.CONCAT(FINI_grouping_for_wheel[[#This Row],[Recipe Combination]],FINI_grouping_for_wheel[[#This Row],[Subgroup]])</f>
        <v>2</v>
      </c>
    </row>
    <row r="373" spans="1:55" hidden="1">
      <c r="A373" t="s">
        <v>10</v>
      </c>
      <c r="B373">
        <v>4145975</v>
      </c>
      <c r="C373" t="s">
        <v>1526</v>
      </c>
      <c r="D373">
        <v>8631.30941955</v>
      </c>
      <c r="E373">
        <v>82</v>
      </c>
      <c r="F373">
        <v>1.64</v>
      </c>
      <c r="G373" t="s">
        <v>1627</v>
      </c>
      <c r="H373" t="s">
        <v>1628</v>
      </c>
      <c r="I373">
        <v>462</v>
      </c>
      <c r="J373" t="s">
        <v>90</v>
      </c>
      <c r="K373" t="s">
        <v>312</v>
      </c>
      <c r="L373" t="s">
        <v>313</v>
      </c>
      <c r="M373">
        <v>2093.14404</v>
      </c>
      <c r="N373">
        <v>8.37257616</v>
      </c>
      <c r="O373">
        <v>476673.30234</v>
      </c>
      <c r="P373">
        <v>701566.712235</v>
      </c>
      <c r="Q373">
        <v>4.3911501435568313E-3</v>
      </c>
      <c r="R373">
        <v>37.9013755967</v>
      </c>
      <c r="S373" t="s">
        <v>471</v>
      </c>
      <c r="T373" t="s">
        <v>93</v>
      </c>
      <c r="U373">
        <v>1</v>
      </c>
      <c r="V373" t="s">
        <v>315</v>
      </c>
      <c r="W373" t="s">
        <v>142</v>
      </c>
      <c r="X373" t="s">
        <v>150</v>
      </c>
      <c r="Y373" s="23" t="s">
        <v>151</v>
      </c>
      <c r="AA373">
        <v>1031</v>
      </c>
      <c r="AB373" t="s">
        <v>1629</v>
      </c>
      <c r="AC373" t="s">
        <v>1532</v>
      </c>
      <c r="AD373" s="2">
        <v>3</v>
      </c>
      <c r="AE373" s="2" t="s">
        <v>70</v>
      </c>
      <c r="AF373" t="str">
        <f>_xlfn.CONCAT(FINI_grouping_for_wheel[[#This Row],[SEFI/Plant]],"/",IF(FINI_grouping_for_wheel[[#This Row],[RESET recipe combination]]&lt;&gt;"",FINI_grouping_for_wheel[[#This Row],[RESET recipe combination]],FINI_grouping_for_wheel[[#This Row],[Recipe Combination]]),"/",FINI_grouping_for_wheel[[#This Row],[Subgroup]])</f>
        <v>4145975/THDP/x/3</v>
      </c>
      <c r="AG3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0.21862248052429828</v>
      </c>
      <c r="AH373">
        <f>_xlfn.LET(_xlpm.pct, FINI_grouping_for_wheel[[#This Row],[% forecast within subgroup]], _xlpm.lote, FINI_grouping_for_wheel[[#This Row],[Lot size considered]], _xlpm.pct*_xlpm.lote)</f>
        <v>1886.998275474762</v>
      </c>
      <c r="AI373" cm="1">
        <f t="array" aca="1" ref="AI373" ca="1">IFERROR(INDIRECT("FINI_grouping_for_wheel[@["&amp;FINI_grouping_for_wheel[[#This Row],[Selected PV]]&amp;"]]"),"")</f>
        <v>196</v>
      </c>
      <c r="AJ37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4.2</v>
      </c>
      <c r="AL373" s="4"/>
      <c r="AM37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196</v>
      </c>
      <c r="AN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7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73" t="str">
        <f>_xlfn.CONCAT(FINI_grouping_for_wheel[[#This Row],[Recipe Combination]],FINI_grouping_for_wheel[[#This Row],[Subgroup]])</f>
        <v>3</v>
      </c>
    </row>
    <row r="374" spans="1:55" hidden="1">
      <c r="A374" t="s">
        <v>10</v>
      </c>
      <c r="B374">
        <v>4145975</v>
      </c>
      <c r="C374" t="s">
        <v>1526</v>
      </c>
      <c r="D374">
        <v>8631.30941955</v>
      </c>
      <c r="E374">
        <v>82</v>
      </c>
      <c r="F374">
        <v>1.64</v>
      </c>
      <c r="G374" t="s">
        <v>1630</v>
      </c>
      <c r="H374" t="s">
        <v>1631</v>
      </c>
      <c r="J374" t="s">
        <v>90</v>
      </c>
      <c r="K374" t="s">
        <v>264</v>
      </c>
      <c r="L374" t="s">
        <v>265</v>
      </c>
      <c r="M374">
        <v>8852.057685</v>
      </c>
      <c r="N374">
        <v>35.40823074</v>
      </c>
      <c r="O374">
        <v>476673.30234</v>
      </c>
      <c r="P374">
        <v>701566.712235</v>
      </c>
      <c r="Q374">
        <v>1.8570491868424452E-2</v>
      </c>
      <c r="R374">
        <v>160.28766139</v>
      </c>
      <c r="S374" t="s">
        <v>471</v>
      </c>
      <c r="T374" t="s">
        <v>93</v>
      </c>
      <c r="U374">
        <v>2.5</v>
      </c>
      <c r="V374" t="s">
        <v>267</v>
      </c>
      <c r="W374" t="s">
        <v>142</v>
      </c>
      <c r="X374" t="s">
        <v>150</v>
      </c>
      <c r="Y374" s="23" t="s">
        <v>151</v>
      </c>
      <c r="AA374">
        <v>244</v>
      </c>
      <c r="AB374" t="s">
        <v>1632</v>
      </c>
      <c r="AC374" t="s">
        <v>1532</v>
      </c>
      <c r="AD374" s="2">
        <v>6</v>
      </c>
      <c r="AE374" s="2" t="s">
        <v>70</v>
      </c>
      <c r="AF374" t="str">
        <f>_xlfn.CONCAT(FINI_grouping_for_wheel[[#This Row],[SEFI/Plant]],"/",IF(FINI_grouping_for_wheel[[#This Row],[RESET recipe combination]]&lt;&gt;"",FINI_grouping_for_wheel[[#This Row],[RESET recipe combination]],FINI_grouping_for_wheel[[#This Row],[Recipe Combination]]),"/",FINI_grouping_for_wheel[[#This Row],[Subgroup]])</f>
        <v>4145975/THDP/x/6</v>
      </c>
      <c r="AG3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0.5413408630176658</v>
      </c>
      <c r="AH374">
        <f>_xlfn.LET(_xlpm.pct, FINI_grouping_for_wheel[[#This Row],[% forecast within subgroup]], _xlpm.lote, FINI_grouping_for_wheel[[#This Row],[Lot size considered]], _xlpm.pct*_xlpm.lote)</f>
        <v>4672.480490151705</v>
      </c>
      <c r="AI374" cm="1">
        <f t="array" aca="1" ref="AI374" ca="1">IFERROR(INDIRECT("FINI_grouping_for_wheel[@["&amp;FINI_grouping_for_wheel[[#This Row],[Selected PV]]&amp;"]]"),"")</f>
        <v>115</v>
      </c>
      <c r="AJ37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7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74" s="4"/>
      <c r="AM37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115</v>
      </c>
      <c r="AN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7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74" t="str">
        <f>_xlfn.CONCAT(FINI_grouping_for_wheel[[#This Row],[Recipe Combination]],FINI_grouping_for_wheel[[#This Row],[Subgroup]])</f>
        <v>6</v>
      </c>
    </row>
    <row r="375" spans="1:55" hidden="1">
      <c r="A375" t="s">
        <v>10</v>
      </c>
      <c r="B375">
        <v>4145975</v>
      </c>
      <c r="C375" t="s">
        <v>1526</v>
      </c>
      <c r="D375">
        <v>8631.30941955</v>
      </c>
      <c r="E375">
        <v>82</v>
      </c>
      <c r="F375">
        <v>1.64</v>
      </c>
      <c r="G375" t="s">
        <v>1633</v>
      </c>
      <c r="H375" t="s">
        <v>1634</v>
      </c>
      <c r="I375">
        <v>432</v>
      </c>
      <c r="J375" t="s">
        <v>90</v>
      </c>
      <c r="K375" t="s">
        <v>608</v>
      </c>
      <c r="L375" t="s">
        <v>609</v>
      </c>
      <c r="M375">
        <v>7690.64688</v>
      </c>
      <c r="N375">
        <v>30.76258752</v>
      </c>
      <c r="O375">
        <v>476673.30234</v>
      </c>
      <c r="P375">
        <v>701566.712235</v>
      </c>
      <c r="Q375">
        <v>1.6133999622480303E-2</v>
      </c>
      <c r="R375">
        <v>139.257542917</v>
      </c>
      <c r="S375" t="s">
        <v>471</v>
      </c>
      <c r="T375" t="s">
        <v>93</v>
      </c>
      <c r="U375">
        <v>0.75</v>
      </c>
      <c r="V375" t="s">
        <v>610</v>
      </c>
      <c r="W375" t="s">
        <v>142</v>
      </c>
      <c r="X375" t="s">
        <v>150</v>
      </c>
      <c r="Y375" s="23" t="s">
        <v>151</v>
      </c>
      <c r="AA375">
        <v>281</v>
      </c>
      <c r="AB375" t="s">
        <v>1635</v>
      </c>
      <c r="AC375" t="s">
        <v>1532</v>
      </c>
      <c r="AD375" s="2">
        <v>1</v>
      </c>
      <c r="AE375" s="2" t="s">
        <v>70</v>
      </c>
      <c r="AF375" t="str">
        <f>_xlfn.CONCAT(FINI_grouping_for_wheel[[#This Row],[SEFI/Plant]],"/",IF(FINI_grouping_for_wheel[[#This Row],[RESET recipe combination]]&lt;&gt;"",FINI_grouping_for_wheel[[#This Row],[RESET recipe combination]],FINI_grouping_for_wheel[[#This Row],[Recipe Combination]]),"/",FINI_grouping_for_wheel[[#This Row],[Subgroup]])</f>
        <v>4145975/THDP/x/1</v>
      </c>
      <c r="AG3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0.2941762521510733</v>
      </c>
      <c r="AH375">
        <f>_xlfn.LET(_xlpm.pct, FINI_grouping_for_wheel[[#This Row],[% forecast within subgroup]], _xlpm.lote, FINI_grouping_for_wheel[[#This Row],[Lot size considered]], _xlpm.pct*_xlpm.lote)</f>
        <v>2539.126256199475</v>
      </c>
      <c r="AI375" cm="1">
        <f t="array" aca="1" ref="AI375" ca="1">IFERROR(INDIRECT("FINI_grouping_for_wheel[@["&amp;FINI_grouping_for_wheel[[#This Row],[Selected PV]]&amp;"]]"),"")</f>
        <v>72</v>
      </c>
      <c r="AJ37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v>
      </c>
      <c r="AL375" s="4"/>
      <c r="AM37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v>
      </c>
      <c r="AN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7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75" t="str">
        <f>_xlfn.CONCAT(FINI_grouping_for_wheel[[#This Row],[Recipe Combination]],FINI_grouping_for_wheel[[#This Row],[Subgroup]])</f>
        <v>1</v>
      </c>
    </row>
    <row r="376" spans="1:55" hidden="1">
      <c r="A376" t="s">
        <v>10</v>
      </c>
      <c r="B376">
        <v>4145975</v>
      </c>
      <c r="C376" t="s">
        <v>1526</v>
      </c>
      <c r="D376">
        <v>8631.30941955</v>
      </c>
      <c r="E376">
        <v>82</v>
      </c>
      <c r="F376">
        <v>1.64</v>
      </c>
      <c r="G376" t="s">
        <v>1636</v>
      </c>
      <c r="H376" t="s">
        <v>1637</v>
      </c>
      <c r="I376">
        <v>480</v>
      </c>
      <c r="J376" t="s">
        <v>90</v>
      </c>
      <c r="K376" t="s">
        <v>515</v>
      </c>
      <c r="L376" t="s">
        <v>516</v>
      </c>
      <c r="M376">
        <v>71.0343</v>
      </c>
      <c r="N376">
        <v>0.2841372</v>
      </c>
      <c r="O376">
        <v>5296.79097</v>
      </c>
      <c r="P376">
        <v>701566.712235</v>
      </c>
      <c r="Q376">
        <v>1.3410818059901655E-2</v>
      </c>
      <c r="R376">
        <v>115.752920244</v>
      </c>
      <c r="S376" t="s">
        <v>1133</v>
      </c>
      <c r="T376" t="s">
        <v>93</v>
      </c>
      <c r="U376">
        <v>5</v>
      </c>
      <c r="V376" t="s">
        <v>518</v>
      </c>
      <c r="W376" t="s">
        <v>142</v>
      </c>
      <c r="X376" t="s">
        <v>150</v>
      </c>
      <c r="Y376" s="23" t="s">
        <v>151</v>
      </c>
      <c r="AA376">
        <v>30377</v>
      </c>
      <c r="AB376" t="s">
        <v>1638</v>
      </c>
      <c r="AC376" t="s">
        <v>1532</v>
      </c>
      <c r="AD376" s="2">
        <v>8</v>
      </c>
      <c r="AE376" s="2" t="s">
        <v>70</v>
      </c>
      <c r="AF376" t="str">
        <f>_xlfn.CONCAT(FINI_grouping_for_wheel[[#This Row],[SEFI/Plant]],"/",IF(FINI_grouping_for_wheel[[#This Row],[RESET recipe combination]]&lt;&gt;"",FINI_grouping_for_wheel[[#This Row],[RESET recipe combination]],FINI_grouping_for_wheel[[#This Row],[Recipe Combination]]),"/",FINI_grouping_for_wheel[[#This Row],[Subgroup]])</f>
        <v>4145975/THDP/x/8</v>
      </c>
      <c r="AG3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0.004319343459794111</v>
      </c>
      <c r="AH376">
        <f>_xlfn.LET(_xlpm.pct, FINI_grouping_for_wheel[[#This Row],[% forecast within subgroup]], _xlpm.lote, FINI_grouping_for_wheel[[#This Row],[Lot size considered]], _xlpm.pct*_xlpm.lote)</f>
        <v>37.2815898907926</v>
      </c>
      <c r="AI376" cm="1">
        <f t="array" aca="1" ref="AI376" ca="1">IFERROR(INDIRECT("FINI_grouping_for_wheel[@["&amp;FINI_grouping_for_wheel[[#This Row],[Selected PV]]&amp;"]]"),"")</f>
        <v>114</v>
      </c>
      <c r="AJ37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376" s="4"/>
      <c r="AM37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114</v>
      </c>
      <c r="AN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7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76" t="str">
        <f>_xlfn.CONCAT(FINI_grouping_for_wheel[[#This Row],[Recipe Combination]],FINI_grouping_for_wheel[[#This Row],[Subgroup]])</f>
        <v>38</v>
      </c>
    </row>
    <row r="377" spans="1:55" hidden="1">
      <c r="A377" t="s">
        <v>10</v>
      </c>
      <c r="B377">
        <v>4145975</v>
      </c>
      <c r="C377" t="s">
        <v>1526</v>
      </c>
      <c r="D377">
        <v>8631.30941955</v>
      </c>
      <c r="E377">
        <v>82</v>
      </c>
      <c r="F377">
        <v>1.64</v>
      </c>
      <c r="G377" t="s">
        <v>1639</v>
      </c>
      <c r="H377" t="s">
        <v>1640</v>
      </c>
      <c r="I377">
        <v>350</v>
      </c>
      <c r="J377" t="s">
        <v>90</v>
      </c>
      <c r="K377" t="s">
        <v>140</v>
      </c>
      <c r="L377" t="s">
        <v>141</v>
      </c>
      <c r="M377">
        <v>1710.742725</v>
      </c>
      <c r="N377">
        <v>6.8429709</v>
      </c>
      <c r="O377">
        <v>5296.79097</v>
      </c>
      <c r="P377">
        <v>701566.712235</v>
      </c>
      <c r="Q377">
        <v>0.32297720160929816</v>
      </c>
      <c r="R377">
        <v>2787.71616255</v>
      </c>
      <c r="S377" t="s">
        <v>1133</v>
      </c>
      <c r="T377" t="s">
        <v>93</v>
      </c>
      <c r="U377">
        <v>5</v>
      </c>
      <c r="V377" t="s">
        <v>135</v>
      </c>
      <c r="W377" t="s">
        <v>142</v>
      </c>
      <c r="X377" t="s">
        <v>128</v>
      </c>
      <c r="Y377" s="23" t="s">
        <v>136</v>
      </c>
      <c r="AA377">
        <v>1261</v>
      </c>
      <c r="AB377" t="s">
        <v>1641</v>
      </c>
      <c r="AC377" t="s">
        <v>1532</v>
      </c>
      <c r="AD377" s="2">
        <v>16</v>
      </c>
      <c r="AE377" s="2" t="s">
        <v>70</v>
      </c>
      <c r="AF377" t="str">
        <f>_xlfn.CONCAT(FINI_grouping_for_wheel[[#This Row],[SEFI/Plant]],"/",IF(FINI_grouping_for_wheel[[#This Row],[RESET recipe combination]]&lt;&gt;"",FINI_grouping_for_wheel[[#This Row],[RESET recipe combination]],FINI_grouping_for_wheel[[#This Row],[Recipe Combination]]),"/",FINI_grouping_for_wheel[[#This Row],[Subgroup]])</f>
        <v>4145975/THDP/x/16</v>
      </c>
      <c r="AG3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0.08196256381168462</v>
      </c>
      <c r="AH377">
        <f>_xlfn.LET(_xlpm.pct, FINI_grouping_for_wheel[[#This Row],[% forecast within subgroup]], _xlpm.lote, FINI_grouping_for_wheel[[#This Row],[Lot size considered]], _xlpm.pct*_xlpm.lote)</f>
        <v>707.4442490782615</v>
      </c>
      <c r="AI377" cm="1">
        <f t="array" aca="1" ref="AI377" ca="1">IFERROR(INDIRECT("FINI_grouping_for_wheel[@["&amp;FINI_grouping_for_wheel[[#This Row],[Selected PV]]&amp;"]]"),"")</f>
        <v>90</v>
      </c>
      <c r="AJ37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v>
      </c>
      <c r="AL377" s="4"/>
      <c r="AM37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90</v>
      </c>
      <c r="AN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7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77" t="str">
        <f>_xlfn.CONCAT(FINI_grouping_for_wheel[[#This Row],[Recipe Combination]],FINI_grouping_for_wheel[[#This Row],[Subgroup]])</f>
        <v>316</v>
      </c>
    </row>
    <row r="378" spans="1:55" hidden="1">
      <c r="A378" t="s">
        <v>10</v>
      </c>
      <c r="B378">
        <v>4145975</v>
      </c>
      <c r="C378" t="s">
        <v>1526</v>
      </c>
      <c r="D378">
        <v>8631.30941955</v>
      </c>
      <c r="E378">
        <v>82</v>
      </c>
      <c r="F378">
        <v>1.64</v>
      </c>
      <c r="G378" t="s">
        <v>1642</v>
      </c>
      <c r="H378" t="s">
        <v>1643</v>
      </c>
      <c r="I378">
        <v>462</v>
      </c>
      <c r="J378" t="s">
        <v>90</v>
      </c>
      <c r="K378" t="s">
        <v>312</v>
      </c>
      <c r="L378" t="s">
        <v>313</v>
      </c>
      <c r="M378">
        <v>1331.893125</v>
      </c>
      <c r="N378">
        <v>5.3275725</v>
      </c>
      <c r="O378">
        <v>5296.79097</v>
      </c>
      <c r="P378">
        <v>701566.712235</v>
      </c>
      <c r="Q378">
        <v>0.25145283862315604</v>
      </c>
      <c r="R378">
        <v>2170.36725458</v>
      </c>
      <c r="S378" t="s">
        <v>1133</v>
      </c>
      <c r="T378" t="s">
        <v>93</v>
      </c>
      <c r="U378">
        <v>1</v>
      </c>
      <c r="V378" t="s">
        <v>315</v>
      </c>
      <c r="W378" t="s">
        <v>142</v>
      </c>
      <c r="X378" t="s">
        <v>150</v>
      </c>
      <c r="Y378" s="23" t="s">
        <v>151</v>
      </c>
      <c r="AA378">
        <v>1620</v>
      </c>
      <c r="AB378" t="s">
        <v>1644</v>
      </c>
      <c r="AC378" t="s">
        <v>1532</v>
      </c>
      <c r="AD378" s="2">
        <v>2</v>
      </c>
      <c r="AE378" s="2" t="s">
        <v>70</v>
      </c>
      <c r="AF378" t="str">
        <f>_xlfn.CONCAT(FINI_grouping_for_wheel[[#This Row],[SEFI/Plant]],"/",IF(FINI_grouping_for_wheel[[#This Row],[RESET recipe combination]]&lt;&gt;"",FINI_grouping_for_wheel[[#This Row],[RESET recipe combination]],FINI_grouping_for_wheel[[#This Row],[Recipe Combination]]),"/",FINI_grouping_for_wheel[[#This Row],[Subgroup]])</f>
        <v>4145975/THDP/x/2</v>
      </c>
      <c r="AG3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0.17393320964749537</v>
      </c>
      <c r="AH378">
        <f>_xlfn.LET(_xlpm.pct, FINI_grouping_for_wheel[[#This Row],[% forecast within subgroup]], _xlpm.lote, FINI_grouping_for_wheel[[#This Row],[Lot size considered]], _xlpm.pct*_xlpm.lote)</f>
        <v>1501.2713508029917</v>
      </c>
      <c r="AI378" cm="1">
        <f t="array" aca="1" ref="AI378" ca="1">IFERROR(INDIRECT("FINI_grouping_for_wheel[@["&amp;FINI_grouping_for_wheel[[#This Row],[Selected PV]]&amp;"]]"),"")</f>
        <v>245</v>
      </c>
      <c r="AJ37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3.3</v>
      </c>
      <c r="AL378" s="4"/>
      <c r="AM37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245</v>
      </c>
      <c r="AN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7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78" t="str">
        <f>_xlfn.CONCAT(FINI_grouping_for_wheel[[#This Row],[Recipe Combination]],FINI_grouping_for_wheel[[#This Row],[Subgroup]])</f>
        <v>32</v>
      </c>
    </row>
    <row r="379" spans="1:55" hidden="1">
      <c r="A379" t="s">
        <v>10</v>
      </c>
      <c r="B379">
        <v>4145975</v>
      </c>
      <c r="C379" t="s">
        <v>1526</v>
      </c>
      <c r="D379">
        <v>8631.30941955</v>
      </c>
      <c r="E379">
        <v>82</v>
      </c>
      <c r="F379">
        <v>1.64</v>
      </c>
      <c r="G379" t="s">
        <v>1645</v>
      </c>
      <c r="H379" t="s">
        <v>1646</v>
      </c>
      <c r="I379">
        <v>480</v>
      </c>
      <c r="J379" t="s">
        <v>90</v>
      </c>
      <c r="K379" t="s">
        <v>515</v>
      </c>
      <c r="L379" t="s">
        <v>516</v>
      </c>
      <c r="M379">
        <v>106.55145</v>
      </c>
      <c r="N379">
        <v>0.4262058</v>
      </c>
      <c r="O379">
        <v>5296.79097</v>
      </c>
      <c r="P379">
        <v>701566.712235</v>
      </c>
      <c r="Q379">
        <v>2.011622708985248E-2</v>
      </c>
      <c r="R379">
        <v>173.629380366</v>
      </c>
      <c r="S379" t="s">
        <v>1133</v>
      </c>
      <c r="T379" t="s">
        <v>93</v>
      </c>
      <c r="U379">
        <v>5</v>
      </c>
      <c r="V379" t="s">
        <v>518</v>
      </c>
      <c r="W379" t="s">
        <v>142</v>
      </c>
      <c r="X379" t="s">
        <v>150</v>
      </c>
      <c r="Y379" s="23" t="s">
        <v>151</v>
      </c>
      <c r="AA379">
        <v>20252</v>
      </c>
      <c r="AB379" t="s">
        <v>1647</v>
      </c>
      <c r="AC379" t="s">
        <v>1532</v>
      </c>
      <c r="AD379" s="2">
        <v>8</v>
      </c>
      <c r="AE379" s="2" t="s">
        <v>70</v>
      </c>
      <c r="AF379" t="str">
        <f>_xlfn.CONCAT(FINI_grouping_for_wheel[[#This Row],[SEFI/Plant]],"/",IF(FINI_grouping_for_wheel[[#This Row],[RESET recipe combination]]&lt;&gt;"",FINI_grouping_for_wheel[[#This Row],[RESET recipe combination]],FINI_grouping_for_wheel[[#This Row],[Recipe Combination]]),"/",FINI_grouping_for_wheel[[#This Row],[Subgroup]])</f>
        <v>4145975/THDP/x/8</v>
      </c>
      <c r="AG3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0.006479015189691167</v>
      </c>
      <c r="AH379">
        <f>_xlfn.LET(_xlpm.pct, FINI_grouping_for_wheel[[#This Row],[% forecast within subgroup]], _xlpm.lote, FINI_grouping_for_wheel[[#This Row],[Lot size considered]], _xlpm.pct*_xlpm.lote)</f>
        <v>55.9223848361889</v>
      </c>
      <c r="AI379" cm="1">
        <f t="array" aca="1" ref="AI379" ca="1">IFERROR(INDIRECT("FINI_grouping_for_wheel[@["&amp;FINI_grouping_for_wheel[[#This Row],[Selected PV]]&amp;"]]"),"")</f>
        <v>114</v>
      </c>
      <c r="AJ37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379" s="4"/>
      <c r="AM37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114</v>
      </c>
      <c r="AN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7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79" t="str">
        <f>_xlfn.CONCAT(FINI_grouping_for_wheel[[#This Row],[Recipe Combination]],FINI_grouping_for_wheel[[#This Row],[Subgroup]])</f>
        <v>38</v>
      </c>
    </row>
    <row r="380" spans="1:55" hidden="1">
      <c r="A380" t="s">
        <v>10</v>
      </c>
      <c r="B380">
        <v>4145975</v>
      </c>
      <c r="C380" t="s">
        <v>1526</v>
      </c>
      <c r="D380">
        <v>8631.30941955</v>
      </c>
      <c r="E380">
        <v>82</v>
      </c>
      <c r="F380">
        <v>1.64</v>
      </c>
      <c r="G380" t="s">
        <v>1648</v>
      </c>
      <c r="H380" t="s">
        <v>1649</v>
      </c>
      <c r="I380">
        <v>480</v>
      </c>
      <c r="J380" t="s">
        <v>90</v>
      </c>
      <c r="K380" t="s">
        <v>515</v>
      </c>
      <c r="L380" t="s">
        <v>516</v>
      </c>
      <c r="M380">
        <v>1219.42215</v>
      </c>
      <c r="N380">
        <v>4.8776886</v>
      </c>
      <c r="O380">
        <v>5296.79097</v>
      </c>
      <c r="P380">
        <v>701566.712235</v>
      </c>
      <c r="Q380">
        <v>0.23021904336164506</v>
      </c>
      <c r="R380">
        <v>1987.09179753</v>
      </c>
      <c r="S380" t="s">
        <v>1133</v>
      </c>
      <c r="T380" t="s">
        <v>93</v>
      </c>
      <c r="U380">
        <v>5</v>
      </c>
      <c r="V380" t="s">
        <v>518</v>
      </c>
      <c r="W380" t="s">
        <v>142</v>
      </c>
      <c r="X380" t="s">
        <v>150</v>
      </c>
      <c r="Y380" s="23" t="s">
        <v>151</v>
      </c>
      <c r="AA380">
        <v>1770</v>
      </c>
      <c r="AB380" t="s">
        <v>1650</v>
      </c>
      <c r="AC380" t="s">
        <v>1532</v>
      </c>
      <c r="AD380" s="2">
        <v>6</v>
      </c>
      <c r="AE380" s="2" t="s">
        <v>70</v>
      </c>
      <c r="AF380" t="str">
        <f>_xlfn.CONCAT(FINI_grouping_for_wheel[[#This Row],[SEFI/Plant]],"/",IF(FINI_grouping_for_wheel[[#This Row],[RESET recipe combination]]&lt;&gt;"",FINI_grouping_for_wheel[[#This Row],[RESET recipe combination]],FINI_grouping_for_wheel[[#This Row],[Recipe Combination]]),"/",FINI_grouping_for_wheel[[#This Row],[Subgroup]])</f>
        <v>4145975/THDP/x/6</v>
      </c>
      <c r="AG3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0.07457283521575442</v>
      </c>
      <c r="AH380">
        <f>_xlfn.LET(_xlpm.pct, FINI_grouping_for_wheel[[#This Row],[% forecast within subgroup]], _xlpm.lote, FINI_grouping_for_wheel[[#This Row],[Lot size considered]], _xlpm.pct*_xlpm.lote)</f>
        <v>643.661215040291</v>
      </c>
      <c r="AI380" cm="1">
        <f t="array" aca="1" ref="AI380" ca="1">IFERROR(INDIRECT("FINI_grouping_for_wheel[@["&amp;FINI_grouping_for_wheel[[#This Row],[Selected PV]]&amp;"]]"),"")</f>
        <v>115</v>
      </c>
      <c r="AJ38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v>
      </c>
      <c r="AL380" s="4"/>
      <c r="AM38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115</v>
      </c>
      <c r="AN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8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80" t="str">
        <f>_xlfn.CONCAT(FINI_grouping_for_wheel[[#This Row],[Recipe Combination]],FINI_grouping_for_wheel[[#This Row],[Subgroup]])</f>
        <v>36</v>
      </c>
    </row>
    <row r="381" spans="1:55" hidden="1">
      <c r="A381" t="s">
        <v>10</v>
      </c>
      <c r="B381">
        <v>4145975</v>
      </c>
      <c r="C381" t="s">
        <v>1526</v>
      </c>
      <c r="D381">
        <v>8631.30941955</v>
      </c>
      <c r="E381">
        <v>82</v>
      </c>
      <c r="F381">
        <v>1.64</v>
      </c>
      <c r="G381" t="s">
        <v>1651</v>
      </c>
      <c r="H381" t="s">
        <v>1652</v>
      </c>
      <c r="I381">
        <v>450</v>
      </c>
      <c r="J381" t="s">
        <v>90</v>
      </c>
      <c r="K381" t="s">
        <v>264</v>
      </c>
      <c r="L381" t="s">
        <v>265</v>
      </c>
      <c r="M381">
        <v>857.14722</v>
      </c>
      <c r="N381">
        <v>3.42858888</v>
      </c>
      <c r="O381">
        <v>5296.79097</v>
      </c>
      <c r="P381">
        <v>701566.712235</v>
      </c>
      <c r="Q381">
        <v>0.16182387125614661</v>
      </c>
      <c r="R381">
        <v>1396.75190428</v>
      </c>
      <c r="S381" t="s">
        <v>1133</v>
      </c>
      <c r="T381" t="s">
        <v>93</v>
      </c>
      <c r="U381">
        <v>2.5</v>
      </c>
      <c r="V381" t="s">
        <v>267</v>
      </c>
      <c r="W381" t="s">
        <v>142</v>
      </c>
      <c r="X381" t="s">
        <v>150</v>
      </c>
      <c r="Y381" s="23" t="s">
        <v>151</v>
      </c>
      <c r="AA381">
        <v>2517</v>
      </c>
      <c r="AB381" t="s">
        <v>1653</v>
      </c>
      <c r="AC381" t="s">
        <v>1532</v>
      </c>
      <c r="AD381" s="2">
        <v>5</v>
      </c>
      <c r="AE381" s="2" t="s">
        <v>70</v>
      </c>
      <c r="AF381" t="str">
        <f>_xlfn.CONCAT(FINI_grouping_for_wheel[[#This Row],[SEFI/Plant]],"/",IF(FINI_grouping_for_wheel[[#This Row],[RESET recipe combination]]&lt;&gt;"",FINI_grouping_for_wheel[[#This Row],[RESET recipe combination]],FINI_grouping_for_wheel[[#This Row],[Recipe Combination]]),"/",FINI_grouping_for_wheel[[#This Row],[Subgroup]])</f>
        <v>4145975/THDP/x/5</v>
      </c>
      <c r="AG3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0.06639765223771092</v>
      </c>
      <c r="AH381">
        <f>_xlfn.LET(_xlpm.pct, FINI_grouping_for_wheel[[#This Row],[% forecast within subgroup]], _xlpm.lote, FINI_grouping_for_wheel[[#This Row],[Lot size considered]], _xlpm.pct*_xlpm.lote)</f>
        <v>573.0986811953594</v>
      </c>
      <c r="AI381" cm="1">
        <f t="array" aca="1" ref="AI381" ca="1">IFERROR(INDIRECT("FINI_grouping_for_wheel[@["&amp;FINI_grouping_for_wheel[[#This Row],[Selected PV]]&amp;"]]"),"")</f>
        <v>146</v>
      </c>
      <c r="AJ38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v>
      </c>
      <c r="AL381" s="4"/>
      <c r="AM38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146</v>
      </c>
      <c r="AN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8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81" t="str">
        <f>_xlfn.CONCAT(FINI_grouping_for_wheel[[#This Row],[Recipe Combination]],FINI_grouping_for_wheel[[#This Row],[Subgroup]])</f>
        <v>35</v>
      </c>
    </row>
    <row r="382" spans="1:55" hidden="1">
      <c r="A382" t="s">
        <v>10</v>
      </c>
      <c r="B382">
        <v>4145975</v>
      </c>
      <c r="C382" t="s">
        <v>1526</v>
      </c>
      <c r="D382">
        <v>8631.30941955</v>
      </c>
      <c r="E382">
        <v>82</v>
      </c>
      <c r="F382">
        <v>1.64</v>
      </c>
      <c r="G382" t="s">
        <v>1654</v>
      </c>
      <c r="H382" t="s">
        <v>1655</v>
      </c>
      <c r="I382">
        <v>405</v>
      </c>
      <c r="J382" t="s">
        <v>90</v>
      </c>
      <c r="K382" t="s">
        <v>406</v>
      </c>
      <c r="L382" t="s">
        <v>407</v>
      </c>
      <c r="M382">
        <v>177.58575</v>
      </c>
      <c r="N382">
        <v>0.710343</v>
      </c>
      <c r="O382">
        <v>146370.91077</v>
      </c>
      <c r="P382">
        <v>701566.712235</v>
      </c>
      <c r="Q382">
        <v>1.2132584887652265E-3</v>
      </c>
      <c r="R382">
        <v>10.4720094224</v>
      </c>
      <c r="S382" t="s">
        <v>517</v>
      </c>
      <c r="T382" t="s">
        <v>93</v>
      </c>
      <c r="U382">
        <v>15</v>
      </c>
      <c r="V382" t="s">
        <v>408</v>
      </c>
      <c r="W382" t="s">
        <v>142</v>
      </c>
      <c r="X382" t="s">
        <v>96</v>
      </c>
      <c r="Y382" s="23" t="s">
        <v>97</v>
      </c>
      <c r="AA382">
        <v>12151</v>
      </c>
      <c r="AB382" t="s">
        <v>1656</v>
      </c>
      <c r="AC382" t="s">
        <v>1532</v>
      </c>
      <c r="AD382" s="2">
        <v>14</v>
      </c>
      <c r="AE382" s="2" t="s">
        <v>70</v>
      </c>
      <c r="AF382" t="str">
        <f>_xlfn.CONCAT(FINI_grouping_for_wheel[[#This Row],[SEFI/Plant]],"/",IF(FINI_grouping_for_wheel[[#This Row],[RESET recipe combination]]&lt;&gt;"",FINI_grouping_for_wheel[[#This Row],[RESET recipe combination]],FINI_grouping_for_wheel[[#This Row],[Recipe Combination]]),"/",FINI_grouping_for_wheel[[#This Row],[Subgroup]])</f>
        <v>4145975/THDP/x/14</v>
      </c>
      <c r="AG3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0.002610966057441253</v>
      </c>
      <c r="AH382">
        <f>_xlfn.LET(_xlpm.pct, FINI_grouping_for_wheel[[#This Row],[% forecast within subgroup]], _xlpm.lote, FINI_grouping_for_wheel[[#This Row],[Lot size considered]], _xlpm.pct*_xlpm.lote)</f>
        <v>22.53605592571801</v>
      </c>
      <c r="AI382" cm="1">
        <f t="array" aca="1" ref="AI382" ca="1">IFERROR(INDIRECT("FINI_grouping_for_wheel[@["&amp;FINI_grouping_for_wheel[[#This Row],[Selected PV]]&amp;"]]"),"")</f>
        <v>28</v>
      </c>
      <c r="AJ38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382" s="4"/>
      <c r="AM38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v>
      </c>
      <c r="AN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8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82" t="str">
        <f>_xlfn.CONCAT(FINI_grouping_for_wheel[[#This Row],[Recipe Combination]],FINI_grouping_for_wheel[[#This Row],[Subgroup]])</f>
        <v>514</v>
      </c>
    </row>
    <row r="383" spans="1:55" hidden="1">
      <c r="A383" t="s">
        <v>10</v>
      </c>
      <c r="B383">
        <v>4145975</v>
      </c>
      <c r="C383" t="s">
        <v>1526</v>
      </c>
      <c r="D383">
        <v>8631.30941955</v>
      </c>
      <c r="E383">
        <v>82</v>
      </c>
      <c r="F383">
        <v>1.64</v>
      </c>
      <c r="G383" t="s">
        <v>1657</v>
      </c>
      <c r="H383" t="s">
        <v>1658</v>
      </c>
      <c r="I383">
        <v>300</v>
      </c>
      <c r="J383" t="s">
        <v>90</v>
      </c>
      <c r="K383" t="s">
        <v>1659</v>
      </c>
      <c r="L383" t="s">
        <v>1660</v>
      </c>
      <c r="M383">
        <v>40328.53992</v>
      </c>
      <c r="N383">
        <v>161.31415968</v>
      </c>
      <c r="O383">
        <v>146370.91077</v>
      </c>
      <c r="P383">
        <v>701566.712235</v>
      </c>
      <c r="Q383">
        <v>0.27552291440865784</v>
      </c>
      <c r="R383">
        <v>2378.12352644</v>
      </c>
      <c r="S383" t="s">
        <v>517</v>
      </c>
      <c r="T383" t="s">
        <v>93</v>
      </c>
      <c r="U383">
        <v>12.5</v>
      </c>
      <c r="V383" t="s">
        <v>295</v>
      </c>
      <c r="W383" t="s">
        <v>95</v>
      </c>
      <c r="X383" t="s">
        <v>128</v>
      </c>
      <c r="Y383" s="23" t="s">
        <v>120</v>
      </c>
      <c r="AA383">
        <v>54</v>
      </c>
      <c r="AB383" t="s">
        <v>1661</v>
      </c>
      <c r="AC383" t="s">
        <v>1532</v>
      </c>
      <c r="AD383" s="2">
        <v>13</v>
      </c>
      <c r="AE383" s="2" t="s">
        <v>70</v>
      </c>
      <c r="AF383" t="str">
        <f>_xlfn.CONCAT(FINI_grouping_for_wheel[[#This Row],[SEFI/Plant]],"/",IF(FINI_grouping_for_wheel[[#This Row],[RESET recipe combination]]&lt;&gt;"",FINI_grouping_for_wheel[[#This Row],[RESET recipe combination]],FINI_grouping_for_wheel[[#This Row],[Recipe Combination]]),"/",FINI_grouping_for_wheel[[#This Row],[Subgroup]])</f>
        <v>4145975/THDP/x/13</v>
      </c>
      <c r="AG3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0.7775748721694667</v>
      </c>
      <c r="AH383">
        <f>_xlfn.LET(_xlpm.pct, FINI_grouping_for_wheel[[#This Row],[% forecast within subgroup]], _xlpm.lote, FINI_grouping_for_wheel[[#This Row],[Lot size considered]], _xlpm.pct*_xlpm.lote)</f>
        <v>6711.489318561706</v>
      </c>
      <c r="AI383" cm="1">
        <f t="array" aca="1" ref="AI383" ca="1">IFERROR(INDIRECT("FINI_grouping_for_wheel[@["&amp;FINI_grouping_for_wheel[[#This Row],[Selected PV]]&amp;"]]"),"")</f>
        <v>36</v>
      </c>
      <c r="AJ38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22.9</v>
      </c>
      <c r="AL383" s="4"/>
      <c r="AM38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36</v>
      </c>
      <c r="AN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8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83" t="str">
        <f>_xlfn.CONCAT(FINI_grouping_for_wheel[[#This Row],[Recipe Combination]],FINI_grouping_for_wheel[[#This Row],[Subgroup]])</f>
        <v>513</v>
      </c>
    </row>
    <row r="384" spans="1:55" hidden="1">
      <c r="A384" t="s">
        <v>10</v>
      </c>
      <c r="B384">
        <v>4145975</v>
      </c>
      <c r="C384" t="s">
        <v>1526</v>
      </c>
      <c r="D384">
        <v>8631.30941955</v>
      </c>
      <c r="E384">
        <v>82</v>
      </c>
      <c r="F384">
        <v>1.64</v>
      </c>
      <c r="G384" t="s">
        <v>1662</v>
      </c>
      <c r="H384" t="s">
        <v>1663</v>
      </c>
      <c r="I384">
        <v>495</v>
      </c>
      <c r="J384" t="s">
        <v>90</v>
      </c>
      <c r="K384" t="s">
        <v>1664</v>
      </c>
      <c r="L384" t="s">
        <v>1665</v>
      </c>
      <c r="M384">
        <v>67802.23935</v>
      </c>
      <c r="N384">
        <v>271.2089574</v>
      </c>
      <c r="O384">
        <v>146370.91077</v>
      </c>
      <c r="P384">
        <v>701566.712235</v>
      </c>
      <c r="Q384">
        <v>0.46322209101056344</v>
      </c>
      <c r="R384">
        <v>3998.21319748</v>
      </c>
      <c r="S384" t="s">
        <v>517</v>
      </c>
      <c r="T384" t="s">
        <v>93</v>
      </c>
      <c r="U384">
        <v>15</v>
      </c>
      <c r="V384" t="s">
        <v>408</v>
      </c>
      <c r="W384" t="s">
        <v>95</v>
      </c>
      <c r="X384" t="s">
        <v>96</v>
      </c>
      <c r="Y384" s="23" t="s">
        <v>97</v>
      </c>
      <c r="AA384">
        <v>32</v>
      </c>
      <c r="AB384" t="s">
        <v>1666</v>
      </c>
      <c r="AC384" t="s">
        <v>1532</v>
      </c>
      <c r="AD384" s="2">
        <v>14</v>
      </c>
      <c r="AE384" s="2" t="s">
        <v>70</v>
      </c>
      <c r="AF384" t="str">
        <f>_xlfn.CONCAT(FINI_grouping_for_wheel[[#This Row],[SEFI/Plant]],"/",IF(FINI_grouping_for_wheel[[#This Row],[RESET recipe combination]]&lt;&gt;"",FINI_grouping_for_wheel[[#This Row],[RESET recipe combination]],FINI_grouping_for_wheel[[#This Row],[Recipe Combination]]),"/",FINI_grouping_for_wheel[[#This Row],[Subgroup]])</f>
        <v>4145975/THDP/x/14</v>
      </c>
      <c r="AG3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0.9968668407310706</v>
      </c>
      <c r="AH384">
        <f>_xlfn.LET(_xlpm.pct, FINI_grouping_for_wheel[[#This Row],[% forecast within subgroup]], _xlpm.lote, FINI_grouping_for_wheel[[#This Row],[Lot size considered]], _xlpm.pct*_xlpm.lote)</f>
        <v>8604.266152439139</v>
      </c>
      <c r="AI384" cm="1">
        <f t="array" aca="1" ref="AI384" ca="1">IFERROR(INDIRECT("FINI_grouping_for_wheel[@["&amp;FINI_grouping_for_wheel[[#This Row],[Selected PV]]&amp;"]]"),"")</f>
        <v>28</v>
      </c>
      <c r="AJ38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17.8</v>
      </c>
      <c r="AL384" s="4"/>
      <c r="AM38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v>
      </c>
      <c r="AN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8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84" t="str">
        <f>_xlfn.CONCAT(FINI_grouping_for_wheel[[#This Row],[Recipe Combination]],FINI_grouping_for_wheel[[#This Row],[Subgroup]])</f>
        <v>514</v>
      </c>
    </row>
    <row r="385" spans="1:55" hidden="1">
      <c r="A385" t="s">
        <v>10</v>
      </c>
      <c r="B385">
        <v>4145975</v>
      </c>
      <c r="C385" t="s">
        <v>1526</v>
      </c>
      <c r="D385">
        <v>8631.30941955</v>
      </c>
      <c r="E385">
        <v>82</v>
      </c>
      <c r="F385">
        <v>1.64</v>
      </c>
      <c r="G385" t="s">
        <v>1667</v>
      </c>
      <c r="H385" t="s">
        <v>1668</v>
      </c>
      <c r="I385">
        <v>405</v>
      </c>
      <c r="J385" t="s">
        <v>90</v>
      </c>
      <c r="K385" t="s">
        <v>1669</v>
      </c>
      <c r="L385" t="s">
        <v>1670</v>
      </c>
      <c r="M385">
        <v>35.51715</v>
      </c>
      <c r="N385">
        <v>0.1420686</v>
      </c>
      <c r="O385">
        <v>146370.91077</v>
      </c>
      <c r="P385">
        <v>701566.712235</v>
      </c>
      <c r="Q385">
        <v>2.4265169775304529E-4</v>
      </c>
      <c r="R385">
        <v>2.09440188449</v>
      </c>
      <c r="S385" t="s">
        <v>517</v>
      </c>
      <c r="T385" t="s">
        <v>93</v>
      </c>
      <c r="U385">
        <v>15</v>
      </c>
      <c r="V385" t="s">
        <v>231</v>
      </c>
      <c r="W385" t="s">
        <v>142</v>
      </c>
      <c r="X385" t="s">
        <v>96</v>
      </c>
      <c r="Y385" s="23" t="s">
        <v>97</v>
      </c>
      <c r="AA385">
        <v>60755</v>
      </c>
      <c r="AB385" t="s">
        <v>1671</v>
      </c>
      <c r="AC385" t="s">
        <v>1532</v>
      </c>
      <c r="AD385" s="2">
        <v>14</v>
      </c>
      <c r="AE385" s="2" t="s">
        <v>70</v>
      </c>
      <c r="AF385" t="str">
        <f>_xlfn.CONCAT(FINI_grouping_for_wheel[[#This Row],[SEFI/Plant]],"/",IF(FINI_grouping_for_wheel[[#This Row],[RESET recipe combination]]&lt;&gt;"",FINI_grouping_for_wheel[[#This Row],[RESET recipe combination]],FINI_grouping_for_wheel[[#This Row],[Recipe Combination]]),"/",FINI_grouping_for_wheel[[#This Row],[Subgroup]])</f>
        <v>4145975/THDP/x/14</v>
      </c>
      <c r="AG3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0.0005221932114882506</v>
      </c>
      <c r="AH385">
        <f>_xlfn.LET(_xlpm.pct, FINI_grouping_for_wheel[[#This Row],[% forecast within subgroup]], _xlpm.lote, FINI_grouping_for_wheel[[#This Row],[Lot size considered]], _xlpm.pct*_xlpm.lote)</f>
        <v>4.5072111851436025</v>
      </c>
      <c r="AI385" cm="1">
        <f t="array" aca="1" ref="AI385" ca="1">IFERROR(INDIRECT("FINI_grouping_for_wheel[@["&amp;FINI_grouping_for_wheel[[#This Row],[Selected PV]]&amp;"]]"),"")</f>
        <v>28</v>
      </c>
      <c r="AJ38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v>
      </c>
      <c r="AL385" s="4"/>
      <c r="AM38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v>
      </c>
      <c r="AN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8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85" t="str">
        <f>_xlfn.CONCAT(FINI_grouping_for_wheel[[#This Row],[Recipe Combination]],FINI_grouping_for_wheel[[#This Row],[Subgroup]])</f>
        <v>514</v>
      </c>
    </row>
    <row r="386" spans="1:55" hidden="1">
      <c r="A386" t="s">
        <v>10</v>
      </c>
      <c r="B386">
        <v>4145975</v>
      </c>
      <c r="C386" t="s">
        <v>1526</v>
      </c>
      <c r="D386">
        <v>8631.30941955</v>
      </c>
      <c r="E386">
        <v>82</v>
      </c>
      <c r="F386">
        <v>1.64</v>
      </c>
      <c r="G386" t="s">
        <v>1672</v>
      </c>
      <c r="H386" t="s">
        <v>1673</v>
      </c>
      <c r="I386">
        <v>440</v>
      </c>
      <c r="J386" t="s">
        <v>90</v>
      </c>
      <c r="K386" t="s">
        <v>666</v>
      </c>
      <c r="L386" t="s">
        <v>667</v>
      </c>
      <c r="M386">
        <v>6381.24795</v>
      </c>
      <c r="N386">
        <v>25.5249918</v>
      </c>
      <c r="O386">
        <v>146370.91077</v>
      </c>
      <c r="P386">
        <v>701566.712235</v>
      </c>
      <c r="Q386">
        <v>4.3596421696297134E-2</v>
      </c>
      <c r="R386">
        <v>376.294205246</v>
      </c>
      <c r="S386" t="s">
        <v>517</v>
      </c>
      <c r="T386" t="s">
        <v>93</v>
      </c>
      <c r="U386">
        <v>10</v>
      </c>
      <c r="V386" t="s">
        <v>94</v>
      </c>
      <c r="W386" t="s">
        <v>95</v>
      </c>
      <c r="X386" t="s">
        <v>96</v>
      </c>
      <c r="Y386" s="23" t="s">
        <v>97</v>
      </c>
      <c r="AA386">
        <v>338</v>
      </c>
      <c r="AB386" t="s">
        <v>1674</v>
      </c>
      <c r="AC386" t="s">
        <v>1532</v>
      </c>
      <c r="AD386" s="2">
        <v>12</v>
      </c>
      <c r="AE386" s="2" t="s">
        <v>70</v>
      </c>
      <c r="AF386" t="str">
        <f>_xlfn.CONCAT(FINI_grouping_for_wheel[[#This Row],[SEFI/Plant]],"/",IF(FINI_grouping_for_wheel[[#This Row],[RESET recipe combination]]&lt;&gt;"",FINI_grouping_for_wheel[[#This Row],[RESET recipe combination]],FINI_grouping_for_wheel[[#This Row],[Recipe Combination]]),"/",FINI_grouping_for_wheel[[#This Row],[Subgroup]])</f>
        <v>4145975/THDP/x/12</v>
      </c>
      <c r="AG3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0.18333333333333332</v>
      </c>
      <c r="AH386">
        <f>_xlfn.LET(_xlpm.pct, FINI_grouping_for_wheel[[#This Row],[% forecast within subgroup]], _xlpm.lote, FINI_grouping_for_wheel[[#This Row],[Lot size considered]], _xlpm.pct*_xlpm.lote)</f>
        <v>1582.4067269174998</v>
      </c>
      <c r="AI386" cm="1">
        <f t="array" aca="1" ref="AI386" ca="1">IFERROR(INDIRECT("FINI_grouping_for_wheel[@["&amp;FINI_grouping_for_wheel[[#This Row],[Selected PV]]&amp;"]]"),"")</f>
        <v>54</v>
      </c>
      <c r="AJ38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3.7</v>
      </c>
      <c r="AL386" s="4"/>
      <c r="AM38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54</v>
      </c>
      <c r="AN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8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86" t="str">
        <f>_xlfn.CONCAT(FINI_grouping_for_wheel[[#This Row],[Recipe Combination]],FINI_grouping_for_wheel[[#This Row],[Subgroup]])</f>
        <v>512</v>
      </c>
    </row>
    <row r="387" spans="1:55" hidden="1">
      <c r="A387" t="s">
        <v>10</v>
      </c>
      <c r="B387">
        <v>4145975</v>
      </c>
      <c r="C387" t="s">
        <v>1526</v>
      </c>
      <c r="D387">
        <v>8631.30941955</v>
      </c>
      <c r="E387">
        <v>82</v>
      </c>
      <c r="F387">
        <v>1.64</v>
      </c>
      <c r="G387" t="s">
        <v>1675</v>
      </c>
      <c r="H387" t="s">
        <v>1676</v>
      </c>
      <c r="I387">
        <v>440</v>
      </c>
      <c r="J387" t="s">
        <v>90</v>
      </c>
      <c r="K387" t="s">
        <v>385</v>
      </c>
      <c r="L387" t="s">
        <v>386</v>
      </c>
      <c r="M387">
        <v>14538.3534</v>
      </c>
      <c r="N387">
        <v>58.1534136</v>
      </c>
      <c r="O387">
        <v>146370.91077</v>
      </c>
      <c r="P387">
        <v>701566.712235</v>
      </c>
      <c r="Q387">
        <v>9.9325428280246528E-2</v>
      </c>
      <c r="R387">
        <v>857.308504716</v>
      </c>
      <c r="S387" t="s">
        <v>517</v>
      </c>
      <c r="T387" t="s">
        <v>93</v>
      </c>
      <c r="U387">
        <v>10</v>
      </c>
      <c r="V387" t="s">
        <v>94</v>
      </c>
      <c r="W387" t="s">
        <v>95</v>
      </c>
      <c r="X387" t="s">
        <v>96</v>
      </c>
      <c r="Y387" s="23" t="s">
        <v>97</v>
      </c>
      <c r="AA387">
        <v>148</v>
      </c>
      <c r="AB387" t="s">
        <v>1677</v>
      </c>
      <c r="AC387" t="s">
        <v>1532</v>
      </c>
      <c r="AD387" s="2">
        <v>12</v>
      </c>
      <c r="AE387" s="2" t="s">
        <v>70</v>
      </c>
      <c r="AF387" t="str">
        <f>_xlfn.CONCAT(FINI_grouping_for_wheel[[#This Row],[SEFI/Plant]],"/",IF(FINI_grouping_for_wheel[[#This Row],[RESET recipe combination]]&lt;&gt;"",FINI_grouping_for_wheel[[#This Row],[RESET recipe combination]],FINI_grouping_for_wheel[[#This Row],[Recipe Combination]]),"/",FINI_grouping_for_wheel[[#This Row],[Subgroup]])</f>
        <v>4145975/THDP/x/12</v>
      </c>
      <c r="AG3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0.41768707482993195</v>
      </c>
      <c r="AH387">
        <f>_xlfn.LET(_xlpm.pct, FINI_grouping_for_wheel[[#This Row],[% forecast within subgroup]], _xlpm.lote, FINI_grouping_for_wheel[[#This Row],[Lot size considered]], _xlpm.pct*_xlpm.lote)</f>
        <v>3605.1863834038772</v>
      </c>
      <c r="AI387" cm="1">
        <f t="array" aca="1" ref="AI387" ca="1">IFERROR(INDIRECT("FINI_grouping_for_wheel[@["&amp;FINI_grouping_for_wheel[[#This Row],[Selected PV]]&amp;"]]"),"")</f>
        <v>54</v>
      </c>
      <c r="AJ38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8.4</v>
      </c>
      <c r="AL387" s="4"/>
      <c r="AM38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54</v>
      </c>
      <c r="AN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8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87" t="str">
        <f>_xlfn.CONCAT(FINI_grouping_for_wheel[[#This Row],[Recipe Combination]],FINI_grouping_for_wheel[[#This Row],[Subgroup]])</f>
        <v>512</v>
      </c>
    </row>
    <row r="388" spans="1:55" hidden="1">
      <c r="A388" t="s">
        <v>10</v>
      </c>
      <c r="B388">
        <v>4145975</v>
      </c>
      <c r="C388" t="s">
        <v>1526</v>
      </c>
      <c r="D388">
        <v>8631.30941955</v>
      </c>
      <c r="E388">
        <v>82</v>
      </c>
      <c r="F388">
        <v>1.64</v>
      </c>
      <c r="G388" t="s">
        <v>1678</v>
      </c>
      <c r="H388" t="s">
        <v>1679</v>
      </c>
      <c r="I388">
        <v>300</v>
      </c>
      <c r="J388" t="s">
        <v>90</v>
      </c>
      <c r="K388" t="s">
        <v>254</v>
      </c>
      <c r="L388" t="s">
        <v>255</v>
      </c>
      <c r="M388">
        <v>491.320575</v>
      </c>
      <c r="N388">
        <v>1.9652823</v>
      </c>
      <c r="O388">
        <v>146370.91077</v>
      </c>
      <c r="P388">
        <v>701566.712235</v>
      </c>
      <c r="Q388">
        <v>3.3566818189171262E-3</v>
      </c>
      <c r="R388">
        <v>28.972559402</v>
      </c>
      <c r="S388" t="s">
        <v>517</v>
      </c>
      <c r="T388" t="s">
        <v>93</v>
      </c>
      <c r="U388">
        <v>5</v>
      </c>
      <c r="V388" t="s">
        <v>119</v>
      </c>
      <c r="W388" t="s">
        <v>95</v>
      </c>
      <c r="X388" t="s">
        <v>96</v>
      </c>
      <c r="Y388" s="23" t="s">
        <v>120</v>
      </c>
      <c r="AA388">
        <v>4392</v>
      </c>
      <c r="AB388" t="s">
        <v>1680</v>
      </c>
      <c r="AC388" t="s">
        <v>1532</v>
      </c>
      <c r="AD388" s="2">
        <v>16</v>
      </c>
      <c r="AE388" s="2" t="s">
        <v>70</v>
      </c>
      <c r="AF388" t="str">
        <f>_xlfn.CONCAT(FINI_grouping_for_wheel[[#This Row],[SEFI/Plant]],"/",IF(FINI_grouping_for_wheel[[#This Row],[RESET recipe combination]]&lt;&gt;"",FINI_grouping_for_wheel[[#This Row],[RESET recipe combination]],FINI_grouping_for_wheel[[#This Row],[Recipe Combination]]),"/",FINI_grouping_for_wheel[[#This Row],[Subgroup]])</f>
        <v>4145975/THDP/x/16</v>
      </c>
      <c r="AG3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0.023539421440726033</v>
      </c>
      <c r="AH388">
        <f>_xlfn.LET(_xlpm.pct, FINI_grouping_for_wheel[[#This Row],[% forecast within subgroup]], _xlpm.lote, FINI_grouping_for_wheel[[#This Row],[Lot size considered]], _xlpm.pct*_xlpm.lote)</f>
        <v>203.17603001209585</v>
      </c>
      <c r="AI388" cm="1">
        <f t="array" aca="1" ref="AI388" ca="1">IFERROR(INDIRECT("FINI_grouping_for_wheel[@["&amp;FINI_grouping_for_wheel[[#This Row],[Selected PV]]&amp;"]]"),"")</f>
        <v>90</v>
      </c>
      <c r="AJ38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0.7</v>
      </c>
      <c r="AL388" s="4"/>
      <c r="AM38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90</v>
      </c>
      <c r="AN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8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88" t="str">
        <f>_xlfn.CONCAT(FINI_grouping_for_wheel[[#This Row],[Recipe Combination]],FINI_grouping_for_wheel[[#This Row],[Subgroup]])</f>
        <v>516</v>
      </c>
    </row>
    <row r="389" spans="1:55" hidden="1">
      <c r="A389" t="s">
        <v>10</v>
      </c>
      <c r="B389">
        <v>4145975</v>
      </c>
      <c r="C389" t="s">
        <v>1526</v>
      </c>
      <c r="D389">
        <v>8631.30941955</v>
      </c>
      <c r="E389">
        <v>82</v>
      </c>
      <c r="F389">
        <v>1.64</v>
      </c>
      <c r="G389" t="s">
        <v>1681</v>
      </c>
      <c r="H389" t="s">
        <v>1682</v>
      </c>
      <c r="J389" t="s">
        <v>90</v>
      </c>
      <c r="K389" t="s">
        <v>254</v>
      </c>
      <c r="L389" t="s">
        <v>255</v>
      </c>
      <c r="M389">
        <v>4007.518425</v>
      </c>
      <c r="N389">
        <v>16.0300737</v>
      </c>
      <c r="O389">
        <v>146370.91077</v>
      </c>
      <c r="P389">
        <v>701566.712235</v>
      </c>
      <c r="Q389">
        <v>2.7379199896468608E-2</v>
      </c>
      <c r="R389">
        <v>236.318345966</v>
      </c>
      <c r="S389" t="s">
        <v>517</v>
      </c>
      <c r="T389" t="s">
        <v>93</v>
      </c>
      <c r="U389">
        <v>5</v>
      </c>
      <c r="V389" t="s">
        <v>119</v>
      </c>
      <c r="W389" t="s">
        <v>95</v>
      </c>
      <c r="X389" t="s">
        <v>96</v>
      </c>
      <c r="Y389" s="23" t="s">
        <v>120</v>
      </c>
      <c r="AA389">
        <v>538</v>
      </c>
      <c r="AB389" t="s">
        <v>1683</v>
      </c>
      <c r="AC389" t="s">
        <v>1532</v>
      </c>
      <c r="AD389" s="2">
        <v>17</v>
      </c>
      <c r="AE389" s="2" t="s">
        <v>70</v>
      </c>
      <c r="AF389" t="str">
        <f>_xlfn.CONCAT(FINI_grouping_for_wheel[[#This Row],[SEFI/Plant]],"/",IF(FINI_grouping_for_wheel[[#This Row],[RESET recipe combination]]&lt;&gt;"",FINI_grouping_for_wheel[[#This Row],[RESET recipe combination]],FINI_grouping_for_wheel[[#This Row],[Recipe Combination]]),"/",FINI_grouping_for_wheel[[#This Row],[Subgroup]])</f>
        <v>4145975/THDP/x/17</v>
      </c>
      <c r="AG3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0.3159122725151657</v>
      </c>
      <c r="AH389">
        <f>_xlfn.LET(_xlpm.pct, FINI_grouping_for_wheel[[#This Row],[% forecast within subgroup]], _xlpm.lote, FINI_grouping_for_wheel[[#This Row],[Lot size considered]], _xlpm.pct*_xlpm.lote)</f>
        <v>2726.736573511596</v>
      </c>
      <c r="AI389" cm="1">
        <f t="array" aca="1" ref="AI389" ca="1">IFERROR(INDIRECT("FINI_grouping_for_wheel[@["&amp;FINI_grouping_for_wheel[[#This Row],[Selected PV]]&amp;"]]"),"")</f>
        <v>148</v>
      </c>
      <c r="AJ38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8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389" s="4"/>
      <c r="AM38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148</v>
      </c>
      <c r="AN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8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89" t="str">
        <f>_xlfn.CONCAT(FINI_grouping_for_wheel[[#This Row],[Recipe Combination]],FINI_grouping_for_wheel[[#This Row],[Subgroup]])</f>
        <v>517</v>
      </c>
    </row>
    <row r="390" spans="1:55" hidden="1">
      <c r="A390" t="s">
        <v>10</v>
      </c>
      <c r="B390">
        <v>4145975</v>
      </c>
      <c r="C390" t="s">
        <v>1526</v>
      </c>
      <c r="D390">
        <v>8631.30941955</v>
      </c>
      <c r="E390">
        <v>82</v>
      </c>
      <c r="F390">
        <v>1.64</v>
      </c>
      <c r="G390" t="s">
        <v>1684</v>
      </c>
      <c r="H390" t="s">
        <v>1685</v>
      </c>
      <c r="I390">
        <v>330</v>
      </c>
      <c r="J390" t="s">
        <v>90</v>
      </c>
      <c r="K390" t="s">
        <v>385</v>
      </c>
      <c r="L390" t="s">
        <v>386</v>
      </c>
      <c r="M390">
        <v>12608.58825</v>
      </c>
      <c r="N390">
        <v>50.434353</v>
      </c>
      <c r="O390">
        <v>146370.91077</v>
      </c>
      <c r="P390">
        <v>701566.712235</v>
      </c>
      <c r="Q390">
        <v>8.6141352702331073E-2</v>
      </c>
      <c r="R390">
        <v>743.512668992</v>
      </c>
      <c r="S390" t="s">
        <v>517</v>
      </c>
      <c r="T390" t="s">
        <v>93</v>
      </c>
      <c r="U390">
        <v>10</v>
      </c>
      <c r="V390" t="s">
        <v>94</v>
      </c>
      <c r="W390" t="s">
        <v>95</v>
      </c>
      <c r="X390" t="s">
        <v>96</v>
      </c>
      <c r="Y390" s="23" t="s">
        <v>97</v>
      </c>
      <c r="AA390">
        <v>171</v>
      </c>
      <c r="AB390" t="s">
        <v>1686</v>
      </c>
      <c r="AC390" t="s">
        <v>1532</v>
      </c>
      <c r="AD390" s="2">
        <v>12</v>
      </c>
      <c r="AE390" s="2" t="s">
        <v>70</v>
      </c>
      <c r="AF390" t="str">
        <f>_xlfn.CONCAT(FINI_grouping_for_wheel[[#This Row],[SEFI/Plant]],"/",IF(FINI_grouping_for_wheel[[#This Row],[RESET recipe combination]]&lt;&gt;"",FINI_grouping_for_wheel[[#This Row],[RESET recipe combination]],FINI_grouping_for_wheel[[#This Row],[Recipe Combination]]),"/",FINI_grouping_for_wheel[[#This Row],[Subgroup]])</f>
        <v>4145975/THDP/x/12</v>
      </c>
      <c r="AG3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0.3622448979591837</v>
      </c>
      <c r="AH390">
        <f>_xlfn.LET(_xlpm.pct, FINI_grouping_for_wheel[[#This Row],[% forecast within subgroup]], _xlpm.lote, FINI_grouping_for_wheel[[#This Row],[Lot size considered]], _xlpm.pct*_xlpm.lote)</f>
        <v>3126.647799939031</v>
      </c>
      <c r="AI390" cm="1">
        <f t="array" aca="1" ref="AI390" ca="1">IFERROR(INDIRECT("FINI_grouping_for_wheel[@["&amp;FINI_grouping_for_wheel[[#This Row],[Selected PV]]&amp;"]]"),"")</f>
        <v>54</v>
      </c>
      <c r="AJ39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9.7</v>
      </c>
      <c r="AL390" s="4"/>
      <c r="AM39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54</v>
      </c>
      <c r="AN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9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90" t="str">
        <f>_xlfn.CONCAT(FINI_grouping_for_wheel[[#This Row],[Recipe Combination]],FINI_grouping_for_wheel[[#This Row],[Subgroup]])</f>
        <v>512</v>
      </c>
    </row>
    <row r="391" spans="1:55" hidden="1">
      <c r="A391" t="s">
        <v>10</v>
      </c>
      <c r="B391">
        <v>4145975</v>
      </c>
      <c r="C391" t="s">
        <v>1526</v>
      </c>
      <c r="D391">
        <v>8631.30941955</v>
      </c>
      <c r="E391">
        <v>82</v>
      </c>
      <c r="F391">
        <v>1.64</v>
      </c>
      <c r="G391" t="s">
        <v>1687</v>
      </c>
      <c r="H391" t="s">
        <v>1688</v>
      </c>
      <c r="I391">
        <v>432</v>
      </c>
      <c r="J391" t="s">
        <v>90</v>
      </c>
      <c r="K391" t="s">
        <v>1689</v>
      </c>
      <c r="L391" t="s">
        <v>1690</v>
      </c>
      <c r="M391">
        <v>11535.97032</v>
      </c>
      <c r="N391">
        <v>46.14388128</v>
      </c>
      <c r="O391">
        <v>11535.97032</v>
      </c>
      <c r="P391">
        <v>701566.712235</v>
      </c>
      <c r="Q391">
        <v>1</v>
      </c>
      <c r="R391">
        <v>8631.30941955</v>
      </c>
      <c r="S391" t="s">
        <v>1156</v>
      </c>
      <c r="T391" t="s">
        <v>93</v>
      </c>
      <c r="U391">
        <v>12</v>
      </c>
      <c r="V391" t="s">
        <v>1193</v>
      </c>
      <c r="W391" t="s">
        <v>159</v>
      </c>
      <c r="X391" t="s">
        <v>96</v>
      </c>
      <c r="Y391" s="23" t="s">
        <v>1194</v>
      </c>
      <c r="AA391">
        <v>187</v>
      </c>
      <c r="AB391" t="s">
        <v>1691</v>
      </c>
      <c r="AC391" t="s">
        <v>1532</v>
      </c>
      <c r="AD391" s="2">
        <v>13</v>
      </c>
      <c r="AE391" s="2" t="s">
        <v>70</v>
      </c>
      <c r="AF391" t="str">
        <f>_xlfn.CONCAT(FINI_grouping_for_wheel[[#This Row],[SEFI/Plant]],"/",IF(FINI_grouping_for_wheel[[#This Row],[RESET recipe combination]]&lt;&gt;"",FINI_grouping_for_wheel[[#This Row],[RESET recipe combination]],FINI_grouping_for_wheel[[#This Row],[Recipe Combination]]),"/",FINI_grouping_for_wheel[[#This Row],[Subgroup]])</f>
        <v>4145975/THDP/x/13</v>
      </c>
      <c r="AG3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0.22242512783053323</v>
      </c>
      <c r="AH391">
        <f>_xlfn.LET(_xlpm.pct, FINI_grouping_for_wheel[[#This Row],[% forecast within subgroup]], _xlpm.lote, FINI_grouping_for_wheel[[#This Row],[Lot size considered]], _xlpm.pct*_xlpm.lote)</f>
        <v>1919.8201009882941</v>
      </c>
      <c r="AI391" cm="1">
        <f t="array" aca="1" ref="AI391" ca="1">IFERROR(INDIRECT("FINI_grouping_for_wheel[@["&amp;FINI_grouping_for_wheel[[#This Row],[Selected PV]]&amp;"]]"),"")</f>
        <v>36</v>
      </c>
      <c r="AJ39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4.6</v>
      </c>
      <c r="AL391" s="4"/>
      <c r="AM39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36</v>
      </c>
      <c r="AN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9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91" t="str">
        <f>_xlfn.CONCAT(FINI_grouping_for_wheel[[#This Row],[Recipe Combination]],FINI_grouping_for_wheel[[#This Row],[Subgroup]])</f>
        <v>B13</v>
      </c>
    </row>
    <row r="392" spans="1:55" hidden="1">
      <c r="A392" t="s">
        <v>10</v>
      </c>
      <c r="B392">
        <v>4145975</v>
      </c>
      <c r="C392" t="s">
        <v>1526</v>
      </c>
      <c r="D392">
        <v>8631.30941955</v>
      </c>
      <c r="E392">
        <v>82</v>
      </c>
      <c r="F392">
        <v>1.64</v>
      </c>
      <c r="G392" t="s">
        <v>1692</v>
      </c>
      <c r="H392" t="s">
        <v>1693</v>
      </c>
      <c r="I392">
        <v>420</v>
      </c>
      <c r="J392" t="s">
        <v>90</v>
      </c>
      <c r="K392" t="s">
        <v>1694</v>
      </c>
      <c r="L392" t="s">
        <v>1695</v>
      </c>
      <c r="M392">
        <v>61689.737835</v>
      </c>
      <c r="N392">
        <v>246.75895134</v>
      </c>
      <c r="O392">
        <v>61689.737835</v>
      </c>
      <c r="P392">
        <v>701566.712235</v>
      </c>
      <c r="Q392">
        <v>1</v>
      </c>
      <c r="R392">
        <v>8631.30941955</v>
      </c>
      <c r="S392" t="s">
        <v>165</v>
      </c>
      <c r="T392" t="s">
        <v>93</v>
      </c>
      <c r="U392">
        <v>2.5</v>
      </c>
      <c r="V392" t="s">
        <v>166</v>
      </c>
      <c r="W392" t="s">
        <v>95</v>
      </c>
      <c r="X392" t="s">
        <v>96</v>
      </c>
      <c r="Y392" s="23" t="s">
        <v>167</v>
      </c>
      <c r="AA392">
        <v>35</v>
      </c>
      <c r="AB392" t="s">
        <v>1696</v>
      </c>
      <c r="AC392" t="s">
        <v>1532</v>
      </c>
      <c r="AD392" s="2">
        <v>15</v>
      </c>
      <c r="AE392" s="2" t="s">
        <v>70</v>
      </c>
      <c r="AF392" t="str">
        <f>_xlfn.CONCAT(FINI_grouping_for_wheel[[#This Row],[SEFI/Plant]],"/",IF(FINI_grouping_for_wheel[[#This Row],[RESET recipe combination]]&lt;&gt;"",FINI_grouping_for_wheel[[#This Row],[RESET recipe combination]],FINI_grouping_for_wheel[[#This Row],[Recipe Combination]]),"/",FINI_grouping_for_wheel[[#This Row],[Subgroup]])</f>
        <v>4145975/THDP/x/15</v>
      </c>
      <c r="AG3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92">
        <f>_xlfn.LET(_xlpm.pct, FINI_grouping_for_wheel[[#This Row],[% forecast within subgroup]], _xlpm.lote, FINI_grouping_for_wheel[[#This Row],[Lot size considered]], _xlpm.pct*_xlpm.lote)</f>
        <v>8631.30941955</v>
      </c>
      <c r="AI392" cm="1">
        <f t="array" aca="1" ref="AI392" ca="1">IFERROR(INDIRECT("FINI_grouping_for_wheel[@["&amp;FINI_grouping_for_wheel[[#This Row],[Selected PV]]&amp;"]]"),"")</f>
        <v>30</v>
      </c>
      <c r="AJ39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8844.954255</v>
      </c>
      <c r="AK3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21.1</v>
      </c>
      <c r="AL392" s="4"/>
      <c r="AM39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30</v>
      </c>
      <c r="AN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9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92" t="str">
        <f>_xlfn.CONCAT(FINI_grouping_for_wheel[[#This Row],[Recipe Combination]],FINI_grouping_for_wheel[[#This Row],[Subgroup]])</f>
        <v>N15</v>
      </c>
    </row>
    <row r="393" spans="1:55" hidden="1">
      <c r="A393" t="s">
        <v>10</v>
      </c>
      <c r="B393">
        <v>4994569</v>
      </c>
      <c r="C393" t="s">
        <v>1697</v>
      </c>
      <c r="D393">
        <v>8545.42507518</v>
      </c>
      <c r="E393">
        <v>78</v>
      </c>
      <c r="F393">
        <v>1.56</v>
      </c>
      <c r="G393" t="s">
        <v>1698</v>
      </c>
      <c r="H393" t="s">
        <v>1699</v>
      </c>
      <c r="I393">
        <v>190</v>
      </c>
      <c r="J393" t="s">
        <v>90</v>
      </c>
      <c r="K393" t="s">
        <v>1700</v>
      </c>
      <c r="L393" t="s">
        <v>1701</v>
      </c>
      <c r="M393">
        <v>13182.782175</v>
      </c>
      <c r="N393">
        <v>52.7311287</v>
      </c>
      <c r="O393">
        <v>13182.782175</v>
      </c>
      <c r="P393">
        <v>659459.947005</v>
      </c>
      <c r="Q393">
        <v>1</v>
      </c>
      <c r="R393">
        <v>8545.42507518</v>
      </c>
      <c r="S393" t="s">
        <v>104</v>
      </c>
      <c r="T393" t="s">
        <v>93</v>
      </c>
      <c r="U393">
        <v>2.5</v>
      </c>
      <c r="V393" t="s">
        <v>604</v>
      </c>
      <c r="W393" t="s">
        <v>142</v>
      </c>
      <c r="X393" t="s">
        <v>128</v>
      </c>
      <c r="Y393" s="23" t="s">
        <v>136</v>
      </c>
      <c r="AA393">
        <v>162</v>
      </c>
      <c r="AB393" t="s">
        <v>1702</v>
      </c>
      <c r="AC393" t="s">
        <v>1703</v>
      </c>
      <c r="AD393" s="2">
        <v>6</v>
      </c>
      <c r="AE393" s="2" t="s">
        <v>70</v>
      </c>
      <c r="AF393" t="str">
        <f>_xlfn.CONCAT(FINI_grouping_for_wheel[[#This Row],[SEFI/Plant]],"/",IF(FINI_grouping_for_wheel[[#This Row],[RESET recipe combination]]&lt;&gt;"",FINI_grouping_for_wheel[[#This Row],[RESET recipe combination]],FINI_grouping_for_wheel[[#This Row],[Recipe Combination]]),"/",FINI_grouping_for_wheel[[#This Row],[Subgroup]])</f>
        <v>4994569/THDP/x/6</v>
      </c>
      <c r="AG3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0.32523293512866197</v>
      </c>
      <c r="AH393">
        <f>_xlfn.LET(_xlpm.pct, FINI_grouping_for_wheel[[#This Row],[% forecast within subgroup]], _xlpm.lote, FINI_grouping_for_wheel[[#This Row],[Lot size considered]], _xlpm.pct*_xlpm.lote)</f>
        <v>2779.253679122858</v>
      </c>
      <c r="AI393" cm="1">
        <f t="array" aca="1" ref="AI393" ca="1">IFERROR(INDIRECT("FINI_grouping_for_wheel[@["&amp;FINI_grouping_for_wheel[[#This Row],[Selected PV]]&amp;"]]"),"")</f>
        <v>47</v>
      </c>
      <c r="AJ39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8996.494095</v>
      </c>
      <c r="AK3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15.4</v>
      </c>
      <c r="AL393" s="4"/>
      <c r="AM39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47</v>
      </c>
      <c r="AN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9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93" t="str">
        <f>_xlfn.CONCAT(FINI_grouping_for_wheel[[#This Row],[Recipe Combination]],FINI_grouping_for_wheel[[#This Row],[Subgroup]])</f>
        <v>06</v>
      </c>
    </row>
    <row r="394" spans="1:55" hidden="1">
      <c r="A394" t="s">
        <v>10</v>
      </c>
      <c r="B394">
        <v>4994569</v>
      </c>
      <c r="C394" t="s">
        <v>1697</v>
      </c>
      <c r="D394">
        <v>8545.42507518</v>
      </c>
      <c r="E394">
        <v>78</v>
      </c>
      <c r="F394">
        <v>1.56</v>
      </c>
      <c r="G394" t="s">
        <v>1704</v>
      </c>
      <c r="H394" t="s">
        <v>1705</v>
      </c>
      <c r="I394">
        <v>300</v>
      </c>
      <c r="J394" t="s">
        <v>90</v>
      </c>
      <c r="K394" t="s">
        <v>562</v>
      </c>
      <c r="L394" t="s">
        <v>563</v>
      </c>
      <c r="M394">
        <v>55726.40835</v>
      </c>
      <c r="N394">
        <v>222.9056334</v>
      </c>
      <c r="O394">
        <v>55726.40835</v>
      </c>
      <c r="P394">
        <v>659459.947005</v>
      </c>
      <c r="Q394">
        <v>1</v>
      </c>
      <c r="R394">
        <v>8545.42507518</v>
      </c>
      <c r="S394" t="s">
        <v>866</v>
      </c>
      <c r="T394" t="s">
        <v>93</v>
      </c>
      <c r="U394">
        <v>10</v>
      </c>
      <c r="V394" t="s">
        <v>127</v>
      </c>
      <c r="W394" t="s">
        <v>142</v>
      </c>
      <c r="X394" t="s">
        <v>128</v>
      </c>
      <c r="Y394" s="23" t="s">
        <v>129</v>
      </c>
      <c r="AA394">
        <v>38</v>
      </c>
      <c r="AB394" t="s">
        <v>1706</v>
      </c>
      <c r="AC394" t="s">
        <v>1703</v>
      </c>
      <c r="AD394" s="2">
        <v>3</v>
      </c>
      <c r="AE394" s="2" t="s">
        <v>70</v>
      </c>
      <c r="AF394" t="str">
        <f>_xlfn.CONCAT(FINI_grouping_for_wheel[[#This Row],[SEFI/Plant]],"/",IF(FINI_grouping_for_wheel[[#This Row],[RESET recipe combination]]&lt;&gt;"",FINI_grouping_for_wheel[[#This Row],[RESET recipe combination]],FINI_grouping_for_wheel[[#This Row],[Recipe Combination]]),"/",FINI_grouping_for_wheel[[#This Row],[Subgroup]])</f>
        <v>4994569/THDP/x/3</v>
      </c>
      <c r="AG3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0.6952013824272232</v>
      </c>
      <c r="AH394">
        <f>_xlfn.LET(_xlpm.pct, FINI_grouping_for_wheel[[#This Row],[% forecast within subgroup]], _xlpm.lote, FINI_grouping_for_wheel[[#This Row],[Lot size considered]], _xlpm.pct*_xlpm.lote)</f>
        <v>5940.7913256933925</v>
      </c>
      <c r="AI394" cm="1">
        <f t="array" aca="1" ref="AI394" ca="1">IFERROR(INDIRECT("FINI_grouping_for_wheel[@["&amp;FINI_grouping_for_wheel[[#This Row],[Selected PV]]&amp;"]]"),"")</f>
        <v>24</v>
      </c>
      <c r="AJ39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8996.494095</v>
      </c>
      <c r="AK3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20.8</v>
      </c>
      <c r="AL394" s="4"/>
      <c r="AM39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v>
      </c>
      <c r="AN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9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94" t="str">
        <f>_xlfn.CONCAT(FINI_grouping_for_wheel[[#This Row],[Recipe Combination]],FINI_grouping_for_wheel[[#This Row],[Subgroup]])</f>
        <v>&lt;3</v>
      </c>
    </row>
    <row r="395" spans="1:55" hidden="1">
      <c r="A395" t="s">
        <v>10</v>
      </c>
      <c r="B395">
        <v>4994569</v>
      </c>
      <c r="C395" t="s">
        <v>1697</v>
      </c>
      <c r="D395">
        <v>8545.42507518</v>
      </c>
      <c r="E395">
        <v>78</v>
      </c>
      <c r="F395">
        <v>1.56</v>
      </c>
      <c r="G395" t="s">
        <v>1707</v>
      </c>
      <c r="H395" t="s">
        <v>1708</v>
      </c>
      <c r="I395">
        <v>462</v>
      </c>
      <c r="J395" t="s">
        <v>90</v>
      </c>
      <c r="K395" t="s">
        <v>1709</v>
      </c>
      <c r="L395" t="s">
        <v>1710</v>
      </c>
      <c r="M395">
        <v>79011.45189</v>
      </c>
      <c r="N395">
        <v>316.04580756</v>
      </c>
      <c r="O395">
        <v>79011.45189</v>
      </c>
      <c r="P395">
        <v>659459.947005</v>
      </c>
      <c r="Q395">
        <v>1</v>
      </c>
      <c r="R395">
        <v>8545.42507518</v>
      </c>
      <c r="S395" t="s">
        <v>118</v>
      </c>
      <c r="T395" t="s">
        <v>93</v>
      </c>
      <c r="U395">
        <v>14</v>
      </c>
      <c r="V395" t="s">
        <v>408</v>
      </c>
      <c r="W395" t="s">
        <v>95</v>
      </c>
      <c r="X395" t="s">
        <v>96</v>
      </c>
      <c r="Y395" s="23" t="s">
        <v>97</v>
      </c>
      <c r="AA395">
        <v>27</v>
      </c>
      <c r="AB395" t="s">
        <v>1711</v>
      </c>
      <c r="AC395" t="s">
        <v>1703</v>
      </c>
      <c r="AD395" s="2">
        <v>2</v>
      </c>
      <c r="AE395" s="2" t="s">
        <v>70</v>
      </c>
      <c r="AF395" t="str">
        <f>_xlfn.CONCAT(FINI_grouping_for_wheel[[#This Row],[SEFI/Plant]],"/",IF(FINI_grouping_for_wheel[[#This Row],[RESET recipe combination]]&lt;&gt;"",FINI_grouping_for_wheel[[#This Row],[RESET recipe combination]],FINI_grouping_for_wheel[[#This Row],[Recipe Combination]]),"/",FINI_grouping_for_wheel[[#This Row],[Subgroup]])</f>
        <v>4994569/THDP/x/2</v>
      </c>
      <c r="AG3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95">
        <f>_xlfn.LET(_xlpm.pct, FINI_grouping_for_wheel[[#This Row],[% forecast within subgroup]], _xlpm.lote, FINI_grouping_for_wheel[[#This Row],[Lot size considered]], _xlpm.pct*_xlpm.lote)</f>
        <v>8545.42507518</v>
      </c>
      <c r="AI395" cm="1">
        <f t="array" aca="1" ref="AI395" ca="1">IFERROR(INDIRECT("FINI_grouping_for_wheel[@["&amp;FINI_grouping_for_wheel[[#This Row],[Selected PV]]&amp;"]]"),"")</f>
        <v>24</v>
      </c>
      <c r="AJ39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8996.494095</v>
      </c>
      <c r="AK3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19.5</v>
      </c>
      <c r="AL395" s="4"/>
      <c r="AM39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v>
      </c>
      <c r="AN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9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95" t="str">
        <f>_xlfn.CONCAT(FINI_grouping_for_wheel[[#This Row],[Recipe Combination]],FINI_grouping_for_wheel[[#This Row],[Subgroup]])</f>
        <v>A2</v>
      </c>
    </row>
    <row r="396" spans="1:55" hidden="1">
      <c r="A396" t="s">
        <v>10</v>
      </c>
      <c r="B396">
        <v>4994569</v>
      </c>
      <c r="C396" t="s">
        <v>1697</v>
      </c>
      <c r="D396">
        <v>8545.42507518</v>
      </c>
      <c r="E396">
        <v>78</v>
      </c>
      <c r="F396">
        <v>1.56</v>
      </c>
      <c r="G396" t="s">
        <v>1712</v>
      </c>
      <c r="H396" t="s">
        <v>1713</v>
      </c>
      <c r="I396">
        <v>300</v>
      </c>
      <c r="J396" t="s">
        <v>90</v>
      </c>
      <c r="K396" t="s">
        <v>552</v>
      </c>
      <c r="L396" t="s">
        <v>553</v>
      </c>
      <c r="M396">
        <v>24432.247485</v>
      </c>
      <c r="N396">
        <v>97.72898994</v>
      </c>
      <c r="O396">
        <v>24432.247485</v>
      </c>
      <c r="P396">
        <v>659459.947005</v>
      </c>
      <c r="Q396">
        <v>1</v>
      </c>
      <c r="R396">
        <v>8545.42507518</v>
      </c>
      <c r="S396" t="s">
        <v>294</v>
      </c>
      <c r="T396" t="s">
        <v>93</v>
      </c>
      <c r="U396">
        <v>12.5</v>
      </c>
      <c r="V396" t="s">
        <v>295</v>
      </c>
      <c r="W396" t="s">
        <v>142</v>
      </c>
      <c r="X396" t="s">
        <v>128</v>
      </c>
      <c r="Y396" s="23" t="s">
        <v>120</v>
      </c>
      <c r="AA396">
        <v>87</v>
      </c>
      <c r="AB396" t="s">
        <v>1714</v>
      </c>
      <c r="AC396" t="s">
        <v>1703</v>
      </c>
      <c r="AD396" s="2">
        <v>3</v>
      </c>
      <c r="AE396" s="2" t="s">
        <v>70</v>
      </c>
      <c r="AF396" t="str">
        <f>_xlfn.CONCAT(FINI_grouping_for_wheel[[#This Row],[SEFI/Plant]],"/",IF(FINI_grouping_for_wheel[[#This Row],[RESET recipe combination]]&lt;&gt;"",FINI_grouping_for_wheel[[#This Row],[RESET recipe combination]],FINI_grouping_for_wheel[[#This Row],[Recipe Combination]]),"/",FINI_grouping_for_wheel[[#This Row],[Subgroup]])</f>
        <v>4994569/THDP/x/3</v>
      </c>
      <c r="AG3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0.3047986175727768</v>
      </c>
      <c r="AH396">
        <f>_xlfn.LET(_xlpm.pct, FINI_grouping_for_wheel[[#This Row],[% forecast within subgroup]], _xlpm.lote, FINI_grouping_for_wheel[[#This Row],[Lot size considered]], _xlpm.pct*_xlpm.lote)</f>
        <v>2604.633749486606</v>
      </c>
      <c r="AI396" cm="1">
        <f t="array" aca="1" ref="AI396" ca="1">IFERROR(INDIRECT("FINI_grouping_for_wheel[@["&amp;FINI_grouping_for_wheel[[#This Row],[Selected PV]]&amp;"]]"),"")</f>
        <v>24</v>
      </c>
      <c r="AJ39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8996.494095</v>
      </c>
      <c r="AK3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9.1</v>
      </c>
      <c r="AL396" s="4"/>
      <c r="AM39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v>
      </c>
      <c r="AN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9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96" t="str">
        <f>_xlfn.CONCAT(FINI_grouping_for_wheel[[#This Row],[Recipe Combination]],FINI_grouping_for_wheel[[#This Row],[Subgroup]])</f>
        <v>C3</v>
      </c>
    </row>
    <row r="397" spans="1:55" hidden="1">
      <c r="A397" t="s">
        <v>10</v>
      </c>
      <c r="B397">
        <v>4994569</v>
      </c>
      <c r="C397" t="s">
        <v>1697</v>
      </c>
      <c r="D397">
        <v>8545.42507518</v>
      </c>
      <c r="E397">
        <v>78</v>
      </c>
      <c r="F397">
        <v>1.56</v>
      </c>
      <c r="G397" t="s">
        <v>1715</v>
      </c>
      <c r="H397" t="s">
        <v>1716</v>
      </c>
      <c r="I397">
        <v>280</v>
      </c>
      <c r="J397" t="s">
        <v>90</v>
      </c>
      <c r="K397" t="s">
        <v>140</v>
      </c>
      <c r="L397" t="s">
        <v>141</v>
      </c>
      <c r="M397">
        <v>85483.860525</v>
      </c>
      <c r="N397">
        <v>341.9354421</v>
      </c>
      <c r="O397">
        <v>85483.860525</v>
      </c>
      <c r="P397">
        <v>659459.947005</v>
      </c>
      <c r="Q397">
        <v>1</v>
      </c>
      <c r="R397">
        <v>8545.42507518</v>
      </c>
      <c r="S397" t="s">
        <v>1717</v>
      </c>
      <c r="T397" t="s">
        <v>93</v>
      </c>
      <c r="U397">
        <v>5</v>
      </c>
      <c r="V397" t="s">
        <v>135</v>
      </c>
      <c r="W397" t="s">
        <v>142</v>
      </c>
      <c r="X397" t="s">
        <v>128</v>
      </c>
      <c r="Y397" s="23" t="s">
        <v>136</v>
      </c>
      <c r="AA397">
        <v>25</v>
      </c>
      <c r="AB397" t="s">
        <v>1718</v>
      </c>
      <c r="AC397" t="s">
        <v>1703</v>
      </c>
      <c r="AD397" s="2">
        <v>5</v>
      </c>
      <c r="AE397" s="2" t="s">
        <v>70</v>
      </c>
      <c r="AF397" t="str">
        <f>_xlfn.CONCAT(FINI_grouping_for_wheel[[#This Row],[SEFI/Plant]],"/",IF(FINI_grouping_for_wheel[[#This Row],[RESET recipe combination]]&lt;&gt;"",FINI_grouping_for_wheel[[#This Row],[RESET recipe combination]],FINI_grouping_for_wheel[[#This Row],[Recipe Combination]]),"/",FINI_grouping_for_wheel[[#This Row],[Subgroup]])</f>
        <v>4994569/THDP/x/5</v>
      </c>
      <c r="AG3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397">
        <f>_xlfn.LET(_xlpm.pct, FINI_grouping_for_wheel[[#This Row],[% forecast within subgroup]], _xlpm.lote, FINI_grouping_for_wheel[[#This Row],[Lot size considered]], _xlpm.pct*_xlpm.lote)</f>
        <v>8545.42507518</v>
      </c>
      <c r="AI397" cm="1">
        <f t="array" aca="1" ref="AI397" ca="1">IFERROR(INDIRECT("FINI_grouping_for_wheel[@["&amp;FINI_grouping_for_wheel[[#This Row],[Selected PV]]&amp;"]]"),"")</f>
        <v>22</v>
      </c>
      <c r="AJ39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8996.494095</v>
      </c>
      <c r="AK3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32.1</v>
      </c>
      <c r="AL397" s="4"/>
      <c r="AM39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v>
      </c>
      <c r="AN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9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97" t="str">
        <f>_xlfn.CONCAT(FINI_grouping_for_wheel[[#This Row],[Recipe Combination]],FINI_grouping_for_wheel[[#This Row],[Subgroup]])</f>
        <v>D5</v>
      </c>
    </row>
    <row r="398" spans="1:55" hidden="1">
      <c r="A398" t="s">
        <v>10</v>
      </c>
      <c r="B398">
        <v>4994569</v>
      </c>
      <c r="C398" t="s">
        <v>1697</v>
      </c>
      <c r="D398">
        <v>8545.42507518</v>
      </c>
      <c r="E398">
        <v>78</v>
      </c>
      <c r="F398">
        <v>1.56</v>
      </c>
      <c r="G398" t="s">
        <v>1719</v>
      </c>
      <c r="H398" t="s">
        <v>1720</v>
      </c>
      <c r="I398">
        <v>280</v>
      </c>
      <c r="J398" t="s">
        <v>90</v>
      </c>
      <c r="K398" t="s">
        <v>557</v>
      </c>
      <c r="L398" t="s">
        <v>558</v>
      </c>
      <c r="M398">
        <v>31533.309675</v>
      </c>
      <c r="N398">
        <v>126.1332387</v>
      </c>
      <c r="O398">
        <v>58883.882985</v>
      </c>
      <c r="P398">
        <v>659459.947005</v>
      </c>
      <c r="Q398">
        <v>0.53551681846512655</v>
      </c>
      <c r="R398">
        <v>4576.21884869</v>
      </c>
      <c r="S398" t="s">
        <v>126</v>
      </c>
      <c r="T398" t="s">
        <v>93</v>
      </c>
      <c r="U398">
        <v>5</v>
      </c>
      <c r="V398" t="s">
        <v>135</v>
      </c>
      <c r="W398" t="s">
        <v>142</v>
      </c>
      <c r="X398" t="s">
        <v>128</v>
      </c>
      <c r="Y398" s="23" t="s">
        <v>136</v>
      </c>
      <c r="AA398">
        <v>68</v>
      </c>
      <c r="AB398" t="s">
        <v>1721</v>
      </c>
      <c r="AC398" t="s">
        <v>1703</v>
      </c>
      <c r="AD398" s="2">
        <v>4</v>
      </c>
      <c r="AE398" s="2" t="s">
        <v>70</v>
      </c>
      <c r="AF398" t="str">
        <f>_xlfn.CONCAT(FINI_grouping_for_wheel[[#This Row],[SEFI/Plant]],"/",IF(FINI_grouping_for_wheel[[#This Row],[RESET recipe combination]]&lt;&gt;"",FINI_grouping_for_wheel[[#This Row],[RESET recipe combination]],FINI_grouping_for_wheel[[#This Row],[Recipe Combination]]),"/",FINI_grouping_for_wheel[[#This Row],[Subgroup]])</f>
        <v>4994569/THDP/x/4</v>
      </c>
      <c r="AG3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0.8781734256511705</v>
      </c>
      <c r="AH398">
        <f>_xlfn.LET(_xlpm.pct, FINI_grouping_for_wheel[[#This Row],[% forecast within subgroup]], _xlpm.lote, FINI_grouping_for_wheel[[#This Row],[Lot size considered]], _xlpm.pct*_xlpm.lote)</f>
        <v>7504.365211916232</v>
      </c>
      <c r="AI398" cm="1">
        <f t="array" aca="1" ref="AI398" ca="1">IFERROR(INDIRECT("FINI_grouping_for_wheel[@["&amp;FINI_grouping_for_wheel[[#This Row],[Selected PV]]&amp;"]]"),"")</f>
        <v>53</v>
      </c>
      <c r="AJ39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8996.494095</v>
      </c>
      <c r="AK3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28.2</v>
      </c>
      <c r="AL398" s="4"/>
      <c r="AM39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53</v>
      </c>
      <c r="AN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9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98" t="str">
        <f>_xlfn.CONCAT(FINI_grouping_for_wheel[[#This Row],[Recipe Combination]],FINI_grouping_for_wheel[[#This Row],[Subgroup]])</f>
        <v>E4</v>
      </c>
    </row>
    <row r="399" spans="1:55" hidden="1">
      <c r="A399" t="s">
        <v>10</v>
      </c>
      <c r="B399">
        <v>4994569</v>
      </c>
      <c r="C399" t="s">
        <v>1697</v>
      </c>
      <c r="D399">
        <v>8545.42507518</v>
      </c>
      <c r="E399">
        <v>78</v>
      </c>
      <c r="F399">
        <v>1.56</v>
      </c>
      <c r="G399" t="s">
        <v>1722</v>
      </c>
      <c r="H399" t="s">
        <v>1723</v>
      </c>
      <c r="I399">
        <v>190</v>
      </c>
      <c r="J399" t="s">
        <v>90</v>
      </c>
      <c r="K399" t="s">
        <v>1724</v>
      </c>
      <c r="L399" t="s">
        <v>1725</v>
      </c>
      <c r="M399">
        <v>27350.57331</v>
      </c>
      <c r="N399">
        <v>109.40229324</v>
      </c>
      <c r="O399">
        <v>58883.882985</v>
      </c>
      <c r="P399">
        <v>659459.947005</v>
      </c>
      <c r="Q399">
        <v>0.46448318153487345</v>
      </c>
      <c r="R399">
        <v>3969.20622649</v>
      </c>
      <c r="S399" t="s">
        <v>126</v>
      </c>
      <c r="T399" t="s">
        <v>93</v>
      </c>
      <c r="U399">
        <v>2.5</v>
      </c>
      <c r="V399" t="s">
        <v>604</v>
      </c>
      <c r="W399" t="s">
        <v>95</v>
      </c>
      <c r="X399" t="s">
        <v>128</v>
      </c>
      <c r="Y399" s="23" t="s">
        <v>136</v>
      </c>
      <c r="AA399">
        <v>78</v>
      </c>
      <c r="AB399" t="s">
        <v>1726</v>
      </c>
      <c r="AC399" t="s">
        <v>1703</v>
      </c>
      <c r="AD399" s="2">
        <v>6</v>
      </c>
      <c r="AE399" s="2" t="s">
        <v>70</v>
      </c>
      <c r="AF399" t="str">
        <f>_xlfn.CONCAT(FINI_grouping_for_wheel[[#This Row],[SEFI/Plant]],"/",IF(FINI_grouping_for_wheel[[#This Row],[RESET recipe combination]]&lt;&gt;"",FINI_grouping_for_wheel[[#This Row],[RESET recipe combination]],FINI_grouping_for_wheel[[#This Row],[Recipe Combination]]),"/",FINI_grouping_for_wheel[[#This Row],[Subgroup]])</f>
        <v>4994569/THDP/x/6</v>
      </c>
      <c r="AG3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0.674767064871338</v>
      </c>
      <c r="AH399">
        <f>_xlfn.LET(_xlpm.pct, FINI_grouping_for_wheel[[#This Row],[% forecast within subgroup]], _xlpm.lote, FINI_grouping_for_wheel[[#This Row],[Lot size considered]], _xlpm.pct*_xlpm.lote)</f>
        <v>5766.171396057141</v>
      </c>
      <c r="AI399" cm="1">
        <f t="array" aca="1" ref="AI399" ca="1">IFERROR(INDIRECT("FINI_grouping_for_wheel[@["&amp;FINI_grouping_for_wheel[[#This Row],[Selected PV]]&amp;"]]"),"")</f>
        <v>47</v>
      </c>
      <c r="AJ39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8996.494095</v>
      </c>
      <c r="AK3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32</v>
      </c>
      <c r="AL399" s="4"/>
      <c r="AM39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47</v>
      </c>
      <c r="AN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3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39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399" t="str">
        <f>_xlfn.CONCAT(FINI_grouping_for_wheel[[#This Row],[Recipe Combination]],FINI_grouping_for_wheel[[#This Row],[Subgroup]])</f>
        <v>E6</v>
      </c>
    </row>
    <row r="400" spans="1:55" hidden="1">
      <c r="A400" t="s">
        <v>10</v>
      </c>
      <c r="B400">
        <v>4994569</v>
      </c>
      <c r="C400" t="s">
        <v>1697</v>
      </c>
      <c r="D400">
        <v>8545.42507518</v>
      </c>
      <c r="E400">
        <v>78</v>
      </c>
      <c r="F400">
        <v>1.56</v>
      </c>
      <c r="G400" t="s">
        <v>1727</v>
      </c>
      <c r="H400" t="s">
        <v>1728</v>
      </c>
      <c r="I400">
        <v>396</v>
      </c>
      <c r="J400" t="s">
        <v>90</v>
      </c>
      <c r="K400" t="s">
        <v>912</v>
      </c>
      <c r="L400" t="s">
        <v>913</v>
      </c>
      <c r="M400">
        <v>18510.354675</v>
      </c>
      <c r="N400">
        <v>74.0414187</v>
      </c>
      <c r="O400">
        <v>24341.0868</v>
      </c>
      <c r="P400">
        <v>659459.947005</v>
      </c>
      <c r="Q400">
        <v>0.76045719844357973</v>
      </c>
      <c r="R400">
        <v>6498.43001218</v>
      </c>
      <c r="S400" t="s">
        <v>914</v>
      </c>
      <c r="T400" t="s">
        <v>93</v>
      </c>
      <c r="U400">
        <v>1</v>
      </c>
      <c r="V400" t="s">
        <v>505</v>
      </c>
      <c r="W400" t="s">
        <v>142</v>
      </c>
      <c r="X400" t="s">
        <v>150</v>
      </c>
      <c r="Y400" s="23" t="s">
        <v>151</v>
      </c>
      <c r="AA400">
        <v>115</v>
      </c>
      <c r="AB400" t="s">
        <v>1729</v>
      </c>
      <c r="AC400" t="s">
        <v>1703</v>
      </c>
      <c r="AD400" s="2">
        <v>7</v>
      </c>
      <c r="AE400" s="2" t="s">
        <v>70</v>
      </c>
      <c r="AF400" t="str">
        <f>_xlfn.CONCAT(FINI_grouping_for_wheel[[#This Row],[SEFI/Plant]],"/",IF(FINI_grouping_for_wheel[[#This Row],[RESET recipe combination]]&lt;&gt;"",FINI_grouping_for_wheel[[#This Row],[RESET recipe combination]],FINI_grouping_for_wheel[[#This Row],[Recipe Combination]]),"/",FINI_grouping_for_wheel[[#This Row],[Subgroup]])</f>
        <v>4994569/THDP/x/7</v>
      </c>
      <c r="AG4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0.7270740327380952</v>
      </c>
      <c r="AH400">
        <f>_xlfn.LET(_xlpm.pct, FINI_grouping_for_wheel[[#This Row],[% forecast within subgroup]], _xlpm.lote, FINI_grouping_for_wheel[[#This Row],[Lot size considered]], _xlpm.pct*_xlpm.lote)</f>
        <v>6213.156670872362</v>
      </c>
      <c r="AI400" cm="1">
        <f t="array" aca="1" ref="AI400" ca="1">IFERROR(INDIRECT("FINI_grouping_for_wheel[@["&amp;FINI_grouping_for_wheel[[#This Row],[Selected PV]]&amp;"]]"),"")</f>
        <v>75</v>
      </c>
      <c r="AJ40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8996.494095</v>
      </c>
      <c r="AK4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16.5</v>
      </c>
      <c r="AL400" s="4"/>
      <c r="AM40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75</v>
      </c>
      <c r="AN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0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00" t="str">
        <f>_xlfn.CONCAT(FINI_grouping_for_wheel[[#This Row],[Recipe Combination]],FINI_grouping_for_wheel[[#This Row],[Subgroup]])</f>
        <v>G7</v>
      </c>
    </row>
    <row r="401" spans="1:55" hidden="1">
      <c r="A401" t="s">
        <v>10</v>
      </c>
      <c r="B401">
        <v>4994569</v>
      </c>
      <c r="C401" t="s">
        <v>1697</v>
      </c>
      <c r="D401">
        <v>8545.42507518</v>
      </c>
      <c r="E401">
        <v>78</v>
      </c>
      <c r="F401">
        <v>1.56</v>
      </c>
      <c r="G401" t="s">
        <v>1730</v>
      </c>
      <c r="H401" t="s">
        <v>1731</v>
      </c>
      <c r="I401">
        <v>396</v>
      </c>
      <c r="J401" t="s">
        <v>90</v>
      </c>
      <c r="K401" t="s">
        <v>503</v>
      </c>
      <c r="L401" t="s">
        <v>504</v>
      </c>
      <c r="M401">
        <v>5830.732125</v>
      </c>
      <c r="N401">
        <v>23.3229285</v>
      </c>
      <c r="O401">
        <v>24341.0868</v>
      </c>
      <c r="P401">
        <v>659459.947005</v>
      </c>
      <c r="Q401">
        <v>0.23954280155642024</v>
      </c>
      <c r="R401">
        <v>2046.995063</v>
      </c>
      <c r="S401" t="s">
        <v>914</v>
      </c>
      <c r="T401" t="s">
        <v>93</v>
      </c>
      <c r="U401">
        <v>1</v>
      </c>
      <c r="V401" t="s">
        <v>505</v>
      </c>
      <c r="W401" t="s">
        <v>142</v>
      </c>
      <c r="X401" t="s">
        <v>150</v>
      </c>
      <c r="Y401" s="23" t="s">
        <v>151</v>
      </c>
      <c r="AA401">
        <v>366</v>
      </c>
      <c r="AB401" t="s">
        <v>1732</v>
      </c>
      <c r="AC401" t="s">
        <v>1703</v>
      </c>
      <c r="AD401" s="2">
        <v>7</v>
      </c>
      <c r="AE401" s="2" t="s">
        <v>70</v>
      </c>
      <c r="AF401" t="str">
        <f>_xlfn.CONCAT(FINI_grouping_for_wheel[[#This Row],[SEFI/Plant]],"/",IF(FINI_grouping_for_wheel[[#This Row],[RESET recipe combination]]&lt;&gt;"",FINI_grouping_for_wheel[[#This Row],[RESET recipe combination]],FINI_grouping_for_wheel[[#This Row],[Recipe Combination]]),"/",FINI_grouping_for_wheel[[#This Row],[Subgroup]])</f>
        <v>4994569/THDP/x/7</v>
      </c>
      <c r="AG4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0.22902715773809526</v>
      </c>
      <c r="AH401">
        <f>_xlfn.LET(_xlpm.pct, FINI_grouping_for_wheel[[#This Row],[% forecast within subgroup]], _xlpm.lote, FINI_grouping_for_wheel[[#This Row],[Lot size considered]], _xlpm.pct*_xlpm.lote)</f>
        <v>1957.1344166323242</v>
      </c>
      <c r="AI401" cm="1">
        <f t="array" aca="1" ref="AI401" ca="1">IFERROR(INDIRECT("FINI_grouping_for_wheel[@["&amp;FINI_grouping_for_wheel[[#This Row],[Selected PV]]&amp;"]]"),"")</f>
        <v>75</v>
      </c>
      <c r="AJ40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8996.494095</v>
      </c>
      <c r="AK4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5.2</v>
      </c>
      <c r="AL401" s="4"/>
      <c r="AM40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75</v>
      </c>
      <c r="AN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0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01" t="str">
        <f>_xlfn.CONCAT(FINI_grouping_for_wheel[[#This Row],[Recipe Combination]],FINI_grouping_for_wheel[[#This Row],[Subgroup]])</f>
        <v>G7</v>
      </c>
    </row>
    <row r="402" spans="1:55" hidden="1">
      <c r="A402" t="s">
        <v>10</v>
      </c>
      <c r="B402">
        <v>4994569</v>
      </c>
      <c r="C402" t="s">
        <v>1697</v>
      </c>
      <c r="D402">
        <v>8545.42507518</v>
      </c>
      <c r="E402">
        <v>78</v>
      </c>
      <c r="F402">
        <v>1.56</v>
      </c>
      <c r="G402" t="s">
        <v>1733</v>
      </c>
      <c r="H402" t="s">
        <v>1734</v>
      </c>
      <c r="I402">
        <v>462</v>
      </c>
      <c r="J402" t="s">
        <v>90</v>
      </c>
      <c r="K402" t="s">
        <v>312</v>
      </c>
      <c r="L402" t="s">
        <v>313</v>
      </c>
      <c r="M402">
        <v>1117.60632</v>
      </c>
      <c r="N402">
        <v>4.47042528</v>
      </c>
      <c r="O402">
        <v>1117.60632</v>
      </c>
      <c r="P402">
        <v>659459.947005</v>
      </c>
      <c r="Q402">
        <v>1</v>
      </c>
      <c r="R402">
        <v>8545.42507518</v>
      </c>
      <c r="S402" t="s">
        <v>307</v>
      </c>
      <c r="T402" t="s">
        <v>93</v>
      </c>
      <c r="U402">
        <v>1</v>
      </c>
      <c r="V402" t="s">
        <v>315</v>
      </c>
      <c r="W402" t="s">
        <v>142</v>
      </c>
      <c r="X402" t="s">
        <v>150</v>
      </c>
      <c r="Y402" s="23" t="s">
        <v>151</v>
      </c>
      <c r="AA402">
        <v>1912</v>
      </c>
      <c r="AB402" t="s">
        <v>1735</v>
      </c>
      <c r="AC402" t="s">
        <v>1703</v>
      </c>
      <c r="AD402" s="2">
        <v>7</v>
      </c>
      <c r="AE402" s="2" t="s">
        <v>70</v>
      </c>
      <c r="AF402" t="str">
        <f>_xlfn.CONCAT(FINI_grouping_for_wheel[[#This Row],[SEFI/Plant]],"/",IF(FINI_grouping_for_wheel[[#This Row],[RESET recipe combination]]&lt;&gt;"",FINI_grouping_for_wheel[[#This Row],[RESET recipe combination]],FINI_grouping_for_wheel[[#This Row],[Recipe Combination]]),"/",FINI_grouping_for_wheel[[#This Row],[Subgroup]])</f>
        <v>4994569/THDP/x/7</v>
      </c>
      <c r="AG4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0.04389880952380953</v>
      </c>
      <c r="AH402">
        <f>_xlfn.LET(_xlpm.pct, FINI_grouping_for_wheel[[#This Row],[% forecast within subgroup]], _xlpm.lote, FINI_grouping_for_wheel[[#This Row],[Lot size considered]], _xlpm.pct*_xlpm.lote)</f>
        <v>375.1339876753125</v>
      </c>
      <c r="AI402" cm="1">
        <f t="array" aca="1" ref="AI402" ca="1">IFERROR(INDIRECT("FINI_grouping_for_wheel[@["&amp;FINI_grouping_for_wheel[[#This Row],[Selected PV]]&amp;"]]"),"")</f>
        <v>75</v>
      </c>
      <c r="AJ40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8996.494095</v>
      </c>
      <c r="AK4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0.9</v>
      </c>
      <c r="AL402" s="4"/>
      <c r="AM40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75</v>
      </c>
      <c r="AN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0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02" t="str">
        <f>_xlfn.CONCAT(FINI_grouping_for_wheel[[#This Row],[Recipe Combination]],FINI_grouping_for_wheel[[#This Row],[Subgroup]])</f>
        <v>H7</v>
      </c>
    </row>
    <row r="403" spans="1:55" hidden="1">
      <c r="A403" t="s">
        <v>10</v>
      </c>
      <c r="B403">
        <v>4994569</v>
      </c>
      <c r="C403" t="s">
        <v>1697</v>
      </c>
      <c r="D403">
        <v>8545.42507518</v>
      </c>
      <c r="E403">
        <v>78</v>
      </c>
      <c r="F403">
        <v>1.56</v>
      </c>
      <c r="G403" t="s">
        <v>1736</v>
      </c>
      <c r="H403" t="s">
        <v>1737</v>
      </c>
      <c r="I403">
        <v>240</v>
      </c>
      <c r="J403" t="s">
        <v>90</v>
      </c>
      <c r="K403" t="s">
        <v>1738</v>
      </c>
      <c r="L403" t="s">
        <v>1739</v>
      </c>
      <c r="M403">
        <v>4374.528975</v>
      </c>
      <c r="N403">
        <v>17.4981159</v>
      </c>
      <c r="O403">
        <v>4374.528975</v>
      </c>
      <c r="P403">
        <v>659459.947005</v>
      </c>
      <c r="Q403">
        <v>1</v>
      </c>
      <c r="R403">
        <v>8545.42507518</v>
      </c>
      <c r="S403" t="s">
        <v>173</v>
      </c>
      <c r="T403" t="s">
        <v>93</v>
      </c>
      <c r="U403">
        <v>5</v>
      </c>
      <c r="V403" t="s">
        <v>119</v>
      </c>
      <c r="W403" t="s">
        <v>95</v>
      </c>
      <c r="X403" t="s">
        <v>96</v>
      </c>
      <c r="Y403" s="23" t="s">
        <v>120</v>
      </c>
      <c r="AA403">
        <v>488</v>
      </c>
      <c r="AB403" t="s">
        <v>1740</v>
      </c>
      <c r="AC403" t="s">
        <v>1703</v>
      </c>
      <c r="AD403" s="2">
        <v>4</v>
      </c>
      <c r="AE403" s="2" t="s">
        <v>70</v>
      </c>
      <c r="AF403" t="str">
        <f>_xlfn.CONCAT(FINI_grouping_for_wheel[[#This Row],[SEFI/Plant]],"/",IF(FINI_grouping_for_wheel[[#This Row],[RESET recipe combination]]&lt;&gt;"",FINI_grouping_for_wheel[[#This Row],[RESET recipe combination]],FINI_grouping_for_wheel[[#This Row],[Recipe Combination]]),"/",FINI_grouping_for_wheel[[#This Row],[Subgroup]])</f>
        <v>4994569/THDP/x/4</v>
      </c>
      <c r="AG4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0.12182657434882956</v>
      </c>
      <c r="AH403">
        <f>_xlfn.LET(_xlpm.pct, FINI_grouping_for_wheel[[#This Row],[% forecast within subgroup]], _xlpm.lote, FINI_grouping_for_wheel[[#This Row],[Lot size considered]], _xlpm.pct*_xlpm.lote)</f>
        <v>1041.0598632637686</v>
      </c>
      <c r="AI403" cm="1">
        <f t="array" aca="1" ref="AI403" ca="1">IFERROR(INDIRECT("FINI_grouping_for_wheel[@["&amp;FINI_grouping_for_wheel[[#This Row],[Selected PV]]&amp;"]]"),"")</f>
        <v>53</v>
      </c>
      <c r="AJ40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8996.494095</v>
      </c>
      <c r="AK4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4.6</v>
      </c>
      <c r="AL403" s="4"/>
      <c r="AM40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53</v>
      </c>
      <c r="AN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0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03" t="str">
        <f>_xlfn.CONCAT(FINI_grouping_for_wheel[[#This Row],[Recipe Combination]],FINI_grouping_for_wheel[[#This Row],[Subgroup]])</f>
        <v>P4</v>
      </c>
    </row>
    <row r="404" spans="1:55" hidden="1">
      <c r="A404" t="s">
        <v>10</v>
      </c>
      <c r="B404">
        <v>4994569</v>
      </c>
      <c r="C404" t="s">
        <v>1697</v>
      </c>
      <c r="D404">
        <v>8545.42507518</v>
      </c>
      <c r="E404">
        <v>78</v>
      </c>
      <c r="F404">
        <v>1.56</v>
      </c>
      <c r="G404" t="s">
        <v>1741</v>
      </c>
      <c r="H404" t="s">
        <v>1742</v>
      </c>
      <c r="I404">
        <v>300</v>
      </c>
      <c r="J404" t="s">
        <v>90</v>
      </c>
      <c r="K404" t="s">
        <v>1743</v>
      </c>
      <c r="L404" t="s">
        <v>1744</v>
      </c>
      <c r="M404">
        <v>312906.0915</v>
      </c>
      <c r="N404">
        <v>1251.624366</v>
      </c>
      <c r="O404">
        <v>312906.0915</v>
      </c>
      <c r="P404">
        <v>659459.947005</v>
      </c>
      <c r="Q404">
        <v>1</v>
      </c>
      <c r="R404">
        <v>8545.42507518</v>
      </c>
      <c r="S404" t="s">
        <v>218</v>
      </c>
      <c r="T404" t="s">
        <v>93</v>
      </c>
      <c r="U404">
        <v>12.5</v>
      </c>
      <c r="V404" t="s">
        <v>295</v>
      </c>
      <c r="W404" t="s">
        <v>95</v>
      </c>
      <c r="X404" t="s">
        <v>128</v>
      </c>
      <c r="Y404" s="23" t="s">
        <v>120</v>
      </c>
      <c r="AA404">
        <v>7</v>
      </c>
      <c r="AB404" t="s">
        <v>1745</v>
      </c>
      <c r="AC404" t="s">
        <v>1703</v>
      </c>
      <c r="AD404" s="2">
        <v>1</v>
      </c>
      <c r="AE404" s="2" t="s">
        <v>70</v>
      </c>
      <c r="AF404" t="str">
        <f>_xlfn.CONCAT(FINI_grouping_for_wheel[[#This Row],[SEFI/Plant]],"/",IF(FINI_grouping_for_wheel[[#This Row],[RESET recipe combination]]&lt;&gt;"",FINI_grouping_for_wheel[[#This Row],[RESET recipe combination]],FINI_grouping_for_wheel[[#This Row],[Recipe Combination]]),"/",FINI_grouping_for_wheel[[#This Row],[Subgroup]])</f>
        <v>4994569/THDP/x/1</v>
      </c>
      <c r="AG4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04">
        <f>_xlfn.LET(_xlpm.pct, FINI_grouping_for_wheel[[#This Row],[% forecast within subgroup]], _xlpm.lote, FINI_grouping_for_wheel[[#This Row],[Lot size considered]], _xlpm.pct*_xlpm.lote)</f>
        <v>8545.42507518</v>
      </c>
      <c r="AI404" cm="1">
        <f t="array" aca="1" ref="AI404" ca="1">IFERROR(INDIRECT("FINI_grouping_for_wheel[@["&amp;FINI_grouping_for_wheel[[#This Row],[Selected PV]]&amp;"]]"),"")</f>
        <v>6</v>
      </c>
      <c r="AJ40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8996.494095</v>
      </c>
      <c r="AK4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30</v>
      </c>
      <c r="AL404" s="4"/>
      <c r="AM40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v>
      </c>
      <c r="AN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0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04" t="str">
        <f>_xlfn.CONCAT(FINI_grouping_for_wheel[[#This Row],[Recipe Combination]],FINI_grouping_for_wheel[[#This Row],[Subgroup]])</f>
        <v>U1</v>
      </c>
    </row>
    <row r="405" spans="1:55" hidden="1">
      <c r="A405" t="s">
        <v>10</v>
      </c>
      <c r="B405">
        <v>4418804</v>
      </c>
      <c r="C405" t="s">
        <v>1746</v>
      </c>
      <c r="D405">
        <v>8327.17882315</v>
      </c>
      <c r="E405">
        <v>70</v>
      </c>
      <c r="F405">
        <v>1.4</v>
      </c>
      <c r="G405" t="s">
        <v>1747</v>
      </c>
      <c r="H405" t="s">
        <v>1748</v>
      </c>
      <c r="I405">
        <v>190</v>
      </c>
      <c r="J405" t="s">
        <v>90</v>
      </c>
      <c r="K405" t="s">
        <v>602</v>
      </c>
      <c r="L405" t="s">
        <v>603</v>
      </c>
      <c r="M405">
        <v>1259.67492</v>
      </c>
      <c r="N405">
        <v>5.03869968</v>
      </c>
      <c r="O405">
        <v>1259.67492</v>
      </c>
      <c r="P405">
        <v>577634.35293</v>
      </c>
      <c r="Q405">
        <v>1</v>
      </c>
      <c r="R405">
        <v>8327.17882315</v>
      </c>
      <c r="S405" t="s">
        <v>104</v>
      </c>
      <c r="T405" t="s">
        <v>93</v>
      </c>
      <c r="U405">
        <v>2.5</v>
      </c>
      <c r="V405" t="s">
        <v>604</v>
      </c>
      <c r="W405" t="s">
        <v>142</v>
      </c>
      <c r="X405" t="s">
        <v>128</v>
      </c>
      <c r="Y405" s="23" t="s">
        <v>136</v>
      </c>
      <c r="AA405">
        <v>1653</v>
      </c>
      <c r="AB405" t="s">
        <v>1749</v>
      </c>
      <c r="AC405" t="s">
        <v>1750</v>
      </c>
      <c r="AD405" s="2">
        <v>6</v>
      </c>
      <c r="AE405" s="2" t="s">
        <v>70</v>
      </c>
      <c r="AF405" t="str">
        <f>_xlfn.CONCAT(FINI_grouping_for_wheel[[#This Row],[SEFI/Plant]],"/",IF(FINI_grouping_for_wheel[[#This Row],[RESET recipe combination]]&lt;&gt;"",FINI_grouping_for_wheel[[#This Row],[RESET recipe combination]],FINI_grouping_for_wheel[[#This Row],[Recipe Combination]]),"/",FINI_grouping_for_wheel[[#This Row],[Subgroup]])</f>
        <v>4418804/THDP/x/6</v>
      </c>
      <c r="AG4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0.196418681927266</v>
      </c>
      <c r="AH405">
        <f>_xlfn.LET(_xlpm.pct, FINI_grouping_for_wheel[[#This Row],[% forecast within subgroup]], _xlpm.lote, FINI_grouping_for_wheel[[#This Row],[Lot size considered]], _xlpm.pct*_xlpm.lote)</f>
        <v>1635.613488615765</v>
      </c>
      <c r="AI405" cm="1">
        <f t="array" aca="1" ref="AI405" ca="1">IFERROR(INDIRECT("FINI_grouping_for_wheel[@["&amp;FINI_grouping_for_wheel[[#This Row],[Selected PV]]&amp;"]]"),"")</f>
        <v>292</v>
      </c>
      <c r="AJ40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8805.88539</v>
      </c>
      <c r="AK4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9.1</v>
      </c>
      <c r="AL405" s="4"/>
      <c r="AM40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292</v>
      </c>
      <c r="AN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0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05" t="str">
        <f>_xlfn.CONCAT(FINI_grouping_for_wheel[[#This Row],[Recipe Combination]],FINI_grouping_for_wheel[[#This Row],[Subgroup]])</f>
        <v>06</v>
      </c>
    </row>
    <row r="406" spans="1:55" hidden="1">
      <c r="A406" t="s">
        <v>10</v>
      </c>
      <c r="B406">
        <v>4418804</v>
      </c>
      <c r="C406" t="s">
        <v>1746</v>
      </c>
      <c r="D406">
        <v>8327.17882315</v>
      </c>
      <c r="E406">
        <v>70</v>
      </c>
      <c r="F406">
        <v>1.4</v>
      </c>
      <c r="G406" t="s">
        <v>1751</v>
      </c>
      <c r="H406" t="s">
        <v>1752</v>
      </c>
      <c r="I406">
        <v>375</v>
      </c>
      <c r="J406" t="s">
        <v>90</v>
      </c>
      <c r="M406">
        <v>352.80369</v>
      </c>
      <c r="N406">
        <v>1.41121476</v>
      </c>
      <c r="O406">
        <v>2696.93559</v>
      </c>
      <c r="P406">
        <v>577634.35293</v>
      </c>
      <c r="Q406">
        <v>0.13081650570676032</v>
      </c>
      <c r="R406">
        <v>1089.33243604</v>
      </c>
      <c r="S406" t="s">
        <v>266</v>
      </c>
      <c r="T406" t="s">
        <v>93</v>
      </c>
      <c r="U406">
        <v>2.5</v>
      </c>
      <c r="AA406">
        <v>5901</v>
      </c>
      <c r="AB406" t="s">
        <v>1753</v>
      </c>
      <c r="AC406" t="s">
        <v>1750</v>
      </c>
      <c r="AD406" s="2">
        <v>6</v>
      </c>
      <c r="AE406" s="2" t="s">
        <v>70</v>
      </c>
      <c r="AF406" t="str">
        <f>_xlfn.CONCAT(FINI_grouping_for_wheel[[#This Row],[SEFI/Plant]],"/",IF(FINI_grouping_for_wheel[[#This Row],[RESET recipe combination]]&lt;&gt;"",FINI_grouping_for_wheel[[#This Row],[RESET recipe combination]],FINI_grouping_for_wheel[[#This Row],[Recipe Combination]]),"/",FINI_grouping_for_wheel[[#This Row],[Subgroup]])</f>
        <v>4418804/THDP/x/6</v>
      </c>
      <c r="AG4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0.055011999261583906</v>
      </c>
      <c r="AH406">
        <f>_xlfn.LET(_xlpm.pct, FINI_grouping_for_wheel[[#This Row],[% forecast within subgroup]], _xlpm.lote, FINI_grouping_for_wheel[[#This Row],[Lot size considered]], _xlpm.pct*_xlpm.lote)</f>
        <v>458.0947552702049</v>
      </c>
      <c r="AI406" cm="1">
        <f t="array" aca="1" ref="AI406" ca="1">IFERROR(INDIRECT("FINI_grouping_for_wheel[@["&amp;FINI_grouping_for_wheel[[#This Row],[Selected PV]]&amp;"]]"),"")</f>
        <v>292</v>
      </c>
      <c r="AJ40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8805.88539</v>
      </c>
      <c r="AK4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v>
      </c>
      <c r="AL406" s="4"/>
      <c r="AM40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292</v>
      </c>
      <c r="AN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0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06" t="str">
        <f>_xlfn.CONCAT(FINI_grouping_for_wheel[[#This Row],[Recipe Combination]],FINI_grouping_for_wheel[[#This Row],[Subgroup]])</f>
        <v>16</v>
      </c>
    </row>
    <row r="407" spans="1:55" hidden="1">
      <c r="A407" t="s">
        <v>10</v>
      </c>
      <c r="B407">
        <v>4418804</v>
      </c>
      <c r="C407" t="s">
        <v>1746</v>
      </c>
      <c r="D407">
        <v>8327.17882315</v>
      </c>
      <c r="E407">
        <v>70</v>
      </c>
      <c r="F407">
        <v>1.4</v>
      </c>
      <c r="G407" t="s">
        <v>1754</v>
      </c>
      <c r="H407" t="s">
        <v>1755</v>
      </c>
      <c r="I407">
        <v>525</v>
      </c>
      <c r="J407" t="s">
        <v>90</v>
      </c>
      <c r="K407" t="s">
        <v>264</v>
      </c>
      <c r="L407" t="s">
        <v>265</v>
      </c>
      <c r="M407">
        <v>2344.1319</v>
      </c>
      <c r="N407">
        <v>9.3765276</v>
      </c>
      <c r="O407">
        <v>2696.93559</v>
      </c>
      <c r="P407">
        <v>577634.35293</v>
      </c>
      <c r="Q407">
        <v>0.86918349429323971</v>
      </c>
      <c r="R407">
        <v>7237.84638711</v>
      </c>
      <c r="S407" t="s">
        <v>266</v>
      </c>
      <c r="T407" t="s">
        <v>93</v>
      </c>
      <c r="U407">
        <v>2.5</v>
      </c>
      <c r="V407" t="s">
        <v>267</v>
      </c>
      <c r="W407" t="s">
        <v>142</v>
      </c>
      <c r="X407" t="s">
        <v>150</v>
      </c>
      <c r="Y407" s="23" t="s">
        <v>151</v>
      </c>
      <c r="AA407">
        <v>888</v>
      </c>
      <c r="AB407" t="s">
        <v>1756</v>
      </c>
      <c r="AC407" t="s">
        <v>1750</v>
      </c>
      <c r="AD407" s="28">
        <v>3</v>
      </c>
      <c r="AE407" s="2" t="s">
        <v>70</v>
      </c>
      <c r="AF407" t="str">
        <f>_xlfn.CONCAT(FINI_grouping_for_wheel[[#This Row],[SEFI/Plant]],"/",IF(FINI_grouping_for_wheel[[#This Row],[RESET recipe combination]]&lt;&gt;"",FINI_grouping_for_wheel[[#This Row],[RESET recipe combination]],FINI_grouping_for_wheel[[#This Row],[Recipe Combination]]),"/",FINI_grouping_for_wheel[[#This Row],[Subgroup]])</f>
        <v>4418804/THDP/x/3</v>
      </c>
      <c r="AG4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0.8642514185945003</v>
      </c>
      <c r="AH407">
        <f>_xlfn.LET(_xlpm.pct, FINI_grouping_for_wheel[[#This Row],[% forecast within subgroup]], _xlpm.lote, FINI_grouping_for_wheel[[#This Row],[Lot size considered]], _xlpm.pct*_xlpm.lote)</f>
        <v>7196.776110797468</v>
      </c>
      <c r="AI407" cm="1">
        <f t="array" aca="1" ref="AI407" ca="1">IFERROR(INDIRECT("FINI_grouping_for_wheel[@["&amp;FINI_grouping_for_wheel[[#This Row],[Selected PV]]&amp;"]]"),"")</f>
        <v>690</v>
      </c>
      <c r="AJ40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8805.88539</v>
      </c>
      <c r="AK4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14.5</v>
      </c>
      <c r="AL407" s="4"/>
      <c r="AM40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690</v>
      </c>
      <c r="AN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0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07" t="str">
        <f>_xlfn.CONCAT(FINI_grouping_for_wheel[[#This Row],[Recipe Combination]],FINI_grouping_for_wheel[[#This Row],[Subgroup]])</f>
        <v>13</v>
      </c>
    </row>
    <row r="408" spans="1:55" hidden="1">
      <c r="A408" t="s">
        <v>10</v>
      </c>
      <c r="B408">
        <v>4418804</v>
      </c>
      <c r="C408" t="s">
        <v>1746</v>
      </c>
      <c r="D408">
        <v>8327.17882315</v>
      </c>
      <c r="E408">
        <v>70</v>
      </c>
      <c r="F408">
        <v>1.4</v>
      </c>
      <c r="G408" t="s">
        <v>1757</v>
      </c>
      <c r="H408" t="s">
        <v>1758</v>
      </c>
      <c r="I408">
        <v>440</v>
      </c>
      <c r="J408" t="s">
        <v>90</v>
      </c>
      <c r="K408" t="s">
        <v>1759</v>
      </c>
      <c r="L408" t="s">
        <v>1760</v>
      </c>
      <c r="M408">
        <v>23287.41135</v>
      </c>
      <c r="N408">
        <v>93.1496454</v>
      </c>
      <c r="O408">
        <v>56827.44</v>
      </c>
      <c r="P408">
        <v>577634.35293</v>
      </c>
      <c r="Q408">
        <v>0.40979166666666667</v>
      </c>
      <c r="R408">
        <v>3412.40848857</v>
      </c>
      <c r="S408" t="s">
        <v>118</v>
      </c>
      <c r="T408" t="s">
        <v>93</v>
      </c>
      <c r="U408">
        <v>10</v>
      </c>
      <c r="V408" t="s">
        <v>94</v>
      </c>
      <c r="W408" t="s">
        <v>95</v>
      </c>
      <c r="X408" t="s">
        <v>96</v>
      </c>
      <c r="Y408" s="23" t="s">
        <v>97</v>
      </c>
      <c r="AA408">
        <v>89</v>
      </c>
      <c r="AB408" t="s">
        <v>1761</v>
      </c>
      <c r="AC408" t="s">
        <v>1750</v>
      </c>
      <c r="AD408" s="2">
        <v>5</v>
      </c>
      <c r="AE408" s="2" t="s">
        <v>70</v>
      </c>
      <c r="AF408" t="str">
        <f>_xlfn.CONCAT(FINI_grouping_for_wheel[[#This Row],[SEFI/Plant]],"/",IF(FINI_grouping_for_wheel[[#This Row],[RESET recipe combination]]&lt;&gt;"",FINI_grouping_for_wheel[[#This Row],[RESET recipe combination]],FINI_grouping_for_wheel[[#This Row],[Recipe Combination]]),"/",FINI_grouping_for_wheel[[#This Row],[Subgroup]])</f>
        <v>4418804/THDP/x/5</v>
      </c>
      <c r="AG4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0.4097916666666666</v>
      </c>
      <c r="AH408">
        <f>_xlfn.LET(_xlpm.pct, FINI_grouping_for_wheel[[#This Row],[% forecast within subgroup]], _xlpm.lote, FINI_grouping_for_wheel[[#This Row],[Lot size considered]], _xlpm.pct*_xlpm.lote)</f>
        <v>3412.40848857001</v>
      </c>
      <c r="AI408" cm="1">
        <f t="array" aca="1" ref="AI408" ca="1">IFERROR(INDIRECT("FINI_grouping_for_wheel[@["&amp;FINI_grouping_for_wheel[[#This Row],[Selected PV]]&amp;"]]"),"")</f>
        <v>33</v>
      </c>
      <c r="AJ40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8805.88539</v>
      </c>
      <c r="AK4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8.2</v>
      </c>
      <c r="AL408" s="4"/>
      <c r="AM40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0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08" t="str">
        <f>_xlfn.CONCAT(FINI_grouping_for_wheel[[#This Row],[Recipe Combination]],FINI_grouping_for_wheel[[#This Row],[Subgroup]])</f>
        <v>A5</v>
      </c>
    </row>
    <row r="409" spans="1:55" hidden="1">
      <c r="A409" t="s">
        <v>10</v>
      </c>
      <c r="B409">
        <v>4418804</v>
      </c>
      <c r="C409" t="s">
        <v>1746</v>
      </c>
      <c r="D409">
        <v>8327.17882315</v>
      </c>
      <c r="E409">
        <v>70</v>
      </c>
      <c r="F409">
        <v>1.4</v>
      </c>
      <c r="G409" t="s">
        <v>1762</v>
      </c>
      <c r="H409" t="s">
        <v>1763</v>
      </c>
      <c r="I409">
        <v>440</v>
      </c>
      <c r="J409" t="s">
        <v>90</v>
      </c>
      <c r="K409" t="s">
        <v>1764</v>
      </c>
      <c r="L409" t="s">
        <v>1765</v>
      </c>
      <c r="M409">
        <v>33540.02865</v>
      </c>
      <c r="N409">
        <v>134.1601146</v>
      </c>
      <c r="O409">
        <v>56827.44</v>
      </c>
      <c r="P409">
        <v>577634.35293</v>
      </c>
      <c r="Q409">
        <v>0.59020833333333333</v>
      </c>
      <c r="R409">
        <v>4914.77033458</v>
      </c>
      <c r="S409" t="s">
        <v>118</v>
      </c>
      <c r="T409" t="s">
        <v>93</v>
      </c>
      <c r="U409">
        <v>10</v>
      </c>
      <c r="V409" t="s">
        <v>94</v>
      </c>
      <c r="W409" t="s">
        <v>95</v>
      </c>
      <c r="X409" t="s">
        <v>96</v>
      </c>
      <c r="Y409" s="23" t="s">
        <v>97</v>
      </c>
      <c r="AA409">
        <v>62</v>
      </c>
      <c r="AB409" t="s">
        <v>1766</v>
      </c>
      <c r="AC409" t="s">
        <v>1750</v>
      </c>
      <c r="AD409" s="2">
        <v>5</v>
      </c>
      <c r="AE409" s="2" t="s">
        <v>70</v>
      </c>
      <c r="AF409" t="str">
        <f>_xlfn.CONCAT(FINI_grouping_for_wheel[[#This Row],[SEFI/Plant]],"/",IF(FINI_grouping_for_wheel[[#This Row],[RESET recipe combination]]&lt;&gt;"",FINI_grouping_for_wheel[[#This Row],[RESET recipe combination]],FINI_grouping_for_wheel[[#This Row],[Recipe Combination]]),"/",FINI_grouping_for_wheel[[#This Row],[Subgroup]])</f>
        <v>4418804/THDP/x/5</v>
      </c>
      <c r="AG4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0.5902083333333333</v>
      </c>
      <c r="AH409">
        <f>_xlfn.LET(_xlpm.pct, FINI_grouping_for_wheel[[#This Row],[% forecast within subgroup]], _xlpm.lote, FINI_grouping_for_wheel[[#This Row],[Lot size considered]], _xlpm.pct*_xlpm.lote)</f>
        <v>4914.770334579989</v>
      </c>
      <c r="AI409" cm="1">
        <f t="array" aca="1" ref="AI409" ca="1">IFERROR(INDIRECT("FINI_grouping_for_wheel[@["&amp;FINI_grouping_for_wheel[[#This Row],[Selected PV]]&amp;"]]"),"")</f>
        <v>33</v>
      </c>
      <c r="AJ40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8805.88539</v>
      </c>
      <c r="AK4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11.8</v>
      </c>
      <c r="AL409" s="4"/>
      <c r="AM40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0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09" t="str">
        <f>_xlfn.CONCAT(FINI_grouping_for_wheel[[#This Row],[Recipe Combination]],FINI_grouping_for_wheel[[#This Row],[Subgroup]])</f>
        <v>A5</v>
      </c>
    </row>
    <row r="410" spans="1:55" hidden="1">
      <c r="A410" t="s">
        <v>10</v>
      </c>
      <c r="B410">
        <v>4418804</v>
      </c>
      <c r="C410" t="s">
        <v>1746</v>
      </c>
      <c r="D410">
        <v>8327.17882315</v>
      </c>
      <c r="E410">
        <v>70</v>
      </c>
      <c r="F410">
        <v>1.4</v>
      </c>
      <c r="G410" t="s">
        <v>1767</v>
      </c>
      <c r="H410" t="s">
        <v>1768</v>
      </c>
      <c r="I410">
        <v>300</v>
      </c>
      <c r="J410" t="s">
        <v>90</v>
      </c>
      <c r="K410" t="s">
        <v>292</v>
      </c>
      <c r="L410" t="s">
        <v>293</v>
      </c>
      <c r="M410">
        <v>162274.306635</v>
      </c>
      <c r="N410">
        <v>649.09722654</v>
      </c>
      <c r="O410">
        <v>231840.564435</v>
      </c>
      <c r="P410">
        <v>577634.35293</v>
      </c>
      <c r="Q410">
        <v>0.69993923207729269</v>
      </c>
      <c r="R410">
        <v>5828.51915085</v>
      </c>
      <c r="S410" t="s">
        <v>294</v>
      </c>
      <c r="T410" t="s">
        <v>93</v>
      </c>
      <c r="U410">
        <v>12.5</v>
      </c>
      <c r="V410" t="s">
        <v>295</v>
      </c>
      <c r="W410" t="s">
        <v>142</v>
      </c>
      <c r="X410" t="s">
        <v>128</v>
      </c>
      <c r="Y410" s="23" t="s">
        <v>120</v>
      </c>
      <c r="AA410">
        <v>13</v>
      </c>
      <c r="AB410" t="s">
        <v>1769</v>
      </c>
      <c r="AC410" t="s">
        <v>1750</v>
      </c>
      <c r="AD410" s="2">
        <v>2</v>
      </c>
      <c r="AE410" s="2" t="s">
        <v>70</v>
      </c>
      <c r="AF410" t="str">
        <f>_xlfn.CONCAT(FINI_grouping_for_wheel[[#This Row],[SEFI/Plant]],"/",IF(FINI_grouping_for_wheel[[#This Row],[RESET recipe combination]]&lt;&gt;"",FINI_grouping_for_wheel[[#This Row],[RESET recipe combination]],FINI_grouping_for_wheel[[#This Row],[Recipe Combination]]),"/",FINI_grouping_for_wheel[[#This Row],[Subgroup]])</f>
        <v>4418804/THDP/x/2</v>
      </c>
      <c r="AG4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10">
        <f>_xlfn.LET(_xlpm.pct, FINI_grouping_for_wheel[[#This Row],[% forecast within subgroup]], _xlpm.lote, FINI_grouping_for_wheel[[#This Row],[Lot size considered]], _xlpm.pct*_xlpm.lote)</f>
        <v>8327.17882315</v>
      </c>
      <c r="AI410" cm="1">
        <f t="array" aca="1" ref="AI410" ca="1">IFERROR(INDIRECT("FINI_grouping_for_wheel[@["&amp;FINI_grouping_for_wheel[[#This Row],[Selected PV]]&amp;"]]"),"")</f>
        <v>12</v>
      </c>
      <c r="AJ41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8805.88539</v>
      </c>
      <c r="AK4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29.4</v>
      </c>
      <c r="AL410" s="4"/>
      <c r="AM41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1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10" t="str">
        <f>_xlfn.CONCAT(FINI_grouping_for_wheel[[#This Row],[Recipe Combination]],FINI_grouping_for_wheel[[#This Row],[Subgroup]])</f>
        <v>C2</v>
      </c>
    </row>
    <row r="411" spans="1:55" hidden="1">
      <c r="A411" t="s">
        <v>10</v>
      </c>
      <c r="B411">
        <v>4418804</v>
      </c>
      <c r="C411" t="s">
        <v>1746</v>
      </c>
      <c r="D411">
        <v>8327.17882315</v>
      </c>
      <c r="E411">
        <v>70</v>
      </c>
      <c r="F411">
        <v>1.4</v>
      </c>
      <c r="G411" t="s">
        <v>1770</v>
      </c>
      <c r="H411" t="s">
        <v>1771</v>
      </c>
      <c r="I411">
        <v>300</v>
      </c>
      <c r="J411" t="s">
        <v>90</v>
      </c>
      <c r="K411" t="s">
        <v>1772</v>
      </c>
      <c r="L411" t="s">
        <v>1773</v>
      </c>
      <c r="M411">
        <v>69566.2578</v>
      </c>
      <c r="N411">
        <v>278.2650312</v>
      </c>
      <c r="O411">
        <v>231840.564435</v>
      </c>
      <c r="P411">
        <v>577634.35293</v>
      </c>
      <c r="Q411">
        <v>0.30006076792270731</v>
      </c>
      <c r="R411">
        <v>2498.6596723</v>
      </c>
      <c r="S411" t="s">
        <v>294</v>
      </c>
      <c r="T411" t="s">
        <v>93</v>
      </c>
      <c r="U411">
        <v>12.5</v>
      </c>
      <c r="V411" t="s">
        <v>295</v>
      </c>
      <c r="W411" t="s">
        <v>142</v>
      </c>
      <c r="X411" t="s">
        <v>128</v>
      </c>
      <c r="Y411" s="23" t="s">
        <v>120</v>
      </c>
      <c r="AA411">
        <v>30</v>
      </c>
      <c r="AB411" t="s">
        <v>1774</v>
      </c>
      <c r="AC411" t="s">
        <v>1750</v>
      </c>
      <c r="AD411" s="2">
        <v>4</v>
      </c>
      <c r="AE411" s="2" t="s">
        <v>70</v>
      </c>
      <c r="AF411" t="str">
        <f>_xlfn.CONCAT(FINI_grouping_for_wheel[[#This Row],[SEFI/Plant]],"/",IF(FINI_grouping_for_wheel[[#This Row],[RESET recipe combination]]&lt;&gt;"",FINI_grouping_for_wheel[[#This Row],[RESET recipe combination]],FINI_grouping_for_wheel[[#This Row],[Recipe Combination]]),"/",FINI_grouping_for_wheel[[#This Row],[Subgroup]])</f>
        <v>4418804/THDP/x/4</v>
      </c>
      <c r="AG4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11">
        <f>_xlfn.LET(_xlpm.pct, FINI_grouping_for_wheel[[#This Row],[% forecast within subgroup]], _xlpm.lote, FINI_grouping_for_wheel[[#This Row],[Lot size considered]], _xlpm.pct*_xlpm.lote)</f>
        <v>8327.17882315</v>
      </c>
      <c r="AI411" cm="1">
        <f t="array" aca="1" ref="AI411" ca="1">IFERROR(INDIRECT("FINI_grouping_for_wheel[@["&amp;FINI_grouping_for_wheel[[#This Row],[Selected PV]]&amp;"]]"),"")</f>
        <v>27</v>
      </c>
      <c r="AJ41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8805.88539</v>
      </c>
      <c r="AK4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29.4</v>
      </c>
      <c r="AL411" s="4"/>
      <c r="AM41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27</v>
      </c>
      <c r="AN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1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11" t="str">
        <f>_xlfn.CONCAT(FINI_grouping_for_wheel[[#This Row],[Recipe Combination]],FINI_grouping_for_wheel[[#This Row],[Subgroup]])</f>
        <v>C4</v>
      </c>
    </row>
    <row r="412" spans="1:55" hidden="1">
      <c r="A412" t="s">
        <v>10</v>
      </c>
      <c r="B412">
        <v>4418804</v>
      </c>
      <c r="C412" t="s">
        <v>1746</v>
      </c>
      <c r="D412">
        <v>8327.17882315</v>
      </c>
      <c r="E412">
        <v>70</v>
      </c>
      <c r="F412">
        <v>1.4</v>
      </c>
      <c r="G412" t="s">
        <v>1775</v>
      </c>
      <c r="H412" t="s">
        <v>1776</v>
      </c>
      <c r="I412">
        <v>280</v>
      </c>
      <c r="J412" t="s">
        <v>90</v>
      </c>
      <c r="K412" t="s">
        <v>140</v>
      </c>
      <c r="L412" t="s">
        <v>141</v>
      </c>
      <c r="M412">
        <v>4800.734775</v>
      </c>
      <c r="N412">
        <v>19.2029391</v>
      </c>
      <c r="O412">
        <v>4800.734775</v>
      </c>
      <c r="P412">
        <v>577634.35293</v>
      </c>
      <c r="Q412">
        <v>1</v>
      </c>
      <c r="R412">
        <v>8327.17882315</v>
      </c>
      <c r="S412" t="s">
        <v>126</v>
      </c>
      <c r="T412" t="s">
        <v>93</v>
      </c>
      <c r="U412">
        <v>5</v>
      </c>
      <c r="V412" t="s">
        <v>135</v>
      </c>
      <c r="W412" t="s">
        <v>142</v>
      </c>
      <c r="X412" t="s">
        <v>128</v>
      </c>
      <c r="Y412" s="23" t="s">
        <v>136</v>
      </c>
      <c r="AA412">
        <v>434</v>
      </c>
      <c r="AB412" t="s">
        <v>1777</v>
      </c>
      <c r="AC412" t="s">
        <v>1750</v>
      </c>
      <c r="AD412" s="2">
        <v>6</v>
      </c>
      <c r="AE412" s="2" t="s">
        <v>70</v>
      </c>
      <c r="AF412" t="str">
        <f>_xlfn.CONCAT(FINI_grouping_for_wheel[[#This Row],[SEFI/Plant]],"/",IF(FINI_grouping_for_wheel[[#This Row],[RESET recipe combination]]&lt;&gt;"",FINI_grouping_for_wheel[[#This Row],[RESET recipe combination]],FINI_grouping_for_wheel[[#This Row],[Recipe Combination]]),"/",FINI_grouping_for_wheel[[#This Row],[Subgroup]])</f>
        <v>4418804/THDP/x/6</v>
      </c>
      <c r="AG4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0.7485693188111501</v>
      </c>
      <c r="AH412">
        <f>_xlfn.LET(_xlpm.pct, FINI_grouping_for_wheel[[#This Row],[% forecast within subgroup]], _xlpm.lote, FINI_grouping_for_wheel[[#This Row],[Lot size considered]], _xlpm.pct*_xlpm.lote)</f>
        <v>6233.47057926403</v>
      </c>
      <c r="AI412" cm="1">
        <f t="array" aca="1" ref="AI412" ca="1">IFERROR(INDIRECT("FINI_grouping_for_wheel[@["&amp;FINI_grouping_for_wheel[[#This Row],[Selected PV]]&amp;"]]"),"")</f>
        <v>292</v>
      </c>
      <c r="AJ41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8805.88539</v>
      </c>
      <c r="AK4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23.5</v>
      </c>
      <c r="AL412" s="4"/>
      <c r="AM41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292</v>
      </c>
      <c r="AN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1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12" t="str">
        <f>_xlfn.CONCAT(FINI_grouping_for_wheel[[#This Row],[Recipe Combination]],FINI_grouping_for_wheel[[#This Row],[Subgroup]])</f>
        <v>E6</v>
      </c>
    </row>
    <row r="413" spans="1:55" hidden="1">
      <c r="A413" t="s">
        <v>10</v>
      </c>
      <c r="B413">
        <v>4418804</v>
      </c>
      <c r="C413" t="s">
        <v>1746</v>
      </c>
      <c r="D413">
        <v>8327.17882315</v>
      </c>
      <c r="E413">
        <v>70</v>
      </c>
      <c r="F413">
        <v>1.4</v>
      </c>
      <c r="G413" t="s">
        <v>1778</v>
      </c>
      <c r="H413" t="s">
        <v>1779</v>
      </c>
      <c r="I413">
        <v>330</v>
      </c>
      <c r="J413" t="s">
        <v>90</v>
      </c>
      <c r="K413" t="s">
        <v>312</v>
      </c>
      <c r="L413" t="s">
        <v>313</v>
      </c>
      <c r="M413">
        <v>368.194455</v>
      </c>
      <c r="N413">
        <v>1.47277782</v>
      </c>
      <c r="O413">
        <v>368.194455</v>
      </c>
      <c r="P413">
        <v>577634.35293</v>
      </c>
      <c r="Q413">
        <v>1</v>
      </c>
      <c r="R413">
        <v>8327.17882315</v>
      </c>
      <c r="S413" t="s">
        <v>314</v>
      </c>
      <c r="T413" t="s">
        <v>93</v>
      </c>
      <c r="U413">
        <v>1</v>
      </c>
      <c r="V413" t="s">
        <v>315</v>
      </c>
      <c r="W413" t="s">
        <v>142</v>
      </c>
      <c r="X413" t="s">
        <v>150</v>
      </c>
      <c r="Y413" s="23" t="s">
        <v>151</v>
      </c>
      <c r="AA413">
        <v>5654</v>
      </c>
      <c r="AB413" t="s">
        <v>1780</v>
      </c>
      <c r="AC413" t="s">
        <v>1750</v>
      </c>
      <c r="AD413" s="28">
        <v>3</v>
      </c>
      <c r="AE413" s="2" t="s">
        <v>70</v>
      </c>
      <c r="AF413" t="str">
        <f>_xlfn.CONCAT(FINI_grouping_for_wheel[[#This Row],[SEFI/Plant]],"/",IF(FINI_grouping_for_wheel[[#This Row],[RESET recipe combination]]&lt;&gt;"",FINI_grouping_for_wheel[[#This Row],[RESET recipe combination]],FINI_grouping_for_wheel[[#This Row],[Recipe Combination]]),"/",FINI_grouping_for_wheel[[#This Row],[Subgroup]])</f>
        <v>4418804/THDP/x/3</v>
      </c>
      <c r="AG4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0.1357485814054998</v>
      </c>
      <c r="AH413">
        <f>_xlfn.LET(_xlpm.pct, FINI_grouping_for_wheel[[#This Row],[% forecast within subgroup]], _xlpm.lote, FINI_grouping_for_wheel[[#This Row],[Lot size considered]], _xlpm.pct*_xlpm.lote)</f>
        <v>1130.4027123525318</v>
      </c>
      <c r="AI413" cm="1">
        <f t="array" aca="1" ref="AI413" ca="1">IFERROR(INDIRECT("FINI_grouping_for_wheel[@["&amp;FINI_grouping_for_wheel[[#This Row],[Selected PV]]&amp;"]]"),"")</f>
        <v>690</v>
      </c>
      <c r="AJ41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8805.88539</v>
      </c>
      <c r="AK4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3.6</v>
      </c>
      <c r="AL413" s="4"/>
      <c r="AM41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690</v>
      </c>
      <c r="AN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1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13" t="str">
        <f>_xlfn.CONCAT(FINI_grouping_for_wheel[[#This Row],[Recipe Combination]],FINI_grouping_for_wheel[[#This Row],[Subgroup]])</f>
        <v>K3</v>
      </c>
    </row>
    <row r="414" spans="1:55" hidden="1">
      <c r="A414" t="s">
        <v>10</v>
      </c>
      <c r="B414">
        <v>4418804</v>
      </c>
      <c r="C414" t="s">
        <v>1746</v>
      </c>
      <c r="D414">
        <v>8327.17882315</v>
      </c>
      <c r="E414">
        <v>70</v>
      </c>
      <c r="F414">
        <v>1.4</v>
      </c>
      <c r="G414" t="s">
        <v>1781</v>
      </c>
      <c r="H414" t="s">
        <v>1782</v>
      </c>
      <c r="I414">
        <v>300</v>
      </c>
      <c r="J414" t="s">
        <v>90</v>
      </c>
      <c r="K414" t="s">
        <v>1783</v>
      </c>
      <c r="L414" t="s">
        <v>1784</v>
      </c>
      <c r="M414">
        <v>279840.808755</v>
      </c>
      <c r="N414">
        <v>1119.36323502</v>
      </c>
      <c r="O414">
        <v>279840.808755</v>
      </c>
      <c r="P414">
        <v>577634.35293</v>
      </c>
      <c r="Q414">
        <v>1</v>
      </c>
      <c r="R414">
        <v>8327.17882315</v>
      </c>
      <c r="S414" t="s">
        <v>218</v>
      </c>
      <c r="T414" t="s">
        <v>93</v>
      </c>
      <c r="U414">
        <v>12.5</v>
      </c>
      <c r="V414" t="s">
        <v>295</v>
      </c>
      <c r="W414" t="s">
        <v>95</v>
      </c>
      <c r="X414" t="s">
        <v>128</v>
      </c>
      <c r="Y414" s="23" t="s">
        <v>120</v>
      </c>
      <c r="AA414">
        <v>7</v>
      </c>
      <c r="AB414" t="s">
        <v>1785</v>
      </c>
      <c r="AC414" t="s">
        <v>1750</v>
      </c>
      <c r="AD414" s="2">
        <v>1</v>
      </c>
      <c r="AE414" s="2" t="s">
        <v>70</v>
      </c>
      <c r="AF414" t="str">
        <f>_xlfn.CONCAT(FINI_grouping_for_wheel[[#This Row],[SEFI/Plant]],"/",IF(FINI_grouping_for_wheel[[#This Row],[RESET recipe combination]]&lt;&gt;"",FINI_grouping_for_wheel[[#This Row],[RESET recipe combination]],FINI_grouping_for_wheel[[#This Row],[Recipe Combination]]),"/",FINI_grouping_for_wheel[[#This Row],[Subgroup]])</f>
        <v>4418804/THDP/x/1</v>
      </c>
      <c r="AG4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14">
        <f>_xlfn.LET(_xlpm.pct, FINI_grouping_for_wheel[[#This Row],[% forecast within subgroup]], _xlpm.lote, FINI_grouping_for_wheel[[#This Row],[Lot size considered]], _xlpm.pct*_xlpm.lote)</f>
        <v>8327.17882315</v>
      </c>
      <c r="AI414" cm="1">
        <f t="array" aca="1" ref="AI414" ca="1">IFERROR(INDIRECT("FINI_grouping_for_wheel[@["&amp;FINI_grouping_for_wheel[[#This Row],[Selected PV]]&amp;"]]"),"")</f>
        <v>7</v>
      </c>
      <c r="AJ41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8805.88539</v>
      </c>
      <c r="AK4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29.4</v>
      </c>
      <c r="AL414" s="4"/>
      <c r="AM41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v>
      </c>
      <c r="AN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1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14" t="str">
        <f>_xlfn.CONCAT(FINI_grouping_for_wheel[[#This Row],[Recipe Combination]],FINI_grouping_for_wheel[[#This Row],[Subgroup]])</f>
        <v>U1</v>
      </c>
    </row>
    <row r="415" spans="1:55" hidden="1">
      <c r="A415" t="s">
        <v>10</v>
      </c>
      <c r="B415">
        <v>4497395</v>
      </c>
      <c r="C415" t="s">
        <v>1786</v>
      </c>
      <c r="D415">
        <v>8258.80885791</v>
      </c>
      <c r="E415">
        <v>69</v>
      </c>
      <c r="F415">
        <v>1.38</v>
      </c>
      <c r="G415" t="s">
        <v>1787</v>
      </c>
      <c r="H415" t="s">
        <v>1788</v>
      </c>
      <c r="I415">
        <v>525</v>
      </c>
      <c r="J415" t="s">
        <v>90</v>
      </c>
      <c r="K415" t="s">
        <v>264</v>
      </c>
      <c r="L415" t="s">
        <v>265</v>
      </c>
      <c r="M415">
        <v>700.87176</v>
      </c>
      <c r="N415">
        <v>2.80348704</v>
      </c>
      <c r="O415">
        <v>700.87176</v>
      </c>
      <c r="P415">
        <v>564894.351225</v>
      </c>
      <c r="Q415">
        <v>1</v>
      </c>
      <c r="R415">
        <v>8258.80885791</v>
      </c>
      <c r="S415" t="s">
        <v>266</v>
      </c>
      <c r="T415" t="s">
        <v>93</v>
      </c>
      <c r="U415">
        <v>2.5</v>
      </c>
      <c r="V415" t="s">
        <v>267</v>
      </c>
      <c r="W415" t="s">
        <v>142</v>
      </c>
      <c r="X415" t="s">
        <v>150</v>
      </c>
      <c r="Y415" s="23" t="s">
        <v>151</v>
      </c>
      <c r="AA415">
        <v>2946</v>
      </c>
      <c r="AB415" t="s">
        <v>1789</v>
      </c>
      <c r="AC415" t="s">
        <v>1790</v>
      </c>
      <c r="AD415" s="2">
        <v>60</v>
      </c>
      <c r="AE415" s="2" t="s">
        <v>70</v>
      </c>
      <c r="AF415" t="str">
        <f>_xlfn.CONCAT(FINI_grouping_for_wheel[[#This Row],[SEFI/Plant]],"/",IF(FINI_grouping_for_wheel[[#This Row],[RESET recipe combination]]&lt;&gt;"",FINI_grouping_for_wheel[[#This Row],[RESET recipe combination]],FINI_grouping_for_wheel[[#This Row],[Recipe Combination]]),"/",FINI_grouping_for_wheel[[#This Row],[Subgroup]])</f>
        <v>4497395/THDP/x/60</v>
      </c>
      <c r="AG4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0.2687244666364049</v>
      </c>
      <c r="AH415">
        <f>_xlfn.LET(_xlpm.pct, FINI_grouping_for_wheel[[#This Row],[% forecast within subgroup]], _xlpm.lote, FINI_grouping_for_wheel[[#This Row],[Lot size considered]], _xlpm.pct*_xlpm.lote)</f>
        <v>2219.344005393881</v>
      </c>
      <c r="AI415" cm="1">
        <f t="array" aca="1" ref="AI415" ca="1">IFERROR(INDIRECT("FINI_grouping_for_wheel[@["&amp;FINI_grouping_for_wheel[[#This Row],[Selected PV]]&amp;"]]"),"")</f>
        <v>726</v>
      </c>
      <c r="AJ41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4.6</v>
      </c>
      <c r="AL415" s="4"/>
      <c r="AM41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726</v>
      </c>
      <c r="AN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1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15" t="str">
        <f>_xlfn.CONCAT(FINI_grouping_for_wheel[[#This Row],[Recipe Combination]],FINI_grouping_for_wheel[[#This Row],[Subgroup]])</f>
        <v>160</v>
      </c>
    </row>
    <row r="416" spans="1:55" hidden="1">
      <c r="A416" t="s">
        <v>10</v>
      </c>
      <c r="B416">
        <v>4497395</v>
      </c>
      <c r="C416" t="s">
        <v>1786</v>
      </c>
      <c r="D416">
        <v>8258.80885791</v>
      </c>
      <c r="E416">
        <v>69</v>
      </c>
      <c r="F416">
        <v>1.38</v>
      </c>
      <c r="G416" t="s">
        <v>1791</v>
      </c>
      <c r="H416" t="s">
        <v>1792</v>
      </c>
      <c r="I416">
        <v>480</v>
      </c>
      <c r="J416" t="s">
        <v>90</v>
      </c>
      <c r="K416" t="s">
        <v>515</v>
      </c>
      <c r="L416" t="s">
        <v>516</v>
      </c>
      <c r="M416">
        <v>1438.444575</v>
      </c>
      <c r="N416">
        <v>5.7537783</v>
      </c>
      <c r="O416">
        <v>1438.444575</v>
      </c>
      <c r="P416">
        <v>564894.351225</v>
      </c>
      <c r="Q416">
        <v>1</v>
      </c>
      <c r="R416">
        <v>8258.80885791</v>
      </c>
      <c r="S416" t="s">
        <v>990</v>
      </c>
      <c r="T416" t="s">
        <v>93</v>
      </c>
      <c r="U416">
        <v>5</v>
      </c>
      <c r="V416" t="s">
        <v>518</v>
      </c>
      <c r="W416" t="s">
        <v>142</v>
      </c>
      <c r="X416" t="s">
        <v>150</v>
      </c>
      <c r="Y416" s="23" t="s">
        <v>151</v>
      </c>
      <c r="AA416">
        <v>1435</v>
      </c>
      <c r="AB416" t="s">
        <v>1793</v>
      </c>
      <c r="AC416" t="s">
        <v>1790</v>
      </c>
      <c r="AD416" s="2">
        <v>50</v>
      </c>
      <c r="AE416" s="2" t="s">
        <v>70</v>
      </c>
      <c r="AF416" t="str">
        <f>_xlfn.CONCAT(FINI_grouping_for_wheel[[#This Row],[SEFI/Plant]],"/",IF(FINI_grouping_for_wheel[[#This Row],[RESET recipe combination]]&lt;&gt;"",FINI_grouping_for_wheel[[#This Row],[RESET recipe combination]],FINI_grouping_for_wheel[[#This Row],[Recipe Combination]]),"/",FINI_grouping_for_wheel[[#This Row],[Subgroup]])</f>
        <v>4497395/THDP/x/50</v>
      </c>
      <c r="AG4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0.30759493670886073</v>
      </c>
      <c r="AH416">
        <f>_xlfn.LET(_xlpm.pct, FINI_grouping_for_wheel[[#This Row],[% forecast within subgroup]], _xlpm.lote, FINI_grouping_for_wheel[[#This Row],[Lot size considered]], _xlpm.pct*_xlpm.lote)</f>
        <v>2540.367787939405</v>
      </c>
      <c r="AI416" cm="1">
        <f t="array" aca="1" ref="AI416" ca="1">IFERROR(INDIRECT("FINI_grouping_for_wheel[@["&amp;FINI_grouping_for_wheel[[#This Row],[Selected PV]]&amp;"]]"),"")</f>
        <v>405</v>
      </c>
      <c r="AJ41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5.7</v>
      </c>
      <c r="AL416" s="4"/>
      <c r="AM41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405</v>
      </c>
      <c r="AN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1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16" t="str">
        <f>_xlfn.CONCAT(FINI_grouping_for_wheel[[#This Row],[Recipe Combination]],FINI_grouping_for_wheel[[#This Row],[Subgroup]])</f>
        <v>250</v>
      </c>
    </row>
    <row r="417" spans="1:55" hidden="1">
      <c r="A417" t="s">
        <v>10</v>
      </c>
      <c r="B417">
        <v>4497395</v>
      </c>
      <c r="C417" t="s">
        <v>1786</v>
      </c>
      <c r="D417">
        <v>8258.80885791</v>
      </c>
      <c r="E417">
        <v>69</v>
      </c>
      <c r="F417">
        <v>1.38</v>
      </c>
      <c r="G417" t="s">
        <v>1794</v>
      </c>
      <c r="H417" t="s">
        <v>1795</v>
      </c>
      <c r="I417">
        <v>360</v>
      </c>
      <c r="J417" t="s">
        <v>90</v>
      </c>
      <c r="K417" t="s">
        <v>360</v>
      </c>
      <c r="L417" t="s">
        <v>361</v>
      </c>
      <c r="M417">
        <v>1588.80051</v>
      </c>
      <c r="N417">
        <v>6.35520204</v>
      </c>
      <c r="O417">
        <v>22958.28576</v>
      </c>
      <c r="P417">
        <v>564894.351225</v>
      </c>
      <c r="Q417">
        <v>6.9203795379537955E-2</v>
      </c>
      <c r="R417">
        <v>571.540918282</v>
      </c>
      <c r="S417" t="s">
        <v>118</v>
      </c>
      <c r="T417" t="s">
        <v>93</v>
      </c>
      <c r="U417">
        <v>0.5</v>
      </c>
      <c r="V417" t="s">
        <v>149</v>
      </c>
      <c r="W417" t="s">
        <v>142</v>
      </c>
      <c r="X417" t="s">
        <v>150</v>
      </c>
      <c r="Y417" s="23" t="s">
        <v>151</v>
      </c>
      <c r="AA417">
        <v>1300</v>
      </c>
      <c r="AB417" t="s">
        <v>1796</v>
      </c>
      <c r="AC417" t="s">
        <v>1790</v>
      </c>
      <c r="AD417" s="2">
        <v>60</v>
      </c>
      <c r="AE417" s="2" t="s">
        <v>70</v>
      </c>
      <c r="AF417" t="str">
        <f>_xlfn.CONCAT(FINI_grouping_for_wheel[[#This Row],[SEFI/Plant]],"/",IF(FINI_grouping_for_wheel[[#This Row],[RESET recipe combination]]&lt;&gt;"",FINI_grouping_for_wheel[[#This Row],[RESET recipe combination]],FINI_grouping_for_wheel[[#This Row],[Recipe Combination]]),"/",FINI_grouping_for_wheel[[#This Row],[Subgroup]])</f>
        <v>4497395/THDP/x/60</v>
      </c>
      <c r="AG4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0.6091693145710395</v>
      </c>
      <c r="AH417">
        <f>_xlfn.LET(_xlpm.pct, FINI_grouping_for_wheel[[#This Row],[% forecast within subgroup]], _xlpm.lote, FINI_grouping_for_wheel[[#This Row],[Lot size considered]], _xlpm.pct*_xlpm.lote)</f>
        <v>5031.012931146264</v>
      </c>
      <c r="AI417" cm="1">
        <f t="array" aca="1" ref="AI417" ca="1">IFERROR(INDIRECT("FINI_grouping_for_wheel[@["&amp;FINI_grouping_for_wheel[[#This Row],[Selected PV]]&amp;"]]"),"")</f>
        <v>726</v>
      </c>
      <c r="AJ41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15.1</v>
      </c>
      <c r="AL417" s="4"/>
      <c r="AM41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726</v>
      </c>
      <c r="AN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1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17" t="str">
        <f>_xlfn.CONCAT(FINI_grouping_for_wheel[[#This Row],[Recipe Combination]],FINI_grouping_for_wheel[[#This Row],[Subgroup]])</f>
        <v>A60</v>
      </c>
    </row>
    <row r="418" spans="1:55" hidden="1">
      <c r="A418" t="s">
        <v>10</v>
      </c>
      <c r="B418">
        <v>4497395</v>
      </c>
      <c r="C418" t="s">
        <v>1786</v>
      </c>
      <c r="D418">
        <v>8258.80885791</v>
      </c>
      <c r="E418">
        <v>69</v>
      </c>
      <c r="F418">
        <v>1.38</v>
      </c>
      <c r="G418" t="s">
        <v>1797</v>
      </c>
      <c r="H418" t="s">
        <v>1798</v>
      </c>
      <c r="I418">
        <v>440</v>
      </c>
      <c r="J418" t="s">
        <v>90</v>
      </c>
      <c r="K418" t="s">
        <v>1049</v>
      </c>
      <c r="L418" t="s">
        <v>1050</v>
      </c>
      <c r="M418">
        <v>21369.48525</v>
      </c>
      <c r="N418">
        <v>85.477941</v>
      </c>
      <c r="O418">
        <v>22958.28576</v>
      </c>
      <c r="P418">
        <v>564894.351225</v>
      </c>
      <c r="Q418">
        <v>0.93079620462046209</v>
      </c>
      <c r="R418">
        <v>7687.26793963</v>
      </c>
      <c r="S418" t="s">
        <v>118</v>
      </c>
      <c r="T418" t="s">
        <v>93</v>
      </c>
      <c r="U418">
        <v>10</v>
      </c>
      <c r="V418" t="s">
        <v>94</v>
      </c>
      <c r="W418" t="s">
        <v>95</v>
      </c>
      <c r="X418" t="s">
        <v>96</v>
      </c>
      <c r="Y418" s="23" t="s">
        <v>97</v>
      </c>
      <c r="AA418">
        <v>97</v>
      </c>
      <c r="AB418" t="s">
        <v>1799</v>
      </c>
      <c r="AC418" t="s">
        <v>1790</v>
      </c>
      <c r="AD418" s="2">
        <v>4</v>
      </c>
      <c r="AE418" s="2" t="s">
        <v>70</v>
      </c>
      <c r="AF418" t="str">
        <f>_xlfn.CONCAT(FINI_grouping_for_wheel[[#This Row],[SEFI/Plant]],"/",IF(FINI_grouping_for_wheel[[#This Row],[RESET recipe combination]]&lt;&gt;"",FINI_grouping_for_wheel[[#This Row],[RESET recipe combination]],FINI_grouping_for_wheel[[#This Row],[Recipe Combination]]),"/",FINI_grouping_for_wheel[[#This Row],[Subgroup]])</f>
        <v>4497395/THDP/x/4</v>
      </c>
      <c r="AG4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0.5609073958980733</v>
      </c>
      <c r="AH418">
        <f>_xlfn.LET(_xlpm.pct, FINI_grouping_for_wheel[[#This Row],[% forecast within subgroup]], _xlpm.lote, FINI_grouping_for_wheel[[#This Row],[Lot size considered]], _xlpm.pct*_xlpm.lote)</f>
        <v>4632.426969710239</v>
      </c>
      <c r="AI418" cm="1">
        <f t="array" aca="1" ref="AI418" ca="1">IFERROR(INDIRECT("FINI_grouping_for_wheel[@["&amp;FINI_grouping_for_wheel[[#This Row],[Selected PV]]&amp;"]]"),"")</f>
        <v>50</v>
      </c>
      <c r="AJ41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11.4</v>
      </c>
      <c r="AL418" s="4"/>
      <c r="AM41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50</v>
      </c>
      <c r="AN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1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18" t="str">
        <f>_xlfn.CONCAT(FINI_grouping_for_wheel[[#This Row],[Recipe Combination]],FINI_grouping_for_wheel[[#This Row],[Subgroup]])</f>
        <v>A4</v>
      </c>
    </row>
    <row r="419" spans="1:55" hidden="1">
      <c r="A419" t="s">
        <v>10</v>
      </c>
      <c r="B419">
        <v>4497395</v>
      </c>
      <c r="C419" t="s">
        <v>1786</v>
      </c>
      <c r="D419">
        <v>8258.80885791</v>
      </c>
      <c r="E419">
        <v>69</v>
      </c>
      <c r="F419">
        <v>1.38</v>
      </c>
      <c r="G419" t="s">
        <v>1800</v>
      </c>
      <c r="H419" t="s">
        <v>1801</v>
      </c>
      <c r="I419">
        <v>240</v>
      </c>
      <c r="J419" t="s">
        <v>90</v>
      </c>
      <c r="K419" t="s">
        <v>292</v>
      </c>
      <c r="L419" t="s">
        <v>293</v>
      </c>
      <c r="M419">
        <v>36168.29775</v>
      </c>
      <c r="N419">
        <v>144.673191</v>
      </c>
      <c r="O419">
        <v>36168.29775</v>
      </c>
      <c r="P419">
        <v>564894.351225</v>
      </c>
      <c r="Q419">
        <v>1</v>
      </c>
      <c r="R419">
        <v>8258.80885791</v>
      </c>
      <c r="S419" t="s">
        <v>126</v>
      </c>
      <c r="T419" t="s">
        <v>93</v>
      </c>
      <c r="U419">
        <v>10</v>
      </c>
      <c r="V419" t="s">
        <v>295</v>
      </c>
      <c r="W419" t="s">
        <v>142</v>
      </c>
      <c r="X419" t="s">
        <v>128</v>
      </c>
      <c r="Y419" s="23" t="s">
        <v>120</v>
      </c>
      <c r="AA419">
        <v>57</v>
      </c>
      <c r="AB419" t="s">
        <v>1802</v>
      </c>
      <c r="AC419" t="s">
        <v>1790</v>
      </c>
      <c r="AD419" s="2">
        <v>5</v>
      </c>
      <c r="AE419" s="2" t="s">
        <v>70</v>
      </c>
      <c r="AF419" t="str">
        <f>_xlfn.CONCAT(FINI_grouping_for_wheel[[#This Row],[SEFI/Plant]],"/",IF(FINI_grouping_for_wheel[[#This Row],[RESET recipe combination]]&lt;&gt;"",FINI_grouping_for_wheel[[#This Row],[RESET recipe combination]],FINI_grouping_for_wheel[[#This Row],[Recipe Combination]]),"/",FINI_grouping_for_wheel[[#This Row],[Subgroup]])</f>
        <v>4497395/THDP/x/5</v>
      </c>
      <c r="AG4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0.8592321755027422</v>
      </c>
      <c r="AH419">
        <f>_xlfn.LET(_xlpm.pct, FINI_grouping_for_wheel[[#This Row],[% forecast within subgroup]], _xlpm.lote, FINI_grouping_for_wheel[[#This Row],[Lot size considered]], _xlpm.pct*_xlpm.lote)</f>
        <v>7096.234302043327</v>
      </c>
      <c r="AI419" cm="1">
        <f t="array" aca="1" ref="AI419" ca="1">IFERROR(INDIRECT("FINI_grouping_for_wheel[@["&amp;FINI_grouping_for_wheel[[#This Row],[Selected PV]]&amp;"]]"),"")</f>
        <v>45</v>
      </c>
      <c r="AJ41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31.9</v>
      </c>
      <c r="AL419" s="4"/>
      <c r="AM41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45</v>
      </c>
      <c r="AN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1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19" t="str">
        <f>_xlfn.CONCAT(FINI_grouping_for_wheel[[#This Row],[Recipe Combination]],FINI_grouping_for_wheel[[#This Row],[Subgroup]])</f>
        <v>E5</v>
      </c>
    </row>
    <row r="420" spans="1:55" hidden="1">
      <c r="A420" t="s">
        <v>10</v>
      </c>
      <c r="B420">
        <v>4497395</v>
      </c>
      <c r="C420" t="s">
        <v>1786</v>
      </c>
      <c r="D420">
        <v>8258.80885791</v>
      </c>
      <c r="E420">
        <v>69</v>
      </c>
      <c r="F420">
        <v>1.38</v>
      </c>
      <c r="G420" t="s">
        <v>1803</v>
      </c>
      <c r="H420" t="s">
        <v>1804</v>
      </c>
      <c r="I420">
        <v>270</v>
      </c>
      <c r="J420" t="s">
        <v>90</v>
      </c>
      <c r="K420" t="s">
        <v>1805</v>
      </c>
      <c r="L420" t="s">
        <v>1806</v>
      </c>
      <c r="M420">
        <v>2355.97095</v>
      </c>
      <c r="N420">
        <v>9.4238838</v>
      </c>
      <c r="O420">
        <v>2355.97095</v>
      </c>
      <c r="P420">
        <v>564894.351225</v>
      </c>
      <c r="Q420">
        <v>1</v>
      </c>
      <c r="R420">
        <v>8258.80885791</v>
      </c>
      <c r="S420" t="s">
        <v>619</v>
      </c>
      <c r="T420" t="s">
        <v>93</v>
      </c>
      <c r="U420">
        <v>10</v>
      </c>
      <c r="V420" t="s">
        <v>158</v>
      </c>
      <c r="W420" t="s">
        <v>159</v>
      </c>
      <c r="X420" t="s">
        <v>96</v>
      </c>
      <c r="Y420" s="23" t="s">
        <v>97</v>
      </c>
      <c r="AA420">
        <v>876</v>
      </c>
      <c r="AB420" t="s">
        <v>1807</v>
      </c>
      <c r="AC420" t="s">
        <v>1790</v>
      </c>
      <c r="AD420" s="2">
        <v>5</v>
      </c>
      <c r="AE420" s="2" t="s">
        <v>70</v>
      </c>
      <c r="AF420" t="str">
        <f>_xlfn.CONCAT(FINI_grouping_for_wheel[[#This Row],[SEFI/Plant]],"/",IF(FINI_grouping_for_wheel[[#This Row],[RESET recipe combination]]&lt;&gt;"",FINI_grouping_for_wheel[[#This Row],[RESET recipe combination]],FINI_grouping_for_wheel[[#This Row],[Recipe Combination]]),"/",FINI_grouping_for_wheel[[#This Row],[Subgroup]])</f>
        <v>4497395/THDP/x/5</v>
      </c>
      <c r="AG4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0.05596962452538321</v>
      </c>
      <c r="AH420">
        <f>_xlfn.LET(_xlpm.pct, FINI_grouping_for_wheel[[#This Row],[% forecast within subgroup]], _xlpm.lote, FINI_grouping_for_wheel[[#This Row],[Lot size considered]], _xlpm.pct*_xlpm.lote)</f>
        <v>462.2424308041317</v>
      </c>
      <c r="AI420" cm="1">
        <f t="array" aca="1" ref="AI420" ca="1">IFERROR(INDIRECT("FINI_grouping_for_wheel[@["&amp;FINI_grouping_for_wheel[[#This Row],[Selected PV]]&amp;"]]"),"")</f>
        <v>45</v>
      </c>
      <c r="AJ42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v>
      </c>
      <c r="AL420" s="4"/>
      <c r="AM42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45</v>
      </c>
      <c r="AN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2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20" t="str">
        <f>_xlfn.CONCAT(FINI_grouping_for_wheel[[#This Row],[Recipe Combination]],FINI_grouping_for_wheel[[#This Row],[Subgroup]])</f>
        <v>J5</v>
      </c>
    </row>
    <row r="421" spans="1:55" hidden="1">
      <c r="A421" t="s">
        <v>10</v>
      </c>
      <c r="B421">
        <v>4497395</v>
      </c>
      <c r="C421" t="s">
        <v>1786</v>
      </c>
      <c r="D421">
        <v>8258.80885791</v>
      </c>
      <c r="E421">
        <v>69</v>
      </c>
      <c r="F421">
        <v>1.38</v>
      </c>
      <c r="G421" t="s">
        <v>1808</v>
      </c>
      <c r="H421" t="s">
        <v>1809</v>
      </c>
      <c r="I421">
        <v>330</v>
      </c>
      <c r="J421" t="s">
        <v>90</v>
      </c>
      <c r="K421" t="s">
        <v>312</v>
      </c>
      <c r="L421" t="s">
        <v>313</v>
      </c>
      <c r="M421">
        <v>286.50501</v>
      </c>
      <c r="N421">
        <v>1.14602004</v>
      </c>
      <c r="O421">
        <v>318.470445</v>
      </c>
      <c r="P421">
        <v>564894.351225</v>
      </c>
      <c r="Q421">
        <v>0.8996282527881041</v>
      </c>
      <c r="R421">
        <v>7429.85778296</v>
      </c>
      <c r="S421" t="s">
        <v>314</v>
      </c>
      <c r="T421" t="s">
        <v>93</v>
      </c>
      <c r="U421">
        <v>1</v>
      </c>
      <c r="V421" t="s">
        <v>315</v>
      </c>
      <c r="W421" t="s">
        <v>142</v>
      </c>
      <c r="X421" t="s">
        <v>150</v>
      </c>
      <c r="Y421" s="23" t="s">
        <v>151</v>
      </c>
      <c r="AA421">
        <v>7207</v>
      </c>
      <c r="AB421" t="s">
        <v>1810</v>
      </c>
      <c r="AC421" t="s">
        <v>1790</v>
      </c>
      <c r="AD421" s="2">
        <v>60</v>
      </c>
      <c r="AE421" s="2" t="s">
        <v>70</v>
      </c>
      <c r="AF421" t="str">
        <f>_xlfn.CONCAT(FINI_grouping_for_wheel[[#This Row],[SEFI/Plant]],"/",IF(FINI_grouping_for_wheel[[#This Row],[RESET recipe combination]]&lt;&gt;"",FINI_grouping_for_wheel[[#This Row],[RESET recipe combination]],FINI_grouping_for_wheel[[#This Row],[Recipe Combination]]),"/",FINI_grouping_for_wheel[[#This Row],[Subgroup]])</f>
        <v>4497395/THDP/x/60</v>
      </c>
      <c r="AG4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0.10985020426690878</v>
      </c>
      <c r="AH421">
        <f>_xlfn.LET(_xlpm.pct, FINI_grouping_for_wheel[[#This Row],[% forecast within subgroup]], _xlpm.lote, FINI_grouping_for_wheel[[#This Row],[Lot size considered]], _xlpm.pct*_xlpm.lote)</f>
        <v>907.2318400427691</v>
      </c>
      <c r="AI421" cm="1">
        <f t="array" aca="1" ref="AI421" ca="1">IFERROR(INDIRECT("FINI_grouping_for_wheel[@["&amp;FINI_grouping_for_wheel[[#This Row],[Selected PV]]&amp;"]]"),"")</f>
        <v>726</v>
      </c>
      <c r="AJ42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v>
      </c>
      <c r="AL421" s="4"/>
      <c r="AM42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726</v>
      </c>
      <c r="AN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2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21" t="str">
        <f>_xlfn.CONCAT(FINI_grouping_for_wheel[[#This Row],[Recipe Combination]],FINI_grouping_for_wheel[[#This Row],[Subgroup]])</f>
        <v>K60</v>
      </c>
    </row>
    <row r="422" spans="1:55" hidden="1">
      <c r="A422" t="s">
        <v>10</v>
      </c>
      <c r="B422">
        <v>4497395</v>
      </c>
      <c r="C422" t="s">
        <v>1786</v>
      </c>
      <c r="D422">
        <v>8258.80885791</v>
      </c>
      <c r="E422">
        <v>69</v>
      </c>
      <c r="F422">
        <v>1.38</v>
      </c>
      <c r="G422" t="s">
        <v>1811</v>
      </c>
      <c r="H422" t="s">
        <v>1812</v>
      </c>
      <c r="I422">
        <v>462</v>
      </c>
      <c r="J422" t="s">
        <v>90</v>
      </c>
      <c r="K422" t="s">
        <v>312</v>
      </c>
      <c r="L422" t="s">
        <v>313</v>
      </c>
      <c r="M422">
        <v>31.965435</v>
      </c>
      <c r="N422">
        <v>0.12786174</v>
      </c>
      <c r="O422">
        <v>318.470445</v>
      </c>
      <c r="P422">
        <v>564894.351225</v>
      </c>
      <c r="Q422">
        <v>0.10037174721189591</v>
      </c>
      <c r="R422">
        <v>828.951074958</v>
      </c>
      <c r="S422" t="s">
        <v>314</v>
      </c>
      <c r="T422" t="s">
        <v>93</v>
      </c>
      <c r="U422">
        <v>1</v>
      </c>
      <c r="V422" t="s">
        <v>315</v>
      </c>
      <c r="W422" t="s">
        <v>142</v>
      </c>
      <c r="X422" t="s">
        <v>150</v>
      </c>
      <c r="Y422" s="23" t="s">
        <v>151</v>
      </c>
      <c r="AA422">
        <v>64592</v>
      </c>
      <c r="AB422" t="s">
        <v>1813</v>
      </c>
      <c r="AC422" t="s">
        <v>1790</v>
      </c>
      <c r="AD422" s="2">
        <v>60</v>
      </c>
      <c r="AE422" s="2" t="s">
        <v>70</v>
      </c>
      <c r="AF422" t="str">
        <f>_xlfn.CONCAT(FINI_grouping_for_wheel[[#This Row],[SEFI/Plant]],"/",IF(FINI_grouping_for_wheel[[#This Row],[RESET recipe combination]]&lt;&gt;"",FINI_grouping_for_wheel[[#This Row],[RESET recipe combination]],FINI_grouping_for_wheel[[#This Row],[Recipe Combination]]),"/",FINI_grouping_for_wheel[[#This Row],[Subgroup]])</f>
        <v>4497395/THDP/x/60</v>
      </c>
      <c r="AG4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0.012256014525646845</v>
      </c>
      <c r="AH422">
        <f>_xlfn.LET(_xlpm.pct, FINI_grouping_for_wheel[[#This Row],[% forecast within subgroup]], _xlpm.lote, FINI_grouping_for_wheel[[#This Row],[Lot size considered]], _xlpm.pct*_xlpm.lote)</f>
        <v>101.2200813270858</v>
      </c>
      <c r="AI422" cm="1">
        <f t="array" aca="1" ref="AI422" ca="1">IFERROR(INDIRECT("FINI_grouping_for_wheel[@["&amp;FINI_grouping_for_wheel[[#This Row],[Selected PV]]&amp;"]]"),"")</f>
        <v>726</v>
      </c>
      <c r="AJ42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422" s="4"/>
      <c r="AM42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726</v>
      </c>
      <c r="AN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2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22" t="str">
        <f>_xlfn.CONCAT(FINI_grouping_for_wheel[[#This Row],[Recipe Combination]],FINI_grouping_for_wheel[[#This Row],[Subgroup]])</f>
        <v>K60</v>
      </c>
    </row>
    <row r="423" spans="1:55" hidden="1">
      <c r="A423" t="s">
        <v>10</v>
      </c>
      <c r="B423">
        <v>4497395</v>
      </c>
      <c r="C423" t="s">
        <v>1786</v>
      </c>
      <c r="D423">
        <v>8258.80885791</v>
      </c>
      <c r="E423">
        <v>69</v>
      </c>
      <c r="F423">
        <v>1.38</v>
      </c>
      <c r="G423" t="s">
        <v>1814</v>
      </c>
      <c r="H423" t="s">
        <v>1815</v>
      </c>
      <c r="I423">
        <v>440</v>
      </c>
      <c r="J423" t="s">
        <v>90</v>
      </c>
      <c r="K423" t="s">
        <v>1816</v>
      </c>
      <c r="L423" t="s">
        <v>1817</v>
      </c>
      <c r="M423">
        <v>16728.57765</v>
      </c>
      <c r="N423">
        <v>66.9143106</v>
      </c>
      <c r="O423">
        <v>20298.051225</v>
      </c>
      <c r="P423">
        <v>564894.351225</v>
      </c>
      <c r="Q423">
        <v>0.8241469816272966</v>
      </c>
      <c r="R423">
        <v>6806.47239209</v>
      </c>
      <c r="S423" t="s">
        <v>157</v>
      </c>
      <c r="T423" t="s">
        <v>93</v>
      </c>
      <c r="U423">
        <v>10</v>
      </c>
      <c r="V423" t="s">
        <v>94</v>
      </c>
      <c r="W423" t="s">
        <v>95</v>
      </c>
      <c r="X423" t="s">
        <v>96</v>
      </c>
      <c r="Y423" s="23" t="s">
        <v>97</v>
      </c>
      <c r="AA423">
        <v>123</v>
      </c>
      <c r="AB423" t="s">
        <v>1818</v>
      </c>
      <c r="AC423" t="s">
        <v>1790</v>
      </c>
      <c r="AD423" s="2">
        <v>4</v>
      </c>
      <c r="AE423" s="2" t="s">
        <v>70</v>
      </c>
      <c r="AF423" t="str">
        <f>_xlfn.CONCAT(FINI_grouping_for_wheel[[#This Row],[SEFI/Plant]],"/",IF(FINI_grouping_for_wheel[[#This Row],[RESET recipe combination]]&lt;&gt;"",FINI_grouping_for_wheel[[#This Row],[RESET recipe combination]],FINI_grouping_for_wheel[[#This Row],[Recipe Combination]]),"/",FINI_grouping_for_wheel[[#This Row],[Subgroup]])</f>
        <v>4497395/THDP/x/4</v>
      </c>
      <c r="AG4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0.4390926041019266</v>
      </c>
      <c r="AH423">
        <f>_xlfn.LET(_xlpm.pct, FINI_grouping_for_wheel[[#This Row],[% forecast within subgroup]], _xlpm.lote, FINI_grouping_for_wheel[[#This Row],[Lot size considered]], _xlpm.pct*_xlpm.lote)</f>
        <v>3626.38188819976</v>
      </c>
      <c r="AI423" cm="1">
        <f t="array" aca="1" ref="AI423" ca="1">IFERROR(INDIRECT("FINI_grouping_for_wheel[@["&amp;FINI_grouping_for_wheel[[#This Row],[Selected PV]]&amp;"]]"),"")</f>
        <v>50</v>
      </c>
      <c r="AJ42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8.9</v>
      </c>
      <c r="AL423" s="4"/>
      <c r="AM42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50</v>
      </c>
      <c r="AN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2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23" t="str">
        <f>_xlfn.CONCAT(FINI_grouping_for_wheel[[#This Row],[Recipe Combination]],FINI_grouping_for_wheel[[#This Row],[Subgroup]])</f>
        <v>M4</v>
      </c>
    </row>
    <row r="424" spans="1:55" hidden="1">
      <c r="A424" t="s">
        <v>10</v>
      </c>
      <c r="B424">
        <v>4497395</v>
      </c>
      <c r="C424" t="s">
        <v>1786</v>
      </c>
      <c r="D424">
        <v>8258.80885791</v>
      </c>
      <c r="E424">
        <v>69</v>
      </c>
      <c r="F424">
        <v>1.38</v>
      </c>
      <c r="G424" t="s">
        <v>1819</v>
      </c>
      <c r="H424" t="s">
        <v>1820</v>
      </c>
      <c r="I424">
        <v>405</v>
      </c>
      <c r="J424" t="s">
        <v>90</v>
      </c>
      <c r="K424" t="s">
        <v>1821</v>
      </c>
      <c r="L424" t="s">
        <v>1822</v>
      </c>
      <c r="M424">
        <v>3569.473575</v>
      </c>
      <c r="N424">
        <v>14.2778943</v>
      </c>
      <c r="O424">
        <v>20298.051225</v>
      </c>
      <c r="P424">
        <v>564894.351225</v>
      </c>
      <c r="Q424">
        <v>0.17585301837270342</v>
      </c>
      <c r="R424">
        <v>1452.33646583</v>
      </c>
      <c r="S424" t="s">
        <v>157</v>
      </c>
      <c r="T424" t="s">
        <v>93</v>
      </c>
      <c r="U424">
        <v>15</v>
      </c>
      <c r="V424" t="s">
        <v>231</v>
      </c>
      <c r="W424" t="s">
        <v>159</v>
      </c>
      <c r="X424" t="s">
        <v>96</v>
      </c>
      <c r="Y424" s="23" t="s">
        <v>97</v>
      </c>
      <c r="AA424">
        <v>578</v>
      </c>
      <c r="AB424" t="s">
        <v>1823</v>
      </c>
      <c r="AC424" t="s">
        <v>1790</v>
      </c>
      <c r="AD424" s="2">
        <v>5</v>
      </c>
      <c r="AE424" s="2" t="s">
        <v>70</v>
      </c>
      <c r="AF424" t="str">
        <f>_xlfn.CONCAT(FINI_grouping_for_wheel[[#This Row],[SEFI/Plant]],"/",IF(FINI_grouping_for_wheel[[#This Row],[RESET recipe combination]]&lt;&gt;"",FINI_grouping_for_wheel[[#This Row],[RESET recipe combination]],FINI_grouping_for_wheel[[#This Row],[Recipe Combination]]),"/",FINI_grouping_for_wheel[[#This Row],[Subgroup]])</f>
        <v>4497395/THDP/x/5</v>
      </c>
      <c r="AG4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0.08479819997187457</v>
      </c>
      <c r="AH424">
        <f>_xlfn.LET(_xlpm.pct, FINI_grouping_for_wheel[[#This Row],[% forecast within subgroup]], _xlpm.lote, FINI_grouping_for_wheel[[#This Row],[Lot size considered]], _xlpm.pct*_xlpm.lote)</f>
        <v>700.3321250625413</v>
      </c>
      <c r="AI424" cm="1">
        <f t="array" aca="1" ref="AI424" ca="1">IFERROR(INDIRECT("FINI_grouping_for_wheel[@["&amp;FINI_grouping_for_wheel[[#This Row],[Selected PV]]&amp;"]]"),"")</f>
        <v>45</v>
      </c>
      <c r="AJ42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v>
      </c>
      <c r="AL424" s="4"/>
      <c r="AM42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45</v>
      </c>
      <c r="AN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2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24" t="str">
        <f>_xlfn.CONCAT(FINI_grouping_for_wheel[[#This Row],[Recipe Combination]],FINI_grouping_for_wheel[[#This Row],[Subgroup]])</f>
        <v>M5</v>
      </c>
    </row>
    <row r="425" spans="1:55" hidden="1">
      <c r="A425" t="s">
        <v>10</v>
      </c>
      <c r="B425">
        <v>4497395</v>
      </c>
      <c r="C425" t="s">
        <v>1786</v>
      </c>
      <c r="D425">
        <v>8258.80885791</v>
      </c>
      <c r="E425">
        <v>69</v>
      </c>
      <c r="F425">
        <v>1.38</v>
      </c>
      <c r="G425" t="s">
        <v>1824</v>
      </c>
      <c r="H425" t="s">
        <v>1825</v>
      </c>
      <c r="I425">
        <v>240</v>
      </c>
      <c r="J425" t="s">
        <v>90</v>
      </c>
      <c r="K425" t="s">
        <v>254</v>
      </c>
      <c r="L425" t="s">
        <v>255</v>
      </c>
      <c r="M425">
        <v>1947.523725</v>
      </c>
      <c r="N425">
        <v>7.7900949</v>
      </c>
      <c r="O425">
        <v>7630.267725</v>
      </c>
      <c r="P425">
        <v>564894.351225</v>
      </c>
      <c r="Q425">
        <v>0.25523661753297128</v>
      </c>
      <c r="R425">
        <v>2107.95043775</v>
      </c>
      <c r="S425" t="s">
        <v>173</v>
      </c>
      <c r="T425" t="s">
        <v>93</v>
      </c>
      <c r="U425">
        <v>5</v>
      </c>
      <c r="V425" t="s">
        <v>119</v>
      </c>
      <c r="W425" t="s">
        <v>95</v>
      </c>
      <c r="X425" t="s">
        <v>96</v>
      </c>
      <c r="Y425" s="23" t="s">
        <v>120</v>
      </c>
      <c r="AA425">
        <v>1060</v>
      </c>
      <c r="AB425" t="s">
        <v>1826</v>
      </c>
      <c r="AC425" t="s">
        <v>1790</v>
      </c>
      <c r="AD425" s="2">
        <v>6</v>
      </c>
      <c r="AE425" s="2" t="s">
        <v>70</v>
      </c>
      <c r="AF425" t="str">
        <f>_xlfn.CONCAT(FINI_grouping_for_wheel[[#This Row],[SEFI/Plant]],"/",IF(FINI_grouping_for_wheel[[#This Row],[RESET recipe combination]]&lt;&gt;"",FINI_grouping_for_wheel[[#This Row],[RESET recipe combination]],FINI_grouping_for_wheel[[#This Row],[Recipe Combination]]),"/",FINI_grouping_for_wheel[[#This Row],[Subgroup]])</f>
        <v>4497395/THDP/x/6</v>
      </c>
      <c r="AG4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0.07902954600048041</v>
      </c>
      <c r="AH425">
        <f>_xlfn.LET(_xlpm.pct, FINI_grouping_for_wheel[[#This Row],[% forecast within subgroup]], _xlpm.lote, FINI_grouping_for_wheel[[#This Row],[Lot size considered]], _xlpm.pct*_xlpm.lote)</f>
        <v>652.6899145453734</v>
      </c>
      <c r="AI425" cm="1">
        <f t="array" aca="1" ref="AI425" ca="1">IFERROR(INDIRECT("FINI_grouping_for_wheel[@["&amp;FINI_grouping_for_wheel[[#This Row],[Selected PV]]&amp;"]]"),"")</f>
        <v>77</v>
      </c>
      <c r="AJ42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v>
      </c>
      <c r="AL425" s="4"/>
      <c r="AM42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77</v>
      </c>
      <c r="AN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2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25" t="str">
        <f>_xlfn.CONCAT(FINI_grouping_for_wheel[[#This Row],[Recipe Combination]],FINI_grouping_for_wheel[[#This Row],[Subgroup]])</f>
        <v>P6</v>
      </c>
    </row>
    <row r="426" spans="1:55" hidden="1">
      <c r="A426" t="s">
        <v>10</v>
      </c>
      <c r="B426">
        <v>4497395</v>
      </c>
      <c r="C426" t="s">
        <v>1786</v>
      </c>
      <c r="D426">
        <v>8258.80885791</v>
      </c>
      <c r="E426">
        <v>69</v>
      </c>
      <c r="F426">
        <v>1.38</v>
      </c>
      <c r="G426" t="s">
        <v>1827</v>
      </c>
      <c r="H426" t="s">
        <v>1828</v>
      </c>
      <c r="I426">
        <v>300</v>
      </c>
      <c r="J426" t="s">
        <v>90</v>
      </c>
      <c r="K426" t="s">
        <v>440</v>
      </c>
      <c r="L426" t="s">
        <v>441</v>
      </c>
      <c r="M426">
        <v>2444.763825</v>
      </c>
      <c r="N426">
        <v>9.7790553</v>
      </c>
      <c r="O426">
        <v>7630.267725</v>
      </c>
      <c r="P426">
        <v>564894.351225</v>
      </c>
      <c r="Q426">
        <v>0.32040341349883633</v>
      </c>
      <c r="R426">
        <v>2646.15054951</v>
      </c>
      <c r="S426" t="s">
        <v>173</v>
      </c>
      <c r="T426" t="s">
        <v>93</v>
      </c>
      <c r="U426">
        <v>5</v>
      </c>
      <c r="V426" t="s">
        <v>119</v>
      </c>
      <c r="W426" t="s">
        <v>95</v>
      </c>
      <c r="X426" t="s">
        <v>96</v>
      </c>
      <c r="Y426" s="23" t="s">
        <v>120</v>
      </c>
      <c r="AA426">
        <v>845</v>
      </c>
      <c r="AB426" t="s">
        <v>1829</v>
      </c>
      <c r="AC426" t="s">
        <v>1790</v>
      </c>
      <c r="AD426" s="2">
        <v>6</v>
      </c>
      <c r="AE426" s="2" t="s">
        <v>70</v>
      </c>
      <c r="AF426" t="str">
        <f>_xlfn.CONCAT(FINI_grouping_for_wheel[[#This Row],[SEFI/Plant]],"/",IF(FINI_grouping_for_wheel[[#This Row],[RESET recipe combination]]&lt;&gt;"",FINI_grouping_for_wheel[[#This Row],[RESET recipe combination]],FINI_grouping_for_wheel[[#This Row],[Recipe Combination]]),"/",FINI_grouping_for_wheel[[#This Row],[Subgroup]])</f>
        <v>4497395/THDP/x/6</v>
      </c>
      <c r="AG4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0.09920730242613499</v>
      </c>
      <c r="AH426">
        <f>_xlfn.LET(_xlpm.pct, FINI_grouping_for_wheel[[#This Row],[% forecast within subgroup]], _xlpm.lote, FINI_grouping_for_wheel[[#This Row],[Lot size considered]], _xlpm.pct*_xlpm.lote)</f>
        <v>819.3341480463199</v>
      </c>
      <c r="AI426" cm="1">
        <f t="array" aca="1" ref="AI426" ca="1">IFERROR(INDIRECT("FINI_grouping_for_wheel[@["&amp;FINI_grouping_for_wheel[[#This Row],[Selected PV]]&amp;"]]"),"")</f>
        <v>77</v>
      </c>
      <c r="AJ42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v>
      </c>
      <c r="AL426" s="4"/>
      <c r="AM42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77</v>
      </c>
      <c r="AN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2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26" t="str">
        <f>_xlfn.CONCAT(FINI_grouping_for_wheel[[#This Row],[Recipe Combination]],FINI_grouping_for_wheel[[#This Row],[Subgroup]])</f>
        <v>P6</v>
      </c>
    </row>
    <row r="427" spans="1:55" hidden="1">
      <c r="A427" t="s">
        <v>10</v>
      </c>
      <c r="B427">
        <v>4497395</v>
      </c>
      <c r="C427" t="s">
        <v>1786</v>
      </c>
      <c r="D427">
        <v>8258.80885791</v>
      </c>
      <c r="E427">
        <v>69</v>
      </c>
      <c r="F427">
        <v>1.38</v>
      </c>
      <c r="G427" t="s">
        <v>1830</v>
      </c>
      <c r="H427" t="s">
        <v>1831</v>
      </c>
      <c r="I427">
        <v>360</v>
      </c>
      <c r="J427" t="s">
        <v>90</v>
      </c>
      <c r="K427" t="s">
        <v>515</v>
      </c>
      <c r="L427" t="s">
        <v>516</v>
      </c>
      <c r="M427">
        <v>3113.67015</v>
      </c>
      <c r="N427">
        <v>12.4546806</v>
      </c>
      <c r="O427">
        <v>7630.267725</v>
      </c>
      <c r="P427">
        <v>564894.351225</v>
      </c>
      <c r="Q427">
        <v>0.40806826997672613</v>
      </c>
      <c r="R427">
        <v>3370.15784272</v>
      </c>
      <c r="S427" t="s">
        <v>173</v>
      </c>
      <c r="T427" t="s">
        <v>93</v>
      </c>
      <c r="U427">
        <v>5</v>
      </c>
      <c r="V427" t="s">
        <v>518</v>
      </c>
      <c r="W427" t="s">
        <v>142</v>
      </c>
      <c r="X427" t="s">
        <v>150</v>
      </c>
      <c r="Y427" s="23" t="s">
        <v>151</v>
      </c>
      <c r="AA427">
        <v>663</v>
      </c>
      <c r="AB427" t="s">
        <v>1832</v>
      </c>
      <c r="AC427" t="s">
        <v>1790</v>
      </c>
      <c r="AD427" s="2">
        <v>50</v>
      </c>
      <c r="AE427" s="2" t="s">
        <v>70</v>
      </c>
      <c r="AF427" t="str">
        <f>_xlfn.CONCAT(FINI_grouping_for_wheel[[#This Row],[SEFI/Plant]],"/",IF(FINI_grouping_for_wheel[[#This Row],[RESET recipe combination]]&lt;&gt;"",FINI_grouping_for_wheel[[#This Row],[RESET recipe combination]],FINI_grouping_for_wheel[[#This Row],[Recipe Combination]]),"/",FINI_grouping_for_wheel[[#This Row],[Subgroup]])</f>
        <v>4497395/THDP/x/50</v>
      </c>
      <c r="AG4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0.6658227848101266</v>
      </c>
      <c r="AH427">
        <f>_xlfn.LET(_xlpm.pct, FINI_grouping_for_wheel[[#This Row],[% forecast within subgroup]], _xlpm.lote, FINI_grouping_for_wheel[[#This Row],[Lot size considered]], _xlpm.pct*_xlpm.lote)</f>
        <v>5498.903112988178</v>
      </c>
      <c r="AI427" cm="1">
        <f t="array" aca="1" ref="AI427" ca="1">IFERROR(INDIRECT("FINI_grouping_for_wheel[@["&amp;FINI_grouping_for_wheel[[#This Row],[Selected PV]]&amp;"]]"),"")</f>
        <v>405</v>
      </c>
      <c r="AJ42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16.5</v>
      </c>
      <c r="AL427" s="4"/>
      <c r="AM42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405</v>
      </c>
      <c r="AN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2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27" t="str">
        <f>_xlfn.CONCAT(FINI_grouping_for_wheel[[#This Row],[Recipe Combination]],FINI_grouping_for_wheel[[#This Row],[Subgroup]])</f>
        <v>P50</v>
      </c>
    </row>
    <row r="428" spans="1:55" hidden="1">
      <c r="A428" t="s">
        <v>10</v>
      </c>
      <c r="B428">
        <v>4497395</v>
      </c>
      <c r="C428" t="s">
        <v>1786</v>
      </c>
      <c r="D428">
        <v>8258.80885791</v>
      </c>
      <c r="E428">
        <v>69</v>
      </c>
      <c r="F428">
        <v>1.38</v>
      </c>
      <c r="G428" t="s">
        <v>1833</v>
      </c>
      <c r="H428" t="s">
        <v>1834</v>
      </c>
      <c r="I428">
        <v>480</v>
      </c>
      <c r="J428" t="s">
        <v>90</v>
      </c>
      <c r="K428" t="s">
        <v>515</v>
      </c>
      <c r="L428" t="s">
        <v>516</v>
      </c>
      <c r="M428">
        <v>124.310025</v>
      </c>
      <c r="N428">
        <v>0.4972401</v>
      </c>
      <c r="O428">
        <v>7630.267725</v>
      </c>
      <c r="P428">
        <v>564894.351225</v>
      </c>
      <c r="Q428">
        <v>1.6291698991466253E-2</v>
      </c>
      <c r="R428">
        <v>134.550027941</v>
      </c>
      <c r="S428" t="s">
        <v>173</v>
      </c>
      <c r="T428" t="s">
        <v>93</v>
      </c>
      <c r="U428">
        <v>5</v>
      </c>
      <c r="V428" t="s">
        <v>518</v>
      </c>
      <c r="W428" t="s">
        <v>142</v>
      </c>
      <c r="X428" t="s">
        <v>150</v>
      </c>
      <c r="Y428" s="23" t="s">
        <v>151</v>
      </c>
      <c r="AA428">
        <v>16609</v>
      </c>
      <c r="AB428" t="s">
        <v>1835</v>
      </c>
      <c r="AC428" t="s">
        <v>1790</v>
      </c>
      <c r="AD428" s="2">
        <v>50</v>
      </c>
      <c r="AE428" s="2" t="s">
        <v>70</v>
      </c>
      <c r="AF428" t="str">
        <f>_xlfn.CONCAT(FINI_grouping_for_wheel[[#This Row],[SEFI/Plant]],"/",IF(FINI_grouping_for_wheel[[#This Row],[RESET recipe combination]]&lt;&gt;"",FINI_grouping_for_wheel[[#This Row],[RESET recipe combination]],FINI_grouping_for_wheel[[#This Row],[Recipe Combination]]),"/",FINI_grouping_for_wheel[[#This Row],[Subgroup]])</f>
        <v>4497395/THDP/x/50</v>
      </c>
      <c r="AG4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0.026582278481012658</v>
      </c>
      <c r="AH428">
        <f>_xlfn.LET(_xlpm.pct, FINI_grouping_for_wheel[[#This Row],[% forecast within subgroup]], _xlpm.lote, FINI_grouping_for_wheel[[#This Row],[Lot size considered]], _xlpm.pct*_xlpm.lote)</f>
        <v>219.53795698241774</v>
      </c>
      <c r="AI428" cm="1">
        <f t="array" aca="1" ref="AI428" ca="1">IFERROR(INDIRECT("FINI_grouping_for_wheel[@["&amp;FINI_grouping_for_wheel[[#This Row],[Selected PV]]&amp;"]]"),"")</f>
        <v>405</v>
      </c>
      <c r="AJ42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0.5</v>
      </c>
      <c r="AL428" s="4"/>
      <c r="AM42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405</v>
      </c>
      <c r="AN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2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28" t="str">
        <f>_xlfn.CONCAT(FINI_grouping_for_wheel[[#This Row],[Recipe Combination]],FINI_grouping_for_wheel[[#This Row],[Subgroup]])</f>
        <v>P50</v>
      </c>
    </row>
    <row r="429" spans="1:55" hidden="1">
      <c r="A429" t="s">
        <v>10</v>
      </c>
      <c r="B429">
        <v>4497395</v>
      </c>
      <c r="C429" t="s">
        <v>1786</v>
      </c>
      <c r="D429">
        <v>8258.80885791</v>
      </c>
      <c r="E429">
        <v>69</v>
      </c>
      <c r="F429">
        <v>1.38</v>
      </c>
      <c r="G429" t="s">
        <v>1836</v>
      </c>
      <c r="H429" t="s">
        <v>1837</v>
      </c>
      <c r="I429">
        <v>360</v>
      </c>
      <c r="J429" t="s">
        <v>90</v>
      </c>
      <c r="K429" t="s">
        <v>1838</v>
      </c>
      <c r="L429" t="s">
        <v>1839</v>
      </c>
      <c r="M429">
        <v>20250.695025</v>
      </c>
      <c r="N429">
        <v>81.0027801</v>
      </c>
      <c r="O429">
        <v>78143.649525</v>
      </c>
      <c r="P429">
        <v>564894.351225</v>
      </c>
      <c r="Q429">
        <v>0.25914703431558217</v>
      </c>
      <c r="R429">
        <v>2140.24582251</v>
      </c>
      <c r="S429" t="s">
        <v>207</v>
      </c>
      <c r="T429" t="s">
        <v>93</v>
      </c>
      <c r="U429">
        <v>5</v>
      </c>
      <c r="V429" t="s">
        <v>1840</v>
      </c>
      <c r="W429" t="s">
        <v>142</v>
      </c>
      <c r="X429" t="s">
        <v>106</v>
      </c>
      <c r="Y429" s="23" t="s">
        <v>483</v>
      </c>
      <c r="AA429">
        <v>102</v>
      </c>
      <c r="AB429" t="s">
        <v>1841</v>
      </c>
      <c r="AC429" t="s">
        <v>1790</v>
      </c>
      <c r="AD429" s="2">
        <v>6</v>
      </c>
      <c r="AE429" s="2" t="s">
        <v>70</v>
      </c>
      <c r="AF429" t="str">
        <f>_xlfn.CONCAT(FINI_grouping_for_wheel[[#This Row],[SEFI/Plant]],"/",IF(FINI_grouping_for_wheel[[#This Row],[RESET recipe combination]]&lt;&gt;"",FINI_grouping_for_wheel[[#This Row],[RESET recipe combination]],FINI_grouping_for_wheel[[#This Row],[Recipe Combination]]),"/",FINI_grouping_for_wheel[[#This Row],[Subgroup]])</f>
        <v>4497395/THDP/x/6</v>
      </c>
      <c r="AG4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0.8217631515733845</v>
      </c>
      <c r="AH429">
        <f>_xlfn.LET(_xlpm.pct, FINI_grouping_for_wheel[[#This Row],[% forecast within subgroup]], _xlpm.lote, FINI_grouping_for_wheel[[#This Row],[Lot size considered]], _xlpm.pct*_xlpm.lote)</f>
        <v>6786.784795318306</v>
      </c>
      <c r="AI429" cm="1">
        <f t="array" aca="1" ref="AI429" ca="1">IFERROR(INDIRECT("FINI_grouping_for_wheel[@["&amp;FINI_grouping_for_wheel[[#This Row],[Selected PV]]&amp;"]]"),"")</f>
        <v>77</v>
      </c>
      <c r="AJ42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20.3</v>
      </c>
      <c r="AL429" s="4"/>
      <c r="AM42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77</v>
      </c>
      <c r="AN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2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29" t="str">
        <f>_xlfn.CONCAT(FINI_grouping_for_wheel[[#This Row],[Recipe Combination]],FINI_grouping_for_wheel[[#This Row],[Subgroup]])</f>
        <v>T6</v>
      </c>
    </row>
    <row r="430" spans="1:55" hidden="1">
      <c r="A430" t="s">
        <v>10</v>
      </c>
      <c r="B430">
        <v>4497395</v>
      </c>
      <c r="C430" t="s">
        <v>1786</v>
      </c>
      <c r="D430">
        <v>8258.80885791</v>
      </c>
      <c r="E430">
        <v>69</v>
      </c>
      <c r="F430">
        <v>1.38</v>
      </c>
      <c r="G430" t="s">
        <v>1842</v>
      </c>
      <c r="H430" t="s">
        <v>1843</v>
      </c>
      <c r="I430">
        <v>240</v>
      </c>
      <c r="J430" t="s">
        <v>90</v>
      </c>
      <c r="K430" t="s">
        <v>1844</v>
      </c>
      <c r="L430" t="s">
        <v>1845</v>
      </c>
      <c r="M430">
        <v>27371.8836</v>
      </c>
      <c r="N430">
        <v>109.4875344</v>
      </c>
      <c r="O430">
        <v>78143.649525</v>
      </c>
      <c r="P430">
        <v>564894.351225</v>
      </c>
      <c r="Q430">
        <v>0.35027649420498447</v>
      </c>
      <c r="R430">
        <v>2892.86661306</v>
      </c>
      <c r="S430" t="s">
        <v>207</v>
      </c>
      <c r="T430" t="s">
        <v>93</v>
      </c>
      <c r="U430">
        <v>5</v>
      </c>
      <c r="V430" t="s">
        <v>196</v>
      </c>
      <c r="W430" t="s">
        <v>95</v>
      </c>
      <c r="X430" t="s">
        <v>106</v>
      </c>
      <c r="Y430" s="23" t="s">
        <v>107</v>
      </c>
      <c r="AA430">
        <v>75</v>
      </c>
      <c r="AB430" t="s">
        <v>1846</v>
      </c>
      <c r="AC430" t="s">
        <v>1790</v>
      </c>
      <c r="AD430" s="2">
        <v>7</v>
      </c>
      <c r="AE430" s="2" t="s">
        <v>70</v>
      </c>
      <c r="AF430" t="str">
        <f>_xlfn.CONCAT(FINI_grouping_for_wheel[[#This Row],[SEFI/Plant]],"/",IF(FINI_grouping_for_wheel[[#This Row],[RESET recipe combination]]&lt;&gt;"",FINI_grouping_for_wheel[[#This Row],[RESET recipe combination]],FINI_grouping_for_wheel[[#This Row],[Recipe Combination]]),"/",FINI_grouping_for_wheel[[#This Row],[Subgroup]])</f>
        <v>4497395/THDP/x/7</v>
      </c>
      <c r="AG4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0.47280163599182007</v>
      </c>
      <c r="AH430">
        <f>_xlfn.LET(_xlpm.pct, FINI_grouping_for_wheel[[#This Row],[% forecast within subgroup]], _xlpm.lote, FINI_grouping_for_wheel[[#This Row],[Lot size considered]], _xlpm.pct*_xlpm.lote)</f>
        <v>3904.778339363583</v>
      </c>
      <c r="AI430" cm="1">
        <f t="array" aca="1" ref="AI430" ca="1">IFERROR(INDIRECT("FINI_grouping_for_wheel[@["&amp;FINI_grouping_for_wheel[[#This Row],[Selected PV]]&amp;"]]"),"")</f>
        <v>33</v>
      </c>
      <c r="AJ43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17.5</v>
      </c>
      <c r="AL430" s="4"/>
      <c r="AM43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3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30" t="str">
        <f>_xlfn.CONCAT(FINI_grouping_for_wheel[[#This Row],[Recipe Combination]],FINI_grouping_for_wheel[[#This Row],[Subgroup]])</f>
        <v>T7</v>
      </c>
    </row>
    <row r="431" spans="1:55" hidden="1">
      <c r="A431" t="s">
        <v>10</v>
      </c>
      <c r="B431">
        <v>4497395</v>
      </c>
      <c r="C431" t="s">
        <v>1786</v>
      </c>
      <c r="D431">
        <v>8258.80885791</v>
      </c>
      <c r="E431">
        <v>69</v>
      </c>
      <c r="F431">
        <v>1.38</v>
      </c>
      <c r="G431" t="s">
        <v>1847</v>
      </c>
      <c r="H431" t="s">
        <v>1848</v>
      </c>
      <c r="I431">
        <v>375</v>
      </c>
      <c r="J431" t="s">
        <v>90</v>
      </c>
      <c r="K431" t="s">
        <v>1849</v>
      </c>
      <c r="L431" t="s">
        <v>1850</v>
      </c>
      <c r="M431">
        <v>18138.608505</v>
      </c>
      <c r="N431">
        <v>72.55443402</v>
      </c>
      <c r="O431">
        <v>78143.649525</v>
      </c>
      <c r="P431">
        <v>564894.351225</v>
      </c>
      <c r="Q431">
        <v>0.23211877888038784</v>
      </c>
      <c r="R431">
        <v>1917.02462711</v>
      </c>
      <c r="S431" t="s">
        <v>207</v>
      </c>
      <c r="T431" t="s">
        <v>93</v>
      </c>
      <c r="U431">
        <v>2.5</v>
      </c>
      <c r="V431" t="s">
        <v>105</v>
      </c>
      <c r="W431" t="s">
        <v>95</v>
      </c>
      <c r="X431" t="s">
        <v>106</v>
      </c>
      <c r="Y431" s="23" t="s">
        <v>107</v>
      </c>
      <c r="AA431">
        <v>114</v>
      </c>
      <c r="AB431" t="s">
        <v>1851</v>
      </c>
      <c r="AC431" t="s">
        <v>1790</v>
      </c>
      <c r="AD431" s="2">
        <v>7</v>
      </c>
      <c r="AE431" s="2" t="s">
        <v>70</v>
      </c>
      <c r="AF431" t="str">
        <f>_xlfn.CONCAT(FINI_grouping_for_wheel[[#This Row],[SEFI/Plant]],"/",IF(FINI_grouping_for_wheel[[#This Row],[RESET recipe combination]]&lt;&gt;"",FINI_grouping_for_wheel[[#This Row],[RESET recipe combination]],FINI_grouping_for_wheel[[#This Row],[Recipe Combination]]),"/",FINI_grouping_for_wheel[[#This Row],[Subgroup]])</f>
        <v>4497395/THDP/x/7</v>
      </c>
      <c r="AG4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0.31331288343558283</v>
      </c>
      <c r="AH431">
        <f>_xlfn.LET(_xlpm.pct, FINI_grouping_for_wheel[[#This Row],[% forecast within subgroup]], _xlpm.lote, FINI_grouping_for_wheel[[#This Row],[Lot size considered]], _xlpm.pct*_xlpm.lote)</f>
        <v>2587.591217015115</v>
      </c>
      <c r="AI431" cm="1">
        <f t="array" aca="1" ref="AI431" ca="1">IFERROR(INDIRECT("FINI_grouping_for_wheel[@["&amp;FINI_grouping_for_wheel[[#This Row],[Selected PV]]&amp;"]]"),"")</f>
        <v>33</v>
      </c>
      <c r="AJ43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7.4</v>
      </c>
      <c r="AL431" s="4"/>
      <c r="AM43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3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31" t="str">
        <f>_xlfn.CONCAT(FINI_grouping_for_wheel[[#This Row],[Recipe Combination]],FINI_grouping_for_wheel[[#This Row],[Subgroup]])</f>
        <v>T7</v>
      </c>
    </row>
    <row r="432" spans="1:55" hidden="1">
      <c r="A432" t="s">
        <v>10</v>
      </c>
      <c r="B432">
        <v>4497395</v>
      </c>
      <c r="C432" t="s">
        <v>1786</v>
      </c>
      <c r="D432">
        <v>8258.80885791</v>
      </c>
      <c r="E432">
        <v>69</v>
      </c>
      <c r="F432">
        <v>1.38</v>
      </c>
      <c r="G432" t="s">
        <v>1852</v>
      </c>
      <c r="H432" t="s">
        <v>1853</v>
      </c>
      <c r="I432">
        <v>375</v>
      </c>
      <c r="J432" t="s">
        <v>90</v>
      </c>
      <c r="K432" t="s">
        <v>1216</v>
      </c>
      <c r="L432" t="s">
        <v>1217</v>
      </c>
      <c r="M432">
        <v>12382.462395</v>
      </c>
      <c r="N432">
        <v>49.52984958</v>
      </c>
      <c r="O432">
        <v>78143.649525</v>
      </c>
      <c r="P432">
        <v>564894.351225</v>
      </c>
      <c r="Q432">
        <v>0.15845769259904552</v>
      </c>
      <c r="R432">
        <v>1308.67179524</v>
      </c>
      <c r="S432" t="s">
        <v>207</v>
      </c>
      <c r="T432" t="s">
        <v>93</v>
      </c>
      <c r="U432">
        <v>2.5</v>
      </c>
      <c r="V432" t="s">
        <v>105</v>
      </c>
      <c r="W432" t="s">
        <v>142</v>
      </c>
      <c r="X432" t="s">
        <v>106</v>
      </c>
      <c r="Y432" s="23" t="s">
        <v>107</v>
      </c>
      <c r="AA432">
        <v>167</v>
      </c>
      <c r="AB432" t="s">
        <v>1854</v>
      </c>
      <c r="AC432" t="s">
        <v>1790</v>
      </c>
      <c r="AD432" s="2">
        <v>7</v>
      </c>
      <c r="AE432" s="2" t="s">
        <v>70</v>
      </c>
      <c r="AF432" t="str">
        <f>_xlfn.CONCAT(FINI_grouping_for_wheel[[#This Row],[SEFI/Plant]],"/",IF(FINI_grouping_for_wheel[[#This Row],[RESET recipe combination]]&lt;&gt;"",FINI_grouping_for_wheel[[#This Row],[RESET recipe combination]],FINI_grouping_for_wheel[[#This Row],[Recipe Combination]]),"/",FINI_grouping_for_wheel[[#This Row],[Subgroup]])</f>
        <v>4497395/THDP/x/7</v>
      </c>
      <c r="AG4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0.21388548057259715</v>
      </c>
      <c r="AH432">
        <f>_xlfn.LET(_xlpm.pct, FINI_grouping_for_wheel[[#This Row],[% forecast within subgroup]], _xlpm.lote, FINI_grouping_for_wheel[[#This Row],[Lot size considered]], _xlpm.pct*_xlpm.lote)</f>
        <v>1766.4393015313026</v>
      </c>
      <c r="AI432" cm="1">
        <f t="array" aca="1" ref="AI432" ca="1">IFERROR(INDIRECT("FINI_grouping_for_wheel[@["&amp;FINI_grouping_for_wheel[[#This Row],[Selected PV]]&amp;"]]"),"")</f>
        <v>33</v>
      </c>
      <c r="AJ43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5.1</v>
      </c>
      <c r="AL432" s="4"/>
      <c r="AM43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3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32" t="str">
        <f>_xlfn.CONCAT(FINI_grouping_for_wheel[[#This Row],[Recipe Combination]],FINI_grouping_for_wheel[[#This Row],[Subgroup]])</f>
        <v>T7</v>
      </c>
    </row>
    <row r="433" spans="1:55" hidden="1">
      <c r="A433" t="s">
        <v>10</v>
      </c>
      <c r="B433">
        <v>4497395</v>
      </c>
      <c r="C433" t="s">
        <v>1786</v>
      </c>
      <c r="D433">
        <v>8258.80885791</v>
      </c>
      <c r="E433">
        <v>69</v>
      </c>
      <c r="F433">
        <v>1.38</v>
      </c>
      <c r="G433" t="s">
        <v>1855</v>
      </c>
      <c r="H433" t="s">
        <v>1856</v>
      </c>
      <c r="I433">
        <v>440</v>
      </c>
      <c r="J433" t="s">
        <v>90</v>
      </c>
      <c r="K433" t="s">
        <v>1038</v>
      </c>
      <c r="L433" t="s">
        <v>1039</v>
      </c>
      <c r="M433">
        <v>33007.2714</v>
      </c>
      <c r="N433">
        <v>132.0290856</v>
      </c>
      <c r="O433">
        <v>394882.04151</v>
      </c>
      <c r="P433">
        <v>564894.351225</v>
      </c>
      <c r="Q433">
        <v>8.3587674116003388E-2</v>
      </c>
      <c r="R433">
        <v>690.334623402</v>
      </c>
      <c r="S433" t="s">
        <v>387</v>
      </c>
      <c r="T433" t="s">
        <v>93</v>
      </c>
      <c r="U433">
        <v>10</v>
      </c>
      <c r="V433" t="s">
        <v>94</v>
      </c>
      <c r="W433" t="s">
        <v>95</v>
      </c>
      <c r="X433" t="s">
        <v>96</v>
      </c>
      <c r="Y433" s="23" t="s">
        <v>97</v>
      </c>
      <c r="AA433">
        <v>63</v>
      </c>
      <c r="AB433" t="s">
        <v>1857</v>
      </c>
      <c r="AC433" t="s">
        <v>1790</v>
      </c>
      <c r="AD433" s="2">
        <v>3</v>
      </c>
      <c r="AE433" s="2" t="s">
        <v>70</v>
      </c>
      <c r="AF433" t="str">
        <f>_xlfn.CONCAT(FINI_grouping_for_wheel[[#This Row],[SEFI/Plant]],"/",IF(FINI_grouping_for_wheel[[#This Row],[RESET recipe combination]]&lt;&gt;"",FINI_grouping_for_wheel[[#This Row],[RESET recipe combination]],FINI_grouping_for_wheel[[#This Row],[Recipe Combination]]),"/",FINI_grouping_for_wheel[[#This Row],[Subgroup]])</f>
        <v>4497395/THDP/x/3</v>
      </c>
      <c r="AG4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0.7947548460661346</v>
      </c>
      <c r="AH433">
        <f>_xlfn.LET(_xlpm.pct, FINI_grouping_for_wheel[[#This Row],[% forecast within subgroup]], _xlpm.lote, FINI_grouping_for_wheel[[#This Row],[Lot size considered]], _xlpm.pct*_xlpm.lote)</f>
        <v>6563.728362557891</v>
      </c>
      <c r="AI433" cm="1">
        <f t="array" aca="1" ref="AI433" ca="1">IFERROR(INDIRECT("FINI_grouping_for_wheel[@["&amp;FINI_grouping_for_wheel[[#This Row],[Selected PV]]&amp;"]]"),"")</f>
        <v>46</v>
      </c>
      <c r="AJ43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16.1</v>
      </c>
      <c r="AL433" s="4"/>
      <c r="AM43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46</v>
      </c>
      <c r="AN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3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33" t="str">
        <f>_xlfn.CONCAT(FINI_grouping_for_wheel[[#This Row],[Recipe Combination]],FINI_grouping_for_wheel[[#This Row],[Subgroup]])</f>
        <v>X3</v>
      </c>
    </row>
    <row r="434" spans="1:55" hidden="1">
      <c r="A434" t="s">
        <v>10</v>
      </c>
      <c r="B434">
        <v>4497395</v>
      </c>
      <c r="C434" t="s">
        <v>1786</v>
      </c>
      <c r="D434">
        <v>8258.80885791</v>
      </c>
      <c r="E434">
        <v>69</v>
      </c>
      <c r="F434">
        <v>1.38</v>
      </c>
      <c r="G434" t="s">
        <v>1858</v>
      </c>
      <c r="H434" t="s">
        <v>1859</v>
      </c>
      <c r="I434">
        <v>440</v>
      </c>
      <c r="J434" t="s">
        <v>90</v>
      </c>
      <c r="K434" t="s">
        <v>385</v>
      </c>
      <c r="L434" t="s">
        <v>386</v>
      </c>
      <c r="M434">
        <v>8524.116</v>
      </c>
      <c r="N434">
        <v>34.096464</v>
      </c>
      <c r="O434">
        <v>394882.04151</v>
      </c>
      <c r="P434">
        <v>564894.351225</v>
      </c>
      <c r="Q434">
        <v>2.1586486859226123E-2</v>
      </c>
      <c r="R434">
        <v>178.278668884</v>
      </c>
      <c r="S434" t="s">
        <v>387</v>
      </c>
      <c r="T434" t="s">
        <v>93</v>
      </c>
      <c r="U434">
        <v>10</v>
      </c>
      <c r="V434" t="s">
        <v>94</v>
      </c>
      <c r="W434" t="s">
        <v>95</v>
      </c>
      <c r="X434" t="s">
        <v>96</v>
      </c>
      <c r="Y434" s="23" t="s">
        <v>97</v>
      </c>
      <c r="AA434">
        <v>242</v>
      </c>
      <c r="AB434" t="s">
        <v>1860</v>
      </c>
      <c r="AC434" t="s">
        <v>1790</v>
      </c>
      <c r="AD434" s="2">
        <v>3</v>
      </c>
      <c r="AE434" s="2" t="s">
        <v>70</v>
      </c>
      <c r="AF434" t="str">
        <f>_xlfn.CONCAT(FINI_grouping_for_wheel[[#This Row],[SEFI/Plant]],"/",IF(FINI_grouping_for_wheel[[#This Row],[RESET recipe combination]]&lt;&gt;"",FINI_grouping_for_wheel[[#This Row],[RESET recipe combination]],FINI_grouping_for_wheel[[#This Row],[Recipe Combination]]),"/",FINI_grouping_for_wheel[[#This Row],[Subgroup]])</f>
        <v>4497395/THDP/x/3</v>
      </c>
      <c r="AG4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0.20524515393386544</v>
      </c>
      <c r="AH434">
        <f>_xlfn.LET(_xlpm.pct, FINI_grouping_for_wheel[[#This Row],[% forecast within subgroup]], _xlpm.lote, FINI_grouping_for_wheel[[#This Row],[Lot size considered]], _xlpm.pct*_xlpm.lote)</f>
        <v>1695.0804953521094</v>
      </c>
      <c r="AI434" cm="1">
        <f t="array" aca="1" ref="AI434" ca="1">IFERROR(INDIRECT("FINI_grouping_for_wheel[@["&amp;FINI_grouping_for_wheel[[#This Row],[Selected PV]]&amp;"]]"),"")</f>
        <v>46</v>
      </c>
      <c r="AJ43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4.2</v>
      </c>
      <c r="AL434" s="4"/>
      <c r="AM43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46</v>
      </c>
      <c r="AN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3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34" t="str">
        <f>_xlfn.CONCAT(FINI_grouping_for_wheel[[#This Row],[Recipe Combination]],FINI_grouping_for_wheel[[#This Row],[Subgroup]])</f>
        <v>X3</v>
      </c>
    </row>
    <row r="435" spans="1:55" hidden="1">
      <c r="A435" t="s">
        <v>10</v>
      </c>
      <c r="B435">
        <v>4497395</v>
      </c>
      <c r="C435" t="s">
        <v>1786</v>
      </c>
      <c r="D435">
        <v>8258.80885791</v>
      </c>
      <c r="E435">
        <v>69</v>
      </c>
      <c r="F435">
        <v>1.38</v>
      </c>
      <c r="G435" t="s">
        <v>1861</v>
      </c>
      <c r="H435" t="s">
        <v>1862</v>
      </c>
      <c r="J435" t="s">
        <v>90</v>
      </c>
      <c r="K435" t="s">
        <v>1863</v>
      </c>
      <c r="L435" t="s">
        <v>1864</v>
      </c>
      <c r="M435">
        <v>244372.19886</v>
      </c>
      <c r="N435">
        <v>977.48879544</v>
      </c>
      <c r="O435">
        <v>394882.04151</v>
      </c>
      <c r="P435">
        <v>564894.351225</v>
      </c>
      <c r="Q435">
        <v>0.6188486007759143</v>
      </c>
      <c r="R435">
        <v>5110.9523058</v>
      </c>
      <c r="S435" t="s">
        <v>387</v>
      </c>
      <c r="T435" t="s">
        <v>93</v>
      </c>
      <c r="U435">
        <v>12</v>
      </c>
      <c r="V435" t="s">
        <v>231</v>
      </c>
      <c r="W435" t="s">
        <v>159</v>
      </c>
      <c r="X435" t="s">
        <v>96</v>
      </c>
      <c r="Y435" s="23" t="s">
        <v>97</v>
      </c>
      <c r="AA435">
        <v>8</v>
      </c>
      <c r="AB435" t="s">
        <v>1865</v>
      </c>
      <c r="AC435" t="s">
        <v>1790</v>
      </c>
      <c r="AD435" s="2">
        <v>1</v>
      </c>
      <c r="AE435" s="2" t="s">
        <v>70</v>
      </c>
      <c r="AF435" t="str">
        <f>_xlfn.CONCAT(FINI_grouping_for_wheel[[#This Row],[SEFI/Plant]],"/",IF(FINI_grouping_for_wheel[[#This Row],[RESET recipe combination]]&lt;&gt;"",FINI_grouping_for_wheel[[#This Row],[RESET recipe combination]],FINI_grouping_for_wheel[[#This Row],[Recipe Combination]]),"/",FINI_grouping_for_wheel[[#This Row],[Subgroup]])</f>
        <v>4497395/THDP/x/1</v>
      </c>
      <c r="AG4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35">
        <f>_xlfn.LET(_xlpm.pct, FINI_grouping_for_wheel[[#This Row],[% forecast within subgroup]], _xlpm.lote, FINI_grouping_for_wheel[[#This Row],[Lot size considered]], _xlpm.pct*_xlpm.lote)</f>
        <v>8258.80885791</v>
      </c>
      <c r="AI435" cm="1">
        <f t="array" aca="1" ref="AI435" ca="1">IFERROR(INDIRECT("FINI_grouping_for_wheel[@["&amp;FINI_grouping_for_wheel[[#This Row],[Selected PV]]&amp;"]]"),"")</f>
        <v>8</v>
      </c>
      <c r="AJ43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3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435" s="4"/>
      <c r="AM43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v>
      </c>
      <c r="AN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3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35" t="str">
        <f>_xlfn.CONCAT(FINI_grouping_for_wheel[[#This Row],[Recipe Combination]],FINI_grouping_for_wheel[[#This Row],[Subgroup]])</f>
        <v>X1</v>
      </c>
    </row>
    <row r="436" spans="1:55" hidden="1">
      <c r="A436" t="s">
        <v>10</v>
      </c>
      <c r="B436">
        <v>4497395</v>
      </c>
      <c r="C436" t="s">
        <v>1786</v>
      </c>
      <c r="D436">
        <v>8258.80885791</v>
      </c>
      <c r="E436">
        <v>69</v>
      </c>
      <c r="F436">
        <v>1.38</v>
      </c>
      <c r="G436" t="s">
        <v>1866</v>
      </c>
      <c r="H436" t="s">
        <v>1867</v>
      </c>
      <c r="I436">
        <v>385</v>
      </c>
      <c r="J436" t="s">
        <v>90</v>
      </c>
      <c r="K436" t="s">
        <v>1868</v>
      </c>
      <c r="L436" t="s">
        <v>1869</v>
      </c>
      <c r="M436">
        <v>108978.45525</v>
      </c>
      <c r="N436">
        <v>435.913821</v>
      </c>
      <c r="O436">
        <v>394882.04151</v>
      </c>
      <c r="P436">
        <v>564894.351225</v>
      </c>
      <c r="Q436">
        <v>0.27597723824885623</v>
      </c>
      <c r="R436">
        <v>2279.24325983</v>
      </c>
      <c r="S436" t="s">
        <v>387</v>
      </c>
      <c r="T436" t="s">
        <v>93</v>
      </c>
      <c r="U436">
        <v>10</v>
      </c>
      <c r="V436" t="s">
        <v>94</v>
      </c>
      <c r="W436" t="s">
        <v>95</v>
      </c>
      <c r="X436" t="s">
        <v>96</v>
      </c>
      <c r="Y436" s="23" t="s">
        <v>97</v>
      </c>
      <c r="AA436">
        <v>19</v>
      </c>
      <c r="AB436" t="s">
        <v>1870</v>
      </c>
      <c r="AC436" t="s">
        <v>1790</v>
      </c>
      <c r="AD436" s="2">
        <v>2</v>
      </c>
      <c r="AE436" s="2" t="s">
        <v>70</v>
      </c>
      <c r="AF436" t="str">
        <f>_xlfn.CONCAT(FINI_grouping_for_wheel[[#This Row],[SEFI/Plant]],"/",IF(FINI_grouping_for_wheel[[#This Row],[RESET recipe combination]]&lt;&gt;"",FINI_grouping_for_wheel[[#This Row],[RESET recipe combination]],FINI_grouping_for_wheel[[#This Row],[Recipe Combination]]),"/",FINI_grouping_for_wheel[[#This Row],[Subgroup]])</f>
        <v>4497395/THDP/x/2</v>
      </c>
      <c r="AG4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36">
        <f>_xlfn.LET(_xlpm.pct, FINI_grouping_for_wheel[[#This Row],[% forecast within subgroup]], _xlpm.lote, FINI_grouping_for_wheel[[#This Row],[Lot size considered]], _xlpm.pct*_xlpm.lote)</f>
        <v>8258.80885791</v>
      </c>
      <c r="AI436" cm="1">
        <f t="array" aca="1" ref="AI436" ca="1">IFERROR(INDIRECT("FINI_grouping_for_wheel[@["&amp;FINI_grouping_for_wheel[[#This Row],[Selected PV]]&amp;"]]"),"")</f>
        <v>17</v>
      </c>
      <c r="AJ43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4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23.1</v>
      </c>
      <c r="AL436" s="4"/>
      <c r="AM43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v>
      </c>
      <c r="AN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3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36" t="str">
        <f>_xlfn.CONCAT(FINI_grouping_for_wheel[[#This Row],[Recipe Combination]],FINI_grouping_for_wheel[[#This Row],[Subgroup]])</f>
        <v>X2</v>
      </c>
    </row>
    <row r="437" spans="1:55" hidden="1">
      <c r="A437" t="s">
        <v>10</v>
      </c>
      <c r="B437">
        <v>4302598</v>
      </c>
      <c r="C437" t="s">
        <v>1871</v>
      </c>
      <c r="D437">
        <v>8354.0668109</v>
      </c>
      <c r="E437">
        <v>68</v>
      </c>
      <c r="F437">
        <v>1.36</v>
      </c>
      <c r="G437" t="s">
        <v>1872</v>
      </c>
      <c r="H437" t="s">
        <v>1873</v>
      </c>
      <c r="I437">
        <v>300</v>
      </c>
      <c r="J437" t="s">
        <v>90</v>
      </c>
      <c r="K437" t="s">
        <v>188</v>
      </c>
      <c r="L437" t="s">
        <v>189</v>
      </c>
      <c r="M437">
        <v>142.0686</v>
      </c>
      <c r="N437">
        <v>0.5682744</v>
      </c>
      <c r="O437">
        <v>142.0686</v>
      </c>
      <c r="P437">
        <v>562253.05917</v>
      </c>
      <c r="Q437">
        <v>1</v>
      </c>
      <c r="R437">
        <v>8354.0668109</v>
      </c>
      <c r="S437" t="s">
        <v>104</v>
      </c>
      <c r="T437" t="s">
        <v>93</v>
      </c>
      <c r="U437">
        <v>5</v>
      </c>
      <c r="V437" t="s">
        <v>119</v>
      </c>
      <c r="W437" t="s">
        <v>142</v>
      </c>
      <c r="X437" t="s">
        <v>96</v>
      </c>
      <c r="Y437" s="23" t="s">
        <v>120</v>
      </c>
      <c r="AA437">
        <v>14701</v>
      </c>
      <c r="AB437" t="s">
        <v>1874</v>
      </c>
      <c r="AC437" t="s">
        <v>1875</v>
      </c>
      <c r="AD437" s="2">
        <v>7</v>
      </c>
      <c r="AE437" s="2" t="s">
        <v>70</v>
      </c>
      <c r="AF437" t="str">
        <f>_xlfn.CONCAT(FINI_grouping_for_wheel[[#This Row],[SEFI/Plant]],"/",IF(FINI_grouping_for_wheel[[#This Row],[RESET recipe combination]]&lt;&gt;"",FINI_grouping_for_wheel[[#This Row],[RESET recipe combination]],FINI_grouping_for_wheel[[#This Row],[Recipe Combination]]),"/",FINI_grouping_for_wheel[[#This Row],[Subgroup]])</f>
        <v>4302598/THDP/x/7</v>
      </c>
      <c r="AG4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0.007380073800738008</v>
      </c>
      <c r="AH437">
        <f>_xlfn.LET(_xlpm.pct, FINI_grouping_for_wheel[[#This Row],[% forecast within subgroup]], _xlpm.lote, FINI_grouping_for_wheel[[#This Row],[Lot size considered]], _xlpm.pct*_xlpm.lote)</f>
        <v>61.653629600738014</v>
      </c>
      <c r="AI437" cm="1">
        <f t="array" aca="1" ref="AI437" ca="1">IFERROR(INDIRECT("FINI_grouping_for_wheel[@["&amp;FINI_grouping_for_wheel[[#This Row],[Selected PV]]&amp;"]]"),"")</f>
        <v>99</v>
      </c>
      <c r="AJ43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437" s="4"/>
      <c r="AM43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99</v>
      </c>
      <c r="AN43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212</v>
      </c>
      <c r="AO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3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37" t="str">
        <f>_xlfn.CONCAT(FINI_grouping_for_wheel[[#This Row],[Recipe Combination]],FINI_grouping_for_wheel[[#This Row],[Subgroup]])</f>
        <v>07</v>
      </c>
    </row>
    <row r="438" spans="1:55" hidden="1">
      <c r="A438" t="s">
        <v>10</v>
      </c>
      <c r="B438">
        <v>4302598</v>
      </c>
      <c r="C438" t="s">
        <v>1871</v>
      </c>
      <c r="D438">
        <v>8354.0668109</v>
      </c>
      <c r="E438">
        <v>68</v>
      </c>
      <c r="F438">
        <v>1.36</v>
      </c>
      <c r="G438" t="s">
        <v>1876</v>
      </c>
      <c r="H438" t="s">
        <v>1877</v>
      </c>
      <c r="I438">
        <v>240</v>
      </c>
      <c r="J438" t="s">
        <v>90</v>
      </c>
      <c r="K438" t="s">
        <v>277</v>
      </c>
      <c r="L438" t="s">
        <v>278</v>
      </c>
      <c r="M438">
        <v>26039.990475</v>
      </c>
      <c r="N438">
        <v>104.1599619</v>
      </c>
      <c r="O438">
        <v>26039.990475</v>
      </c>
      <c r="P438">
        <v>562253.05917</v>
      </c>
      <c r="Q438">
        <v>1</v>
      </c>
      <c r="R438">
        <v>8354.0668109</v>
      </c>
      <c r="S438" t="s">
        <v>273</v>
      </c>
      <c r="T438" t="s">
        <v>93</v>
      </c>
      <c r="U438">
        <v>5</v>
      </c>
      <c r="V438" t="s">
        <v>196</v>
      </c>
      <c r="W438" t="s">
        <v>95</v>
      </c>
      <c r="X438" t="s">
        <v>106</v>
      </c>
      <c r="Y438" s="23" t="s">
        <v>107</v>
      </c>
      <c r="AA438">
        <v>80</v>
      </c>
      <c r="AB438" t="s">
        <v>1878</v>
      </c>
      <c r="AC438" t="s">
        <v>1875</v>
      </c>
      <c r="AD438" s="2">
        <v>6</v>
      </c>
      <c r="AE438" s="2" t="s">
        <v>70</v>
      </c>
      <c r="AF438" t="str">
        <f>_xlfn.CONCAT(FINI_grouping_for_wheel[[#This Row],[SEFI/Plant]],"/",IF(FINI_grouping_for_wheel[[#This Row],[RESET recipe combination]]&lt;&gt;"",FINI_grouping_for_wheel[[#This Row],[RESET recipe combination]],FINI_grouping_for_wheel[[#This Row],[Recipe Combination]]),"/",FINI_grouping_for_wheel[[#This Row],[Subgroup]])</f>
        <v>4302598/THDP/x/6</v>
      </c>
      <c r="AG4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0.5845847176079734</v>
      </c>
      <c r="AH438">
        <f>_xlfn.LET(_xlpm.pct, FINI_grouping_for_wheel[[#This Row],[% forecast within subgroup]], _xlpm.lote, FINI_grouping_for_wheel[[#This Row],[Lot size considered]], _xlpm.pct*_xlpm.lote)</f>
        <v>4883.6597875281195</v>
      </c>
      <c r="AI438" cm="1">
        <f t="array" aca="1" ref="AI438" ca="1">IFERROR(INDIRECT("FINI_grouping_for_wheel[@["&amp;FINI_grouping_for_wheel[[#This Row],[Selected PV]]&amp;"]]"),"")</f>
        <v>43</v>
      </c>
      <c r="AJ43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21.8</v>
      </c>
      <c r="AL438" s="4"/>
      <c r="AM43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43</v>
      </c>
      <c r="AN43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92</v>
      </c>
      <c r="AO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3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38" t="str">
        <f>_xlfn.CONCAT(FINI_grouping_for_wheel[[#This Row],[Recipe Combination]],FINI_grouping_for_wheel[[#This Row],[Subgroup]])</f>
        <v>?6</v>
      </c>
    </row>
    <row r="439" spans="1:55" hidden="1">
      <c r="A439" t="s">
        <v>10</v>
      </c>
      <c r="B439">
        <v>4302598</v>
      </c>
      <c r="C439" t="s">
        <v>1871</v>
      </c>
      <c r="D439">
        <v>8354.0668109</v>
      </c>
      <c r="E439">
        <v>68</v>
      </c>
      <c r="F439">
        <v>1.36</v>
      </c>
      <c r="G439" t="s">
        <v>1879</v>
      </c>
      <c r="H439" t="s">
        <v>1880</v>
      </c>
      <c r="I439">
        <v>440</v>
      </c>
      <c r="J439" t="s">
        <v>90</v>
      </c>
      <c r="K439" t="s">
        <v>385</v>
      </c>
      <c r="L439" t="s">
        <v>386</v>
      </c>
      <c r="M439">
        <v>37683.69615</v>
      </c>
      <c r="N439">
        <v>150.7347846</v>
      </c>
      <c r="O439">
        <v>37683.69615</v>
      </c>
      <c r="P439">
        <v>562253.05917</v>
      </c>
      <c r="Q439">
        <v>1</v>
      </c>
      <c r="R439">
        <v>8354.0668109</v>
      </c>
      <c r="S439" t="s">
        <v>118</v>
      </c>
      <c r="T439" t="s">
        <v>93</v>
      </c>
      <c r="U439">
        <v>10</v>
      </c>
      <c r="V439" t="s">
        <v>94</v>
      </c>
      <c r="W439" t="s">
        <v>95</v>
      </c>
      <c r="X439" t="s">
        <v>96</v>
      </c>
      <c r="Y439" s="23" t="s">
        <v>97</v>
      </c>
      <c r="AA439">
        <v>55</v>
      </c>
      <c r="AB439" t="s">
        <v>1881</v>
      </c>
      <c r="AC439" t="s">
        <v>1875</v>
      </c>
      <c r="AD439" s="2">
        <v>3</v>
      </c>
      <c r="AE439" s="2" t="s">
        <v>70</v>
      </c>
      <c r="AF439" t="str">
        <f>_xlfn.CONCAT(FINI_grouping_for_wheel[[#This Row],[SEFI/Plant]],"/",IF(FINI_grouping_for_wheel[[#This Row],[RESET recipe combination]]&lt;&gt;"",FINI_grouping_for_wheel[[#This Row],[RESET recipe combination]],FINI_grouping_for_wheel[[#This Row],[Recipe Combination]]),"/",FINI_grouping_for_wheel[[#This Row],[Subgroup]])</f>
        <v>4302598/THDP/x/3</v>
      </c>
      <c r="AG4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0.4672636523781562</v>
      </c>
      <c r="AH439">
        <f>_xlfn.LET(_xlpm.pct, FINI_grouping_for_wheel[[#This Row],[% forecast within subgroup]], _xlpm.lote, FINI_grouping_for_wheel[[#This Row],[Lot size considered]], _xlpm.pct*_xlpm.lote)</f>
        <v>3903.5517702722696</v>
      </c>
      <c r="AI439" cm="1">
        <f t="array" aca="1" ref="AI439" ca="1">IFERROR(INDIRECT("FINI_grouping_for_wheel[@["&amp;FINI_grouping_for_wheel[[#This Row],[Selected PV]]&amp;"]]"),"")</f>
        <v>24</v>
      </c>
      <c r="AJ43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9.5</v>
      </c>
      <c r="AL439" s="4"/>
      <c r="AM43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v>
      </c>
      <c r="AN43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51</v>
      </c>
      <c r="AO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3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39" t="str">
        <f>_xlfn.CONCAT(FINI_grouping_for_wheel[[#This Row],[Recipe Combination]],FINI_grouping_for_wheel[[#This Row],[Subgroup]])</f>
        <v>A3</v>
      </c>
    </row>
    <row r="440" spans="1:55" hidden="1">
      <c r="A440" t="s">
        <v>10</v>
      </c>
      <c r="B440">
        <v>4302598</v>
      </c>
      <c r="C440" t="s">
        <v>1871</v>
      </c>
      <c r="D440">
        <v>8354.0668109</v>
      </c>
      <c r="E440">
        <v>68</v>
      </c>
      <c r="F440">
        <v>1.36</v>
      </c>
      <c r="G440" t="s">
        <v>1882</v>
      </c>
      <c r="H440" t="s">
        <v>1883</v>
      </c>
      <c r="I440">
        <v>528</v>
      </c>
      <c r="J440" t="s">
        <v>90</v>
      </c>
      <c r="K440" t="s">
        <v>312</v>
      </c>
      <c r="L440" t="s">
        <v>313</v>
      </c>
      <c r="M440">
        <v>1824.397605</v>
      </c>
      <c r="N440">
        <v>7.29759042</v>
      </c>
      <c r="O440">
        <v>3537.50814</v>
      </c>
      <c r="P440">
        <v>562253.05917</v>
      </c>
      <c r="Q440">
        <v>0.51572958500669341</v>
      </c>
      <c r="R440">
        <v>4308.43940951</v>
      </c>
      <c r="S440" t="s">
        <v>314</v>
      </c>
      <c r="T440" t="s">
        <v>93</v>
      </c>
      <c r="U440">
        <v>1</v>
      </c>
      <c r="V440" t="s">
        <v>315</v>
      </c>
      <c r="W440" t="s">
        <v>142</v>
      </c>
      <c r="X440" t="s">
        <v>150</v>
      </c>
      <c r="Y440" s="23" t="s">
        <v>151</v>
      </c>
      <c r="AA440">
        <v>1145</v>
      </c>
      <c r="AB440" t="s">
        <v>1884</v>
      </c>
      <c r="AC440" t="s">
        <v>1875</v>
      </c>
      <c r="AD440" s="2">
        <v>8</v>
      </c>
      <c r="AE440" s="2" t="s">
        <v>70</v>
      </c>
      <c r="AF440" t="str">
        <f>_xlfn.CONCAT(FINI_grouping_for_wheel[[#This Row],[SEFI/Plant]],"/",IF(FINI_grouping_for_wheel[[#This Row],[RESET recipe combination]]&lt;&gt;"",FINI_grouping_for_wheel[[#This Row],[RESET recipe combination]],FINI_grouping_for_wheel[[#This Row],[Recipe Combination]]),"/",FINI_grouping_for_wheel[[#This Row],[Subgroup]])</f>
        <v>4302598/THDP/x/8</v>
      </c>
      <c r="AG4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0.3683958881185752</v>
      </c>
      <c r="AH440">
        <f>_xlfn.LET(_xlpm.pct, FINI_grouping_for_wheel[[#This Row],[% forecast within subgroup]], _xlpm.lote, FINI_grouping_for_wheel[[#This Row],[Lot size considered]], _xlpm.pct*_xlpm.lote)</f>
        <v>3077.603862203419</v>
      </c>
      <c r="AI440" cm="1">
        <f t="array" aca="1" ref="AI440" ca="1">IFERROR(INDIRECT("FINI_grouping_for_wheel[@["&amp;FINI_grouping_for_wheel[[#This Row],[Selected PV]]&amp;"]]"),"")</f>
        <v>383</v>
      </c>
      <c r="AJ44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6.2</v>
      </c>
      <c r="AL440" s="4"/>
      <c r="AM44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383</v>
      </c>
      <c r="AN44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823</v>
      </c>
      <c r="AO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4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40" t="str">
        <f>_xlfn.CONCAT(FINI_grouping_for_wheel[[#This Row],[Recipe Combination]],FINI_grouping_for_wheel[[#This Row],[Subgroup]])</f>
        <v>K8</v>
      </c>
    </row>
    <row r="441" spans="1:55" hidden="1">
      <c r="A441" t="s">
        <v>10</v>
      </c>
      <c r="B441">
        <v>4302598</v>
      </c>
      <c r="C441" t="s">
        <v>1871</v>
      </c>
      <c r="D441">
        <v>8354.0668109</v>
      </c>
      <c r="E441">
        <v>68</v>
      </c>
      <c r="F441">
        <v>1.36</v>
      </c>
      <c r="G441" t="s">
        <v>1885</v>
      </c>
      <c r="H441" t="s">
        <v>1886</v>
      </c>
      <c r="I441">
        <v>528</v>
      </c>
      <c r="J441" t="s">
        <v>90</v>
      </c>
      <c r="K441" t="s">
        <v>312</v>
      </c>
      <c r="L441" t="s">
        <v>313</v>
      </c>
      <c r="M441">
        <v>1701.271485</v>
      </c>
      <c r="N441">
        <v>6.80508594</v>
      </c>
      <c r="O441">
        <v>3537.50814</v>
      </c>
      <c r="P441">
        <v>562253.05917</v>
      </c>
      <c r="Q441">
        <v>0.48092369477911645</v>
      </c>
      <c r="R441">
        <v>4017.66867713</v>
      </c>
      <c r="S441" t="s">
        <v>314</v>
      </c>
      <c r="T441" t="s">
        <v>93</v>
      </c>
      <c r="U441">
        <v>1</v>
      </c>
      <c r="V441" t="s">
        <v>315</v>
      </c>
      <c r="W441" t="s">
        <v>142</v>
      </c>
      <c r="X441" t="s">
        <v>150</v>
      </c>
      <c r="Y441" s="23" t="s">
        <v>151</v>
      </c>
      <c r="AA441">
        <v>1228</v>
      </c>
      <c r="AB441" t="s">
        <v>1887</v>
      </c>
      <c r="AC441" t="s">
        <v>1875</v>
      </c>
      <c r="AD441" s="2">
        <v>8</v>
      </c>
      <c r="AE441" s="2" t="s">
        <v>70</v>
      </c>
      <c r="AF441" t="str">
        <f>_xlfn.CONCAT(FINI_grouping_for_wheel[[#This Row],[SEFI/Plant]],"/",IF(FINI_grouping_for_wheel[[#This Row],[RESET recipe combination]]&lt;&gt;"",FINI_grouping_for_wheel[[#This Row],[RESET recipe combination]],FINI_grouping_for_wheel[[#This Row],[Recipe Combination]]),"/",FINI_grouping_for_wheel[[#This Row],[Subgroup]])</f>
        <v>4302598/THDP/x/8</v>
      </c>
      <c r="AG4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0.3435333492708582</v>
      </c>
      <c r="AH441">
        <f>_xlfn.LET(_xlpm.pct, FINI_grouping_for_wheel[[#This Row],[% forecast within subgroup]], _xlpm.lote, FINI_grouping_for_wheel[[#This Row],[Lot size considered]], _xlpm.pct*_xlpm.lote)</f>
        <v>2869.900551580994</v>
      </c>
      <c r="AI441" cm="1">
        <f t="array" aca="1" ref="AI441" ca="1">IFERROR(INDIRECT("FINI_grouping_for_wheel[@["&amp;FINI_grouping_for_wheel[[#This Row],[Selected PV]]&amp;"]]"),"")</f>
        <v>383</v>
      </c>
      <c r="AJ44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5.8</v>
      </c>
      <c r="AL441" s="4"/>
      <c r="AM44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383</v>
      </c>
      <c r="AN44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823</v>
      </c>
      <c r="AO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4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41" t="str">
        <f>_xlfn.CONCAT(FINI_grouping_for_wheel[[#This Row],[Recipe Combination]],FINI_grouping_for_wheel[[#This Row],[Subgroup]])</f>
        <v>K8</v>
      </c>
    </row>
    <row r="442" spans="1:55" hidden="1">
      <c r="A442" t="s">
        <v>10</v>
      </c>
      <c r="B442">
        <v>4302598</v>
      </c>
      <c r="C442" t="s">
        <v>1871</v>
      </c>
      <c r="D442">
        <v>8354.0668109</v>
      </c>
      <c r="E442">
        <v>68</v>
      </c>
      <c r="F442">
        <v>1.36</v>
      </c>
      <c r="G442" t="s">
        <v>1888</v>
      </c>
      <c r="H442" t="s">
        <v>1889</v>
      </c>
      <c r="I442">
        <v>483</v>
      </c>
      <c r="J442" t="s">
        <v>90</v>
      </c>
      <c r="K442" t="s">
        <v>312</v>
      </c>
      <c r="L442" t="s">
        <v>313</v>
      </c>
      <c r="M442">
        <v>11.83905</v>
      </c>
      <c r="N442">
        <v>0.0473562</v>
      </c>
      <c r="O442">
        <v>3537.50814</v>
      </c>
      <c r="P442">
        <v>562253.05917</v>
      </c>
      <c r="Q442">
        <v>3.3467202141900937E-3</v>
      </c>
      <c r="R442">
        <v>27.9587242667</v>
      </c>
      <c r="S442" t="s">
        <v>314</v>
      </c>
      <c r="T442" t="s">
        <v>93</v>
      </c>
      <c r="U442">
        <v>1</v>
      </c>
      <c r="V442" t="s">
        <v>315</v>
      </c>
      <c r="W442" t="s">
        <v>142</v>
      </c>
      <c r="X442" t="s">
        <v>150</v>
      </c>
      <c r="Y442" s="23" t="s">
        <v>151</v>
      </c>
      <c r="AA442">
        <v>176409</v>
      </c>
      <c r="AB442" t="s">
        <v>1890</v>
      </c>
      <c r="AC442" t="s">
        <v>1875</v>
      </c>
      <c r="AD442" s="2">
        <v>8</v>
      </c>
      <c r="AE442" s="2" t="s">
        <v>70</v>
      </c>
      <c r="AF442" t="str">
        <f>_xlfn.CONCAT(FINI_grouping_for_wheel[[#This Row],[SEFI/Plant]],"/",IF(FINI_grouping_for_wheel[[#This Row],[RESET recipe combination]]&lt;&gt;"",FINI_grouping_for_wheel[[#This Row],[RESET recipe combination]],FINI_grouping_for_wheel[[#This Row],[Recipe Combination]]),"/",FINI_grouping_for_wheel[[#This Row],[Subgroup]])</f>
        <v>4302598/THDP/x/8</v>
      </c>
      <c r="AG4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0.0023906287353573988</v>
      </c>
      <c r="AH442">
        <f>_xlfn.LET(_xlpm.pct, FINI_grouping_for_wheel[[#This Row],[% forecast within subgroup]], _xlpm.lote, FINI_grouping_for_wheel[[#This Row],[Lot size considered]], _xlpm.pct*_xlpm.lote)</f>
        <v>19.971472175233085</v>
      </c>
      <c r="AI442" cm="1">
        <f t="array" aca="1" ref="AI442" ca="1">IFERROR(INDIRECT("FINI_grouping_for_wheel[@["&amp;FINI_grouping_for_wheel[[#This Row],[Selected PV]]&amp;"]]"),"")</f>
        <v>383</v>
      </c>
      <c r="AJ44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v>
      </c>
      <c r="AL442" s="4"/>
      <c r="AM44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383</v>
      </c>
      <c r="AN44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823</v>
      </c>
      <c r="AO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4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42" t="str">
        <f>_xlfn.CONCAT(FINI_grouping_for_wheel[[#This Row],[Recipe Combination]],FINI_grouping_for_wheel[[#This Row],[Subgroup]])</f>
        <v>K8</v>
      </c>
    </row>
    <row r="443" spans="1:55" hidden="1">
      <c r="A443" t="s">
        <v>10</v>
      </c>
      <c r="B443">
        <v>4302598</v>
      </c>
      <c r="C443" t="s">
        <v>1871</v>
      </c>
      <c r="D443">
        <v>8354.0668109</v>
      </c>
      <c r="E443">
        <v>68</v>
      </c>
      <c r="F443">
        <v>1.36</v>
      </c>
      <c r="G443" t="s">
        <v>1891</v>
      </c>
      <c r="H443" t="s">
        <v>1892</v>
      </c>
      <c r="I443">
        <v>405</v>
      </c>
      <c r="J443" t="s">
        <v>90</v>
      </c>
      <c r="K443" t="s">
        <v>406</v>
      </c>
      <c r="L443" t="s">
        <v>407</v>
      </c>
      <c r="M443">
        <v>11116.86795</v>
      </c>
      <c r="N443">
        <v>44.4674718</v>
      </c>
      <c r="O443">
        <v>19262.13435</v>
      </c>
      <c r="P443">
        <v>562253.05917</v>
      </c>
      <c r="Q443">
        <v>0.57713583282114322</v>
      </c>
      <c r="R443">
        <v>4821.43130635</v>
      </c>
      <c r="S443" t="s">
        <v>157</v>
      </c>
      <c r="T443" t="s">
        <v>93</v>
      </c>
      <c r="U443">
        <v>15</v>
      </c>
      <c r="V443" t="s">
        <v>408</v>
      </c>
      <c r="W443" t="s">
        <v>142</v>
      </c>
      <c r="X443" t="s">
        <v>96</v>
      </c>
      <c r="Y443" s="23" t="s">
        <v>97</v>
      </c>
      <c r="AA443">
        <v>188</v>
      </c>
      <c r="AB443" t="s">
        <v>1893</v>
      </c>
      <c r="AC443" t="s">
        <v>1875</v>
      </c>
      <c r="AD443" s="2">
        <v>5</v>
      </c>
      <c r="AE443" s="2" t="s">
        <v>70</v>
      </c>
      <c r="AF443" t="str">
        <f>_xlfn.CONCAT(FINI_grouping_for_wheel[[#This Row],[SEFI/Plant]],"/",IF(FINI_grouping_for_wheel[[#This Row],[RESET recipe combination]]&lt;&gt;"",FINI_grouping_for_wheel[[#This Row],[RESET recipe combination]],FINI_grouping_for_wheel[[#This Row],[Recipe Combination]]),"/",FINI_grouping_for_wheel[[#This Row],[Subgroup]])</f>
        <v>4302598/THDP/x/5</v>
      </c>
      <c r="AG4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0.6603375527426161</v>
      </c>
      <c r="AH443">
        <f>_xlfn.LET(_xlpm.pct, FINI_grouping_for_wheel[[#This Row],[% forecast within subgroup]], _xlpm.lote, FINI_grouping_for_wheel[[#This Row],[Lot size considered]], _xlpm.pct*_xlpm.lote)</f>
        <v>5516.504033358017</v>
      </c>
      <c r="AI443" cm="1">
        <f t="array" aca="1" ref="AI443" ca="1">IFERROR(INDIRECT("FINI_grouping_for_wheel[@["&amp;FINI_grouping_for_wheel[[#This Row],[Selected PV]]&amp;"]]"),"")</f>
        <v>113</v>
      </c>
      <c r="AJ44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14.6</v>
      </c>
      <c r="AL443" s="4"/>
      <c r="AM44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113</v>
      </c>
      <c r="AN44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242</v>
      </c>
      <c r="AO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4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43" t="str">
        <f>_xlfn.CONCAT(FINI_grouping_for_wheel[[#This Row],[Recipe Combination]],FINI_grouping_for_wheel[[#This Row],[Subgroup]])</f>
        <v>M5</v>
      </c>
    </row>
    <row r="444" spans="1:55" hidden="1">
      <c r="A444" t="s">
        <v>10</v>
      </c>
      <c r="B444">
        <v>4302598</v>
      </c>
      <c r="C444" t="s">
        <v>1871</v>
      </c>
      <c r="D444">
        <v>8354.0668109</v>
      </c>
      <c r="E444">
        <v>68</v>
      </c>
      <c r="F444">
        <v>1.36</v>
      </c>
      <c r="G444" t="s">
        <v>1894</v>
      </c>
      <c r="H444" t="s">
        <v>1895</v>
      </c>
      <c r="I444">
        <v>330</v>
      </c>
      <c r="J444" t="s">
        <v>90</v>
      </c>
      <c r="K444" t="s">
        <v>328</v>
      </c>
      <c r="L444" t="s">
        <v>329</v>
      </c>
      <c r="M444">
        <v>2427.00525</v>
      </c>
      <c r="N444">
        <v>9.708021</v>
      </c>
      <c r="O444">
        <v>19262.13435</v>
      </c>
      <c r="P444">
        <v>562253.05917</v>
      </c>
      <c r="Q444">
        <v>0.12599877074370006</v>
      </c>
      <c r="R444">
        <v>1052.60214888</v>
      </c>
      <c r="S444" t="s">
        <v>157</v>
      </c>
      <c r="T444" t="s">
        <v>93</v>
      </c>
      <c r="U444">
        <v>10</v>
      </c>
      <c r="V444" t="s">
        <v>94</v>
      </c>
      <c r="W444" t="s">
        <v>95</v>
      </c>
      <c r="X444" t="s">
        <v>96</v>
      </c>
      <c r="Y444" s="23" t="s">
        <v>97</v>
      </c>
      <c r="AA444">
        <v>861</v>
      </c>
      <c r="AB444" t="s">
        <v>1896</v>
      </c>
      <c r="AC444" t="s">
        <v>1875</v>
      </c>
      <c r="AD444" s="2">
        <v>4</v>
      </c>
      <c r="AE444" s="2" t="s">
        <v>70</v>
      </c>
      <c r="AF444" t="str">
        <f>_xlfn.CONCAT(FINI_grouping_for_wheel[[#This Row],[SEFI/Plant]],"/",IF(FINI_grouping_for_wheel[[#This Row],[RESET recipe combination]]&lt;&gt;"",FINI_grouping_for_wheel[[#This Row],[RESET recipe combination]],FINI_grouping_for_wheel[[#This Row],[Recipe Combination]]),"/",FINI_grouping_for_wheel[[#This Row],[Subgroup]])</f>
        <v>4302598/THDP/x/4</v>
      </c>
      <c r="AG4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0.03789979663523757</v>
      </c>
      <c r="AH444">
        <f>_xlfn.LET(_xlpm.pct, FINI_grouping_for_wheel[[#This Row],[% forecast within subgroup]], _xlpm.lote, FINI_grouping_for_wheel[[#This Row],[Lot size considered]], _xlpm.pct*_xlpm.lote)</f>
        <v>316.6174332102977</v>
      </c>
      <c r="AI444" cm="1">
        <f t="array" aca="1" ref="AI444" ca="1">IFERROR(INDIRECT("FINI_grouping_for_wheel[@["&amp;FINI_grouping_for_wheel[[#This Row],[Selected PV]]&amp;"]]"),"")</f>
        <v>30</v>
      </c>
      <c r="AJ44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v>
      </c>
      <c r="AL444" s="4"/>
      <c r="AM44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30</v>
      </c>
      <c r="AN44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64</v>
      </c>
      <c r="AO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4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44" t="str">
        <f>_xlfn.CONCAT(FINI_grouping_for_wheel[[#This Row],[Recipe Combination]],FINI_grouping_for_wheel[[#This Row],[Subgroup]])</f>
        <v>M4</v>
      </c>
    </row>
    <row r="445" spans="1:55" hidden="1">
      <c r="A445" t="s">
        <v>10</v>
      </c>
      <c r="B445">
        <v>4302598</v>
      </c>
      <c r="C445" t="s">
        <v>1871</v>
      </c>
      <c r="D445">
        <v>8354.0668109</v>
      </c>
      <c r="E445">
        <v>68</v>
      </c>
      <c r="F445">
        <v>1.36</v>
      </c>
      <c r="G445" t="s">
        <v>1897</v>
      </c>
      <c r="H445" t="s">
        <v>1898</v>
      </c>
      <c r="I445">
        <v>405</v>
      </c>
      <c r="J445" t="s">
        <v>90</v>
      </c>
      <c r="K445" t="s">
        <v>406</v>
      </c>
      <c r="L445" t="s">
        <v>407</v>
      </c>
      <c r="M445">
        <v>5718.26115</v>
      </c>
      <c r="N445">
        <v>22.8730446</v>
      </c>
      <c r="O445">
        <v>19262.13435</v>
      </c>
      <c r="P445">
        <v>562253.05917</v>
      </c>
      <c r="Q445">
        <v>0.29686539643515675</v>
      </c>
      <c r="R445">
        <v>2480.03335566</v>
      </c>
      <c r="S445" t="s">
        <v>157</v>
      </c>
      <c r="T445" t="s">
        <v>93</v>
      </c>
      <c r="U445">
        <v>15</v>
      </c>
      <c r="V445" t="s">
        <v>408</v>
      </c>
      <c r="W445" t="s">
        <v>142</v>
      </c>
      <c r="X445" t="s">
        <v>96</v>
      </c>
      <c r="Y445" s="23" t="s">
        <v>97</v>
      </c>
      <c r="AA445">
        <v>365</v>
      </c>
      <c r="AB445" t="s">
        <v>1899</v>
      </c>
      <c r="AC445" t="s">
        <v>1875</v>
      </c>
      <c r="AD445" s="2">
        <v>5</v>
      </c>
      <c r="AE445" s="2" t="s">
        <v>70</v>
      </c>
      <c r="AF445" t="str">
        <f>_xlfn.CONCAT(FINI_grouping_for_wheel[[#This Row],[SEFI/Plant]],"/",IF(FINI_grouping_for_wheel[[#This Row],[RESET recipe combination]]&lt;&gt;"",FINI_grouping_for_wheel[[#This Row],[RESET recipe combination]],FINI_grouping_for_wheel[[#This Row],[Recipe Combination]]),"/",FINI_grouping_for_wheel[[#This Row],[Subgroup]])</f>
        <v>4302598/THDP/x/5</v>
      </c>
      <c r="AG4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0.33966244725738404</v>
      </c>
      <c r="AH445">
        <f>_xlfn.LET(_xlpm.pct, FINI_grouping_for_wheel[[#This Row],[% forecast within subgroup]], _xlpm.lote, FINI_grouping_for_wheel[[#This Row],[Lot size considered]], _xlpm.pct*_xlpm.lote)</f>
        <v>2837.5627775419835</v>
      </c>
      <c r="AI445" cm="1">
        <f t="array" aca="1" ref="AI445" ca="1">IFERROR(INDIRECT("FINI_grouping_for_wheel[@["&amp;FINI_grouping_for_wheel[[#This Row],[Selected PV]]&amp;"]]"),"")</f>
        <v>113</v>
      </c>
      <c r="AJ44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7.5</v>
      </c>
      <c r="AL445" s="4"/>
      <c r="AM44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113</v>
      </c>
      <c r="AN44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242</v>
      </c>
      <c r="AO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4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45" t="str">
        <f>_xlfn.CONCAT(FINI_grouping_for_wheel[[#This Row],[Recipe Combination]],FINI_grouping_for_wheel[[#This Row],[Subgroup]])</f>
        <v>M5</v>
      </c>
    </row>
    <row r="446" spans="1:55" hidden="1">
      <c r="A446" t="s">
        <v>10</v>
      </c>
      <c r="B446">
        <v>4302598</v>
      </c>
      <c r="C446" t="s">
        <v>1871</v>
      </c>
      <c r="D446">
        <v>8354.0668109</v>
      </c>
      <c r="E446">
        <v>68</v>
      </c>
      <c r="F446">
        <v>1.36</v>
      </c>
      <c r="G446" t="s">
        <v>1900</v>
      </c>
      <c r="H446" t="s">
        <v>1901</v>
      </c>
      <c r="I446">
        <v>300</v>
      </c>
      <c r="J446" t="s">
        <v>90</v>
      </c>
      <c r="K446" t="s">
        <v>254</v>
      </c>
      <c r="L446" t="s">
        <v>255</v>
      </c>
      <c r="M446">
        <v>9702.101475</v>
      </c>
      <c r="N446">
        <v>38.8084059</v>
      </c>
      <c r="O446">
        <v>19108.2267</v>
      </c>
      <c r="P446">
        <v>562253.05917</v>
      </c>
      <c r="Q446">
        <v>0.50774473358116479</v>
      </c>
      <c r="R446">
        <v>4241.73342722</v>
      </c>
      <c r="S446" t="s">
        <v>173</v>
      </c>
      <c r="T446" t="s">
        <v>93</v>
      </c>
      <c r="U446">
        <v>5</v>
      </c>
      <c r="V446" t="s">
        <v>119</v>
      </c>
      <c r="W446" t="s">
        <v>95</v>
      </c>
      <c r="X446" t="s">
        <v>96</v>
      </c>
      <c r="Y446" s="23" t="s">
        <v>120</v>
      </c>
      <c r="AA446">
        <v>215</v>
      </c>
      <c r="AB446" t="s">
        <v>1902</v>
      </c>
      <c r="AC446" t="s">
        <v>1875</v>
      </c>
      <c r="AD446" s="2">
        <v>7</v>
      </c>
      <c r="AE446" s="2" t="s">
        <v>70</v>
      </c>
      <c r="AF446" t="str">
        <f>_xlfn.CONCAT(FINI_grouping_for_wheel[[#This Row],[SEFI/Plant]],"/",IF(FINI_grouping_for_wheel[[#This Row],[RESET recipe combination]]&lt;&gt;"",FINI_grouping_for_wheel[[#This Row],[RESET recipe combination]],FINI_grouping_for_wheel[[#This Row],[Recipe Combination]]),"/",FINI_grouping_for_wheel[[#This Row],[Subgroup]])</f>
        <v>4302598/THDP/x/7</v>
      </c>
      <c r="AG4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0.5039975399753998</v>
      </c>
      <c r="AH446">
        <f>_xlfn.LET(_xlpm.pct, FINI_grouping_for_wheel[[#This Row],[% forecast within subgroup]], _xlpm.lote, FINI_grouping_for_wheel[[#This Row],[Lot size considered]], _xlpm.pct*_xlpm.lote)</f>
        <v>4210.429121483733</v>
      </c>
      <c r="AI446" cm="1">
        <f t="array" aca="1" ref="AI446" ca="1">IFERROR(INDIRECT("FINI_grouping_for_wheel[@["&amp;FINI_grouping_for_wheel[[#This Row],[Selected PV]]&amp;"]]"),"")</f>
        <v>99</v>
      </c>
      <c r="AJ44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446" s="4"/>
      <c r="AM44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99</v>
      </c>
      <c r="AN44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212</v>
      </c>
      <c r="AO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4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46" t="str">
        <f>_xlfn.CONCAT(FINI_grouping_for_wheel[[#This Row],[Recipe Combination]],FINI_grouping_for_wheel[[#This Row],[Subgroup]])</f>
        <v>P7</v>
      </c>
    </row>
    <row r="447" spans="1:55" hidden="1">
      <c r="A447" t="s">
        <v>10</v>
      </c>
      <c r="B447">
        <v>4302598</v>
      </c>
      <c r="C447" t="s">
        <v>1871</v>
      </c>
      <c r="D447">
        <v>8354.0668109</v>
      </c>
      <c r="E447">
        <v>68</v>
      </c>
      <c r="F447">
        <v>1.36</v>
      </c>
      <c r="G447" t="s">
        <v>1903</v>
      </c>
      <c r="H447" t="s">
        <v>1904</v>
      </c>
      <c r="I447">
        <v>300</v>
      </c>
      <c r="J447" t="s">
        <v>90</v>
      </c>
      <c r="K447" t="s">
        <v>188</v>
      </c>
      <c r="L447" t="s">
        <v>189</v>
      </c>
      <c r="M447">
        <v>1835.05275</v>
      </c>
      <c r="N447">
        <v>7.340211</v>
      </c>
      <c r="O447">
        <v>19108.2267</v>
      </c>
      <c r="P447">
        <v>562253.05917</v>
      </c>
      <c r="Q447">
        <v>9.6034696406443618E-2</v>
      </c>
      <c r="R447">
        <v>802.280269944</v>
      </c>
      <c r="S447" t="s">
        <v>173</v>
      </c>
      <c r="T447" t="s">
        <v>93</v>
      </c>
      <c r="U447">
        <v>5</v>
      </c>
      <c r="V447" t="s">
        <v>119</v>
      </c>
      <c r="W447" t="s">
        <v>142</v>
      </c>
      <c r="X447" t="s">
        <v>96</v>
      </c>
      <c r="Y447" s="23" t="s">
        <v>120</v>
      </c>
      <c r="AA447">
        <v>1138</v>
      </c>
      <c r="AB447" t="s">
        <v>1905</v>
      </c>
      <c r="AC447" t="s">
        <v>1875</v>
      </c>
      <c r="AD447" s="2">
        <v>7</v>
      </c>
      <c r="AE447" s="2" t="s">
        <v>70</v>
      </c>
      <c r="AF447" t="str">
        <f>_xlfn.CONCAT(FINI_grouping_for_wheel[[#This Row],[SEFI/Plant]],"/",IF(FINI_grouping_for_wheel[[#This Row],[RESET recipe combination]]&lt;&gt;"",FINI_grouping_for_wheel[[#This Row],[RESET recipe combination]],FINI_grouping_for_wheel[[#This Row],[Recipe Combination]]),"/",FINI_grouping_for_wheel[[#This Row],[Subgroup]])</f>
        <v>4302598/THDP/x/7</v>
      </c>
      <c r="AG4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0.09532595325953261</v>
      </c>
      <c r="AH447">
        <f>_xlfn.LET(_xlpm.pct, FINI_grouping_for_wheel[[#This Row],[% forecast within subgroup]], _xlpm.lote, FINI_grouping_for_wheel[[#This Row],[Lot size considered]], _xlpm.pct*_xlpm.lote)</f>
        <v>796.3593823428661</v>
      </c>
      <c r="AI447" cm="1">
        <f t="array" aca="1" ref="AI447" ca="1">IFERROR(INDIRECT("FINI_grouping_for_wheel[@["&amp;FINI_grouping_for_wheel[[#This Row],[Selected PV]]&amp;"]]"),"")</f>
        <v>99</v>
      </c>
      <c r="AJ44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v>
      </c>
      <c r="AL447" s="4"/>
      <c r="AM44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99</v>
      </c>
      <c r="AN44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212</v>
      </c>
      <c r="AO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4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47" t="str">
        <f>_xlfn.CONCAT(FINI_grouping_for_wheel[[#This Row],[Recipe Combination]],FINI_grouping_for_wheel[[#This Row],[Subgroup]])</f>
        <v>P7</v>
      </c>
    </row>
    <row r="448" spans="1:55" hidden="1">
      <c r="A448" t="s">
        <v>10</v>
      </c>
      <c r="B448">
        <v>4302598</v>
      </c>
      <c r="C448" t="s">
        <v>1871</v>
      </c>
      <c r="D448">
        <v>8354.0668109</v>
      </c>
      <c r="E448">
        <v>68</v>
      </c>
      <c r="F448">
        <v>1.36</v>
      </c>
      <c r="G448" t="s">
        <v>1906</v>
      </c>
      <c r="H448" t="s">
        <v>1907</v>
      </c>
      <c r="I448">
        <v>300</v>
      </c>
      <c r="J448" t="s">
        <v>90</v>
      </c>
      <c r="K448" t="s">
        <v>254</v>
      </c>
      <c r="L448" t="s">
        <v>255</v>
      </c>
      <c r="M448">
        <v>7571.072475</v>
      </c>
      <c r="N448">
        <v>30.2842899</v>
      </c>
      <c r="O448">
        <v>19108.2267</v>
      </c>
      <c r="P448">
        <v>562253.05917</v>
      </c>
      <c r="Q448">
        <v>0.39622057001239158</v>
      </c>
      <c r="R448">
        <v>3310.05311374</v>
      </c>
      <c r="S448" t="s">
        <v>173</v>
      </c>
      <c r="T448" t="s">
        <v>93</v>
      </c>
      <c r="U448">
        <v>5</v>
      </c>
      <c r="V448" t="s">
        <v>119</v>
      </c>
      <c r="W448" t="s">
        <v>95</v>
      </c>
      <c r="X448" t="s">
        <v>96</v>
      </c>
      <c r="Y448" s="23" t="s">
        <v>120</v>
      </c>
      <c r="AA448">
        <v>276</v>
      </c>
      <c r="AB448" t="s">
        <v>1908</v>
      </c>
      <c r="AC448" t="s">
        <v>1875</v>
      </c>
      <c r="AD448" s="2">
        <v>7</v>
      </c>
      <c r="AE448" s="2" t="s">
        <v>70</v>
      </c>
      <c r="AF448" t="str">
        <f>_xlfn.CONCAT(FINI_grouping_for_wheel[[#This Row],[SEFI/Plant]],"/",IF(FINI_grouping_for_wheel[[#This Row],[RESET recipe combination]]&lt;&gt;"",FINI_grouping_for_wheel[[#This Row],[RESET recipe combination]],FINI_grouping_for_wheel[[#This Row],[Recipe Combination]]),"/",FINI_grouping_for_wheel[[#This Row],[Subgroup]])</f>
        <v>4302598/THDP/x/7</v>
      </c>
      <c r="AG4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0.3932964329643297</v>
      </c>
      <c r="AH448">
        <f>_xlfn.LET(_xlpm.pct, FINI_grouping_for_wheel[[#This Row],[% forecast within subgroup]], _xlpm.lote, FINI_grouping_for_wheel[[#This Row],[Lot size considered]], _xlpm.pct*_xlpm.lote)</f>
        <v>3285.6246774726633</v>
      </c>
      <c r="AI448" cm="1">
        <f t="array" aca="1" ref="AI448" ca="1">IFERROR(INDIRECT("FINI_grouping_for_wheel[@["&amp;FINI_grouping_for_wheel[[#This Row],[Selected PV]]&amp;"]]"),"")</f>
        <v>99</v>
      </c>
      <c r="AJ44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11.7</v>
      </c>
      <c r="AL448" s="4"/>
      <c r="AM44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99</v>
      </c>
      <c r="AN44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212</v>
      </c>
      <c r="AO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4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48" t="str">
        <f>_xlfn.CONCAT(FINI_grouping_for_wheel[[#This Row],[Recipe Combination]],FINI_grouping_for_wheel[[#This Row],[Subgroup]])</f>
        <v>P7</v>
      </c>
    </row>
    <row r="449" spans="1:55" hidden="1">
      <c r="A449" t="s">
        <v>10</v>
      </c>
      <c r="B449">
        <v>4302598</v>
      </c>
      <c r="C449" t="s">
        <v>1871</v>
      </c>
      <c r="D449">
        <v>8354.0668109</v>
      </c>
      <c r="E449">
        <v>68</v>
      </c>
      <c r="F449">
        <v>1.36</v>
      </c>
      <c r="G449" t="s">
        <v>1909</v>
      </c>
      <c r="H449" t="s">
        <v>1910</v>
      </c>
      <c r="I449">
        <v>288</v>
      </c>
      <c r="J449" t="s">
        <v>90</v>
      </c>
      <c r="K449" t="s">
        <v>344</v>
      </c>
      <c r="L449" t="s">
        <v>345</v>
      </c>
      <c r="M449">
        <v>9774.31968</v>
      </c>
      <c r="N449">
        <v>39.09727872</v>
      </c>
      <c r="O449">
        <v>9774.31968</v>
      </c>
      <c r="P449">
        <v>562253.05917</v>
      </c>
      <c r="Q449">
        <v>1</v>
      </c>
      <c r="R449">
        <v>8354.0668109</v>
      </c>
      <c r="S449" t="s">
        <v>346</v>
      </c>
      <c r="T449" t="s">
        <v>93</v>
      </c>
      <c r="U449">
        <v>3</v>
      </c>
      <c r="V449" t="s">
        <v>347</v>
      </c>
      <c r="W449" t="s">
        <v>142</v>
      </c>
      <c r="X449" t="s">
        <v>96</v>
      </c>
      <c r="Y449" s="23" t="s">
        <v>107</v>
      </c>
      <c r="AA449">
        <v>214</v>
      </c>
      <c r="AB449" t="s">
        <v>1911</v>
      </c>
      <c r="AC449" t="s">
        <v>1875</v>
      </c>
      <c r="AD449" s="2">
        <v>9</v>
      </c>
      <c r="AE449" s="2" t="s">
        <v>70</v>
      </c>
      <c r="AF449" t="str">
        <f>_xlfn.CONCAT(FINI_grouping_for_wheel[[#This Row],[SEFI/Plant]],"/",IF(FINI_grouping_for_wheel[[#This Row],[RESET recipe combination]]&lt;&gt;"",FINI_grouping_for_wheel[[#This Row],[RESET recipe combination]],FINI_grouping_for_wheel[[#This Row],[Recipe Combination]]),"/",FINI_grouping_for_wheel[[#This Row],[Subgroup]])</f>
        <v>4302598/THDP/x/9</v>
      </c>
      <c r="AG4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0.3185553883551337</v>
      </c>
      <c r="AH449">
        <f>_xlfn.LET(_xlpm.pct, FINI_grouping_for_wheel[[#This Row],[% forecast within subgroup]], _xlpm.lote, FINI_grouping_for_wheel[[#This Row],[Lot size considered]], _xlpm.pct*_xlpm.lote)</f>
        <v>2661.232997290983</v>
      </c>
      <c r="AI449" cm="1">
        <f t="array" aca="1" ref="AI449" ca="1">IFERROR(INDIRECT("FINI_grouping_for_wheel[@["&amp;FINI_grouping_for_wheel[[#This Row],[Selected PV]]&amp;"]]"),"")</f>
        <v>62</v>
      </c>
      <c r="AJ44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9.9</v>
      </c>
      <c r="AL449" s="4"/>
      <c r="AM44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62</v>
      </c>
      <c r="AN44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133</v>
      </c>
      <c r="AO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4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49" t="str">
        <f>_xlfn.CONCAT(FINI_grouping_for_wheel[[#This Row],[Recipe Combination]],FINI_grouping_for_wheel[[#This Row],[Subgroup]])</f>
        <v>Q9</v>
      </c>
    </row>
    <row r="450" spans="1:55" hidden="1">
      <c r="A450" t="s">
        <v>10</v>
      </c>
      <c r="B450">
        <v>4302598</v>
      </c>
      <c r="C450" t="s">
        <v>1871</v>
      </c>
      <c r="D450">
        <v>8354.0668109</v>
      </c>
      <c r="E450">
        <v>68</v>
      </c>
      <c r="F450">
        <v>1.36</v>
      </c>
      <c r="G450" t="s">
        <v>1912</v>
      </c>
      <c r="H450" t="s">
        <v>1913</v>
      </c>
      <c r="I450">
        <v>420</v>
      </c>
      <c r="J450" t="s">
        <v>90</v>
      </c>
      <c r="K450" t="s">
        <v>305</v>
      </c>
      <c r="L450" t="s">
        <v>306</v>
      </c>
      <c r="M450">
        <v>156.27546</v>
      </c>
      <c r="N450">
        <v>0.62510184</v>
      </c>
      <c r="O450">
        <v>1414.766475</v>
      </c>
      <c r="P450">
        <v>562253.05917</v>
      </c>
      <c r="Q450">
        <v>0.11046025104602511</v>
      </c>
      <c r="R450">
        <v>922.792317188</v>
      </c>
      <c r="S450" t="s">
        <v>356</v>
      </c>
      <c r="T450" t="s">
        <v>93</v>
      </c>
      <c r="U450">
        <v>1</v>
      </c>
      <c r="V450" t="s">
        <v>308</v>
      </c>
      <c r="W450" t="s">
        <v>142</v>
      </c>
      <c r="X450" t="s">
        <v>150</v>
      </c>
      <c r="Y450" s="23" t="s">
        <v>151</v>
      </c>
      <c r="AA450">
        <v>13364</v>
      </c>
      <c r="AB450" t="s">
        <v>1914</v>
      </c>
      <c r="AC450" t="s">
        <v>1875</v>
      </c>
      <c r="AD450" s="2">
        <v>8</v>
      </c>
      <c r="AE450" s="2" t="s">
        <v>70</v>
      </c>
      <c r="AF450" t="str">
        <f>_xlfn.CONCAT(FINI_grouping_for_wheel[[#This Row],[SEFI/Plant]],"/",IF(FINI_grouping_for_wheel[[#This Row],[RESET recipe combination]]&lt;&gt;"",FINI_grouping_for_wheel[[#This Row],[RESET recipe combination]],FINI_grouping_for_wheel[[#This Row],[Recipe Combination]]),"/",FINI_grouping_for_wheel[[#This Row],[Subgroup]])</f>
        <v>4302598/THDP/x/8</v>
      </c>
      <c r="AG4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0.03155629930671767</v>
      </c>
      <c r="AH450">
        <f>_xlfn.LET(_xlpm.pct, FINI_grouping_for_wheel[[#This Row],[% forecast within subgroup]], _xlpm.lote, FINI_grouping_for_wheel[[#This Row],[Lot size considered]], _xlpm.pct*_xlpm.lote)</f>
        <v>263.62343271307674</v>
      </c>
      <c r="AI450" cm="1">
        <f t="array" aca="1" ref="AI450" ca="1">IFERROR(INDIRECT("FINI_grouping_for_wheel[@["&amp;FINI_grouping_for_wheel[[#This Row],[Selected PV]]&amp;"]]"),"")</f>
        <v>383</v>
      </c>
      <c r="AJ45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0.7</v>
      </c>
      <c r="AL450" s="4"/>
      <c r="AM45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383</v>
      </c>
      <c r="AN45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823</v>
      </c>
      <c r="AO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5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50" t="str">
        <f>_xlfn.CONCAT(FINI_grouping_for_wheel[[#This Row],[Recipe Combination]],FINI_grouping_for_wheel[[#This Row],[Subgroup]])</f>
        <v>R8</v>
      </c>
    </row>
    <row r="451" spans="1:55" hidden="1">
      <c r="A451" t="s">
        <v>10</v>
      </c>
      <c r="B451">
        <v>4302598</v>
      </c>
      <c r="C451" t="s">
        <v>1871</v>
      </c>
      <c r="D451">
        <v>8354.0668109</v>
      </c>
      <c r="E451">
        <v>68</v>
      </c>
      <c r="F451">
        <v>1.36</v>
      </c>
      <c r="G451" t="s">
        <v>1915</v>
      </c>
      <c r="H451" t="s">
        <v>1916</v>
      </c>
      <c r="I451">
        <v>264</v>
      </c>
      <c r="J451" t="s">
        <v>90</v>
      </c>
      <c r="K451" t="s">
        <v>360</v>
      </c>
      <c r="L451" t="s">
        <v>361</v>
      </c>
      <c r="M451">
        <v>1258.491015</v>
      </c>
      <c r="N451">
        <v>5.03396406</v>
      </c>
      <c r="O451">
        <v>1414.766475</v>
      </c>
      <c r="P451">
        <v>562253.05917</v>
      </c>
      <c r="Q451">
        <v>0.88953974895397492</v>
      </c>
      <c r="R451">
        <v>7431.27449372</v>
      </c>
      <c r="S451" t="s">
        <v>356</v>
      </c>
      <c r="T451" t="s">
        <v>93</v>
      </c>
      <c r="U451">
        <v>0.5</v>
      </c>
      <c r="V451" t="s">
        <v>149</v>
      </c>
      <c r="W451" t="s">
        <v>142</v>
      </c>
      <c r="X451" t="s">
        <v>150</v>
      </c>
      <c r="Y451" s="23" t="s">
        <v>151</v>
      </c>
      <c r="AA451">
        <v>1660</v>
      </c>
      <c r="AB451" t="s">
        <v>1917</v>
      </c>
      <c r="AC451" t="s">
        <v>1875</v>
      </c>
      <c r="AD451" s="2">
        <v>8</v>
      </c>
      <c r="AE451" s="2" t="s">
        <v>70</v>
      </c>
      <c r="AF451" t="str">
        <f>_xlfn.CONCAT(FINI_grouping_for_wheel[[#This Row],[SEFI/Plant]],"/",IF(FINI_grouping_for_wheel[[#This Row],[RESET recipe combination]]&lt;&gt;"",FINI_grouping_for_wheel[[#This Row],[RESET recipe combination]],FINI_grouping_for_wheel[[#This Row],[Recipe Combination]]),"/",FINI_grouping_for_wheel[[#This Row],[Subgroup]])</f>
        <v>4302598/THDP/x/8</v>
      </c>
      <c r="AG4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0.2541238345684915</v>
      </c>
      <c r="AH451">
        <f>_xlfn.LET(_xlpm.pct, FINI_grouping_for_wheel[[#This Row],[% forecast within subgroup]], _xlpm.lote, FINI_grouping_for_wheel[[#This Row],[Lot size considered]], _xlpm.pct*_xlpm.lote)</f>
        <v>2122.967492227277</v>
      </c>
      <c r="AI451" cm="1">
        <f t="array" aca="1" ref="AI451" ca="1">IFERROR(INDIRECT("FINI_grouping_for_wheel[@["&amp;FINI_grouping_for_wheel[[#This Row],[Selected PV]]&amp;"]]"),"")</f>
        <v>383</v>
      </c>
      <c r="AJ45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8.6</v>
      </c>
      <c r="AL451" s="4"/>
      <c r="AM45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383</v>
      </c>
      <c r="AN45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823</v>
      </c>
      <c r="AO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5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51" t="str">
        <f>_xlfn.CONCAT(FINI_grouping_for_wheel[[#This Row],[Recipe Combination]],FINI_grouping_for_wheel[[#This Row],[Subgroup]])</f>
        <v>R8</v>
      </c>
    </row>
    <row r="452" spans="1:55" hidden="1">
      <c r="A452" t="s">
        <v>10</v>
      </c>
      <c r="B452">
        <v>4302598</v>
      </c>
      <c r="C452" t="s">
        <v>1871</v>
      </c>
      <c r="D452">
        <v>8354.0668109</v>
      </c>
      <c r="E452">
        <v>68</v>
      </c>
      <c r="F452">
        <v>1.36</v>
      </c>
      <c r="G452" t="s">
        <v>1918</v>
      </c>
      <c r="H452" t="s">
        <v>1919</v>
      </c>
      <c r="I452">
        <v>375</v>
      </c>
      <c r="J452" t="s">
        <v>90</v>
      </c>
      <c r="K452" t="s">
        <v>365</v>
      </c>
      <c r="L452" t="s">
        <v>366</v>
      </c>
      <c r="M452">
        <v>13835.11383</v>
      </c>
      <c r="N452">
        <v>55.34045532</v>
      </c>
      <c r="O452">
        <v>39413.381355</v>
      </c>
      <c r="P452">
        <v>562253.05917</v>
      </c>
      <c r="Q452">
        <v>0.35102580276951728</v>
      </c>
      <c r="R452">
        <v>2932.49300869</v>
      </c>
      <c r="S452" t="s">
        <v>195</v>
      </c>
      <c r="T452" t="s">
        <v>93</v>
      </c>
      <c r="U452">
        <v>2.5</v>
      </c>
      <c r="V452" t="s">
        <v>105</v>
      </c>
      <c r="W452" t="s">
        <v>95</v>
      </c>
      <c r="X452" t="s">
        <v>106</v>
      </c>
      <c r="Y452" s="23" t="s">
        <v>107</v>
      </c>
      <c r="AA452">
        <v>151</v>
      </c>
      <c r="AB452" t="s">
        <v>1920</v>
      </c>
      <c r="AC452" t="s">
        <v>1875</v>
      </c>
      <c r="AD452" s="2">
        <v>9</v>
      </c>
      <c r="AE452" s="2" t="s">
        <v>70</v>
      </c>
      <c r="AF452" t="str">
        <f>_xlfn.CONCAT(FINI_grouping_for_wheel[[#This Row],[SEFI/Plant]],"/",IF(FINI_grouping_for_wheel[[#This Row],[RESET recipe combination]]&lt;&gt;"",FINI_grouping_for_wheel[[#This Row],[RESET recipe combination]],FINI_grouping_for_wheel[[#This Row],[Recipe Combination]]),"/",FINI_grouping_for_wheel[[#This Row],[Subgroup]])</f>
        <v>4302598/THDP/x/9</v>
      </c>
      <c r="AG4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0.4509009530424046</v>
      </c>
      <c r="AH452">
        <f>_xlfn.LET(_xlpm.pct, FINI_grouping_for_wheel[[#This Row],[% forecast within subgroup]], _xlpm.lote, FINI_grouping_for_wheel[[#This Row],[Lot size considered]], _xlpm.pct*_xlpm.lote)</f>
        <v>3766.8566868147313</v>
      </c>
      <c r="AI452" cm="1">
        <f t="array" aca="1" ref="AI452" ca="1">IFERROR(INDIRECT("FINI_grouping_for_wheel[@["&amp;FINI_grouping_for_wheel[[#This Row],[Selected PV]]&amp;"]]"),"")</f>
        <v>62</v>
      </c>
      <c r="AJ45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10.7</v>
      </c>
      <c r="AL452" s="4"/>
      <c r="AM45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62</v>
      </c>
      <c r="AN45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133</v>
      </c>
      <c r="AO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5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52" t="str">
        <f>_xlfn.CONCAT(FINI_grouping_for_wheel[[#This Row],[Recipe Combination]],FINI_grouping_for_wheel[[#This Row],[Subgroup]])</f>
        <v>S9</v>
      </c>
    </row>
    <row r="453" spans="1:55" hidden="1">
      <c r="A453" t="s">
        <v>10</v>
      </c>
      <c r="B453">
        <v>4302598</v>
      </c>
      <c r="C453" t="s">
        <v>1871</v>
      </c>
      <c r="D453">
        <v>8354.0668109</v>
      </c>
      <c r="E453">
        <v>68</v>
      </c>
      <c r="F453">
        <v>1.36</v>
      </c>
      <c r="G453" t="s">
        <v>1921</v>
      </c>
      <c r="H453" t="s">
        <v>1922</v>
      </c>
      <c r="I453">
        <v>375</v>
      </c>
      <c r="J453" t="s">
        <v>90</v>
      </c>
      <c r="K453" t="s">
        <v>1923</v>
      </c>
      <c r="L453" t="s">
        <v>1924</v>
      </c>
      <c r="M453">
        <v>7073.832375</v>
      </c>
      <c r="N453">
        <v>28.2953295</v>
      </c>
      <c r="O453">
        <v>39413.381355</v>
      </c>
      <c r="P453">
        <v>562253.05917</v>
      </c>
      <c r="Q453">
        <v>0.17947793697996456</v>
      </c>
      <c r="R453">
        <v>1499.37067661</v>
      </c>
      <c r="S453" t="s">
        <v>195</v>
      </c>
      <c r="T453" t="s">
        <v>93</v>
      </c>
      <c r="U453">
        <v>2.5</v>
      </c>
      <c r="V453" t="s">
        <v>105</v>
      </c>
      <c r="W453" t="s">
        <v>95</v>
      </c>
      <c r="X453" t="s">
        <v>106</v>
      </c>
      <c r="Y453" s="23" t="s">
        <v>107</v>
      </c>
      <c r="AA453">
        <v>295</v>
      </c>
      <c r="AB453" t="s">
        <v>1925</v>
      </c>
      <c r="AC453" t="s">
        <v>1875</v>
      </c>
      <c r="AD453" s="2">
        <v>9</v>
      </c>
      <c r="AE453" s="2" t="s">
        <v>70</v>
      </c>
      <c r="AF453" t="str">
        <f>_xlfn.CONCAT(FINI_grouping_for_wheel[[#This Row],[SEFI/Plant]],"/",IF(FINI_grouping_for_wheel[[#This Row],[RESET recipe combination]]&lt;&gt;"",FINI_grouping_for_wheel[[#This Row],[RESET recipe combination]],FINI_grouping_for_wheel[[#This Row],[Recipe Combination]]),"/",FINI_grouping_for_wheel[[#This Row],[Subgroup]])</f>
        <v>4302598/THDP/x/9</v>
      </c>
      <c r="AG4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0.2305436586024617</v>
      </c>
      <c r="AH453">
        <f>_xlfn.LET(_xlpm.pct, FINI_grouping_for_wheel[[#This Row],[% forecast within subgroup]], _xlpm.lote, FINI_grouping_for_wheel[[#This Row],[Lot size considered]], _xlpm.pct*_xlpm.lote)</f>
        <v>1925.9771267942856</v>
      </c>
      <c r="AI453" cm="1">
        <f t="array" aca="1" ref="AI453" ca="1">IFERROR(INDIRECT("FINI_grouping_for_wheel[@["&amp;FINI_grouping_for_wheel[[#This Row],[Selected PV]]&amp;"]]"),"")</f>
        <v>62</v>
      </c>
      <c r="AJ45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5.5</v>
      </c>
      <c r="AL453" s="4"/>
      <c r="AM45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62</v>
      </c>
      <c r="AN45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133</v>
      </c>
      <c r="AO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5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53" t="str">
        <f>_xlfn.CONCAT(FINI_grouping_for_wheel[[#This Row],[Recipe Combination]],FINI_grouping_for_wheel[[#This Row],[Subgroup]])</f>
        <v>S9</v>
      </c>
    </row>
    <row r="454" spans="1:55" hidden="1">
      <c r="A454" t="s">
        <v>10</v>
      </c>
      <c r="B454">
        <v>4302598</v>
      </c>
      <c r="C454" t="s">
        <v>1871</v>
      </c>
      <c r="D454">
        <v>8354.0668109</v>
      </c>
      <c r="E454">
        <v>68</v>
      </c>
      <c r="F454">
        <v>1.36</v>
      </c>
      <c r="G454" t="s">
        <v>1926</v>
      </c>
      <c r="H454" t="s">
        <v>1927</v>
      </c>
      <c r="I454">
        <v>240</v>
      </c>
      <c r="J454" t="s">
        <v>90</v>
      </c>
      <c r="K454" t="s">
        <v>1928</v>
      </c>
      <c r="L454" t="s">
        <v>1929</v>
      </c>
      <c r="M454">
        <v>18504.43515</v>
      </c>
      <c r="N454">
        <v>74.0177406</v>
      </c>
      <c r="O454">
        <v>39413.381355</v>
      </c>
      <c r="P454">
        <v>562253.05917</v>
      </c>
      <c r="Q454">
        <v>0.46949626025051816</v>
      </c>
      <c r="R454">
        <v>3922.2031256</v>
      </c>
      <c r="S454" t="s">
        <v>195</v>
      </c>
      <c r="T454" t="s">
        <v>93</v>
      </c>
      <c r="U454">
        <v>5</v>
      </c>
      <c r="V454" t="s">
        <v>196</v>
      </c>
      <c r="W454" t="s">
        <v>95</v>
      </c>
      <c r="X454" t="s">
        <v>106</v>
      </c>
      <c r="Y454" s="23" t="s">
        <v>107</v>
      </c>
      <c r="AA454">
        <v>113</v>
      </c>
      <c r="AB454" t="s">
        <v>1930</v>
      </c>
      <c r="AC454" t="s">
        <v>1875</v>
      </c>
      <c r="AD454" s="2">
        <v>6</v>
      </c>
      <c r="AE454" s="2" t="s">
        <v>70</v>
      </c>
      <c r="AF454" t="str">
        <f>_xlfn.CONCAT(FINI_grouping_for_wheel[[#This Row],[SEFI/Plant]],"/",IF(FINI_grouping_for_wheel[[#This Row],[RESET recipe combination]]&lt;&gt;"",FINI_grouping_for_wheel[[#This Row],[RESET recipe combination]],FINI_grouping_for_wheel[[#This Row],[Recipe Combination]]),"/",FINI_grouping_for_wheel[[#This Row],[Subgroup]])</f>
        <v>4302598/THDP/x/6</v>
      </c>
      <c r="AG4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0.4154152823920266</v>
      </c>
      <c r="AH454">
        <f>_xlfn.LET(_xlpm.pct, FINI_grouping_for_wheel[[#This Row],[% forecast within subgroup]], _xlpm.lote, FINI_grouping_for_wheel[[#This Row],[Lot size considered]], _xlpm.pct*_xlpm.lote)</f>
        <v>3470.4070233718803</v>
      </c>
      <c r="AI454" cm="1">
        <f t="array" aca="1" ref="AI454" ca="1">IFERROR(INDIRECT("FINI_grouping_for_wheel[@["&amp;FINI_grouping_for_wheel[[#This Row],[Selected PV]]&amp;"]]"),"")</f>
        <v>43</v>
      </c>
      <c r="AJ45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15.5</v>
      </c>
      <c r="AL454" s="4"/>
      <c r="AM45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43</v>
      </c>
      <c r="AN45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92</v>
      </c>
      <c r="AO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5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54" t="str">
        <f>_xlfn.CONCAT(FINI_grouping_for_wheel[[#This Row],[Recipe Combination]],FINI_grouping_for_wheel[[#This Row],[Subgroup]])</f>
        <v>S6</v>
      </c>
    </row>
    <row r="455" spans="1:55" hidden="1">
      <c r="A455" t="s">
        <v>10</v>
      </c>
      <c r="B455">
        <v>4302598</v>
      </c>
      <c r="C455" t="s">
        <v>1871</v>
      </c>
      <c r="D455">
        <v>8354.0668109</v>
      </c>
      <c r="E455">
        <v>68</v>
      </c>
      <c r="F455">
        <v>1.36</v>
      </c>
      <c r="G455" t="s">
        <v>1931</v>
      </c>
      <c r="H455" t="s">
        <v>1932</v>
      </c>
      <c r="J455" t="s">
        <v>90</v>
      </c>
      <c r="K455" t="s">
        <v>401</v>
      </c>
      <c r="L455" t="s">
        <v>402</v>
      </c>
      <c r="M455">
        <v>229966.44282</v>
      </c>
      <c r="N455">
        <v>919.86577128</v>
      </c>
      <c r="O455">
        <v>229966.44282</v>
      </c>
      <c r="P455">
        <v>562253.05917</v>
      </c>
      <c r="Q455">
        <v>1</v>
      </c>
      <c r="R455">
        <v>8354.0668109</v>
      </c>
      <c r="S455" t="s">
        <v>218</v>
      </c>
      <c r="T455" t="s">
        <v>93</v>
      </c>
      <c r="U455">
        <v>12</v>
      </c>
      <c r="V455" t="s">
        <v>238</v>
      </c>
      <c r="W455" t="s">
        <v>142</v>
      </c>
      <c r="X455" t="s">
        <v>96</v>
      </c>
      <c r="Y455" s="23" t="s">
        <v>97</v>
      </c>
      <c r="AA455">
        <v>9</v>
      </c>
      <c r="AB455" t="s">
        <v>1933</v>
      </c>
      <c r="AC455" t="s">
        <v>1875</v>
      </c>
      <c r="AD455" s="2">
        <v>1</v>
      </c>
      <c r="AE455" s="2" t="s">
        <v>70</v>
      </c>
      <c r="AF455" t="str">
        <f>_xlfn.CONCAT(FINI_grouping_for_wheel[[#This Row],[SEFI/Plant]],"/",IF(FINI_grouping_for_wheel[[#This Row],[RESET recipe combination]]&lt;&gt;"",FINI_grouping_for_wheel[[#This Row],[RESET recipe combination]],FINI_grouping_for_wheel[[#This Row],[Recipe Combination]]),"/",FINI_grouping_for_wheel[[#This Row],[Subgroup]])</f>
        <v>4302598/THDP/x/1</v>
      </c>
      <c r="AG4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55">
        <f>_xlfn.LET(_xlpm.pct, FINI_grouping_for_wheel[[#This Row],[% forecast within subgroup]], _xlpm.lote, FINI_grouping_for_wheel[[#This Row],[Lot size considered]], _xlpm.pct*_xlpm.lote)</f>
        <v>8354.0668109</v>
      </c>
      <c r="AI455" cm="1">
        <f t="array" aca="1" ref="AI455" ca="1">IFERROR(INDIRECT("FINI_grouping_for_wheel[@["&amp;FINI_grouping_for_wheel[[#This Row],[Selected PV]]&amp;"]]"),"")</f>
        <v>8</v>
      </c>
      <c r="AJ45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5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455" s="4"/>
      <c r="AM45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v>
      </c>
      <c r="AN45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18</v>
      </c>
      <c r="AO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5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55" t="str">
        <f>_xlfn.CONCAT(FINI_grouping_for_wheel[[#This Row],[Recipe Combination]],FINI_grouping_for_wheel[[#This Row],[Subgroup]])</f>
        <v>U1</v>
      </c>
    </row>
    <row r="456" spans="1:55" hidden="1">
      <c r="A456" t="s">
        <v>10</v>
      </c>
      <c r="B456">
        <v>4302598</v>
      </c>
      <c r="C456" t="s">
        <v>1871</v>
      </c>
      <c r="D456">
        <v>8354.0668109</v>
      </c>
      <c r="E456">
        <v>68</v>
      </c>
      <c r="F456">
        <v>1.36</v>
      </c>
      <c r="G456" t="s">
        <v>1934</v>
      </c>
      <c r="H456" t="s">
        <v>1935</v>
      </c>
      <c r="I456">
        <v>495</v>
      </c>
      <c r="J456" t="s">
        <v>90</v>
      </c>
      <c r="K456" t="s">
        <v>412</v>
      </c>
      <c r="L456" t="s">
        <v>413</v>
      </c>
      <c r="M456">
        <v>71336.195775</v>
      </c>
      <c r="N456">
        <v>285.3447831</v>
      </c>
      <c r="O456">
        <v>175910.524425</v>
      </c>
      <c r="P456">
        <v>562253.05917</v>
      </c>
      <c r="Q456">
        <v>0.4055254568092338</v>
      </c>
      <c r="R456">
        <v>3387.78675971</v>
      </c>
      <c r="S456" t="s">
        <v>387</v>
      </c>
      <c r="T456" t="s">
        <v>93</v>
      </c>
      <c r="U456">
        <v>15</v>
      </c>
      <c r="V456" t="s">
        <v>408</v>
      </c>
      <c r="W456" t="s">
        <v>95</v>
      </c>
      <c r="X456" t="s">
        <v>96</v>
      </c>
      <c r="Y456" s="23" t="s">
        <v>97</v>
      </c>
      <c r="AA456">
        <v>29</v>
      </c>
      <c r="AB456" t="s">
        <v>1936</v>
      </c>
      <c r="AC456" t="s">
        <v>1875</v>
      </c>
      <c r="AD456" s="2">
        <v>2</v>
      </c>
      <c r="AE456" s="2" t="s">
        <v>70</v>
      </c>
      <c r="AF456" t="str">
        <f>_xlfn.CONCAT(FINI_grouping_for_wheel[[#This Row],[SEFI/Plant]],"/",IF(FINI_grouping_for_wheel[[#This Row],[RESET recipe combination]]&lt;&gt;"",FINI_grouping_for_wheel[[#This Row],[RESET recipe combination]],FINI_grouping_for_wheel[[#This Row],[Recipe Combination]]),"/",FINI_grouping_for_wheel[[#This Row],[Subgroup]])</f>
        <v>4302598/THDP/x/2</v>
      </c>
      <c r="AG4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56">
        <f>_xlfn.LET(_xlpm.pct, FINI_grouping_for_wheel[[#This Row],[% forecast within subgroup]], _xlpm.lote, FINI_grouping_for_wheel[[#This Row],[Lot size considered]], _xlpm.pct*_xlpm.lote)</f>
        <v>8354.0668109</v>
      </c>
      <c r="AI456" cm="1">
        <f t="array" aca="1" ref="AI456" ca="1">IFERROR(INDIRECT("FINI_grouping_for_wheel[@["&amp;FINI_grouping_for_wheel[[#This Row],[Selected PV]]&amp;"]]"),"")</f>
        <v>27</v>
      </c>
      <c r="AJ45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18.1</v>
      </c>
      <c r="AL456" s="4"/>
      <c r="AM45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27</v>
      </c>
      <c r="AN45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57</v>
      </c>
      <c r="AO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5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56" t="str">
        <f>_xlfn.CONCAT(FINI_grouping_for_wheel[[#This Row],[Recipe Combination]],FINI_grouping_for_wheel[[#This Row],[Subgroup]])</f>
        <v>X2</v>
      </c>
    </row>
    <row r="457" spans="1:55" hidden="1">
      <c r="A457" t="s">
        <v>10</v>
      </c>
      <c r="B457">
        <v>4302598</v>
      </c>
      <c r="C457" t="s">
        <v>1871</v>
      </c>
      <c r="D457">
        <v>8354.0668109</v>
      </c>
      <c r="E457">
        <v>68</v>
      </c>
      <c r="F457">
        <v>1.36</v>
      </c>
      <c r="G457" t="s">
        <v>1937</v>
      </c>
      <c r="H457" t="s">
        <v>1938</v>
      </c>
      <c r="I457">
        <v>440</v>
      </c>
      <c r="J457" t="s">
        <v>90</v>
      </c>
      <c r="K457" t="s">
        <v>1939</v>
      </c>
      <c r="L457" t="s">
        <v>1940</v>
      </c>
      <c r="M457">
        <v>42963.91245</v>
      </c>
      <c r="N457">
        <v>171.8556498</v>
      </c>
      <c r="O457">
        <v>175910.524425</v>
      </c>
      <c r="P457">
        <v>562253.05917</v>
      </c>
      <c r="Q457">
        <v>0.24423730524615539</v>
      </c>
      <c r="R457">
        <v>2040.37476574</v>
      </c>
      <c r="S457" t="s">
        <v>387</v>
      </c>
      <c r="T457" t="s">
        <v>93</v>
      </c>
      <c r="U457">
        <v>10</v>
      </c>
      <c r="V457" t="s">
        <v>94</v>
      </c>
      <c r="W457" t="s">
        <v>95</v>
      </c>
      <c r="X457" t="s">
        <v>96</v>
      </c>
      <c r="Y457" s="23" t="s">
        <v>97</v>
      </c>
      <c r="AA457">
        <v>49</v>
      </c>
      <c r="AB457" t="s">
        <v>1941</v>
      </c>
      <c r="AC457" t="s">
        <v>1875</v>
      </c>
      <c r="AD457" s="2">
        <v>3</v>
      </c>
      <c r="AE457" s="2" t="s">
        <v>70</v>
      </c>
      <c r="AF457" t="str">
        <f>_xlfn.CONCAT(FINI_grouping_for_wheel[[#This Row],[SEFI/Plant]],"/",IF(FINI_grouping_for_wheel[[#This Row],[RESET recipe combination]]&lt;&gt;"",FINI_grouping_for_wheel[[#This Row],[RESET recipe combination]],FINI_grouping_for_wheel[[#This Row],[Recipe Combination]]),"/",FINI_grouping_for_wheel[[#This Row],[Subgroup]])</f>
        <v>4302598/THDP/x/3</v>
      </c>
      <c r="AG4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0.5327363476218439</v>
      </c>
      <c r="AH457">
        <f>_xlfn.LET(_xlpm.pct, FINI_grouping_for_wheel[[#This Row],[% forecast within subgroup]], _xlpm.lote, FINI_grouping_for_wheel[[#This Row],[Lot size considered]], _xlpm.pct*_xlpm.lote)</f>
        <v>4450.515040627731</v>
      </c>
      <c r="AI457" cm="1">
        <f t="array" aca="1" ref="AI457" ca="1">IFERROR(INDIRECT("FINI_grouping_for_wheel[@["&amp;FINI_grouping_for_wheel[[#This Row],[Selected PV]]&amp;"]]"),"")</f>
        <v>24</v>
      </c>
      <c r="AJ45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10.8</v>
      </c>
      <c r="AL457" s="4"/>
      <c r="AM45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v>
      </c>
      <c r="AN45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51</v>
      </c>
      <c r="AO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5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57" t="str">
        <f>_xlfn.CONCAT(FINI_grouping_for_wheel[[#This Row],[Recipe Combination]],FINI_grouping_for_wheel[[#This Row],[Subgroup]])</f>
        <v>X3</v>
      </c>
    </row>
    <row r="458" spans="1:55" hidden="1">
      <c r="A458" t="s">
        <v>10</v>
      </c>
      <c r="B458">
        <v>4302598</v>
      </c>
      <c r="C458" t="s">
        <v>1871</v>
      </c>
      <c r="D458">
        <v>8354.0668109</v>
      </c>
      <c r="E458">
        <v>68</v>
      </c>
      <c r="F458">
        <v>1.36</v>
      </c>
      <c r="G458" t="s">
        <v>1942</v>
      </c>
      <c r="H458" t="s">
        <v>1943</v>
      </c>
      <c r="I458">
        <v>240</v>
      </c>
      <c r="J458" t="s">
        <v>90</v>
      </c>
      <c r="K458" t="s">
        <v>396</v>
      </c>
      <c r="L458" t="s">
        <v>397</v>
      </c>
      <c r="M458">
        <v>61610.4162</v>
      </c>
      <c r="N458">
        <v>246.4416648</v>
      </c>
      <c r="O458">
        <v>175910.524425</v>
      </c>
      <c r="P458">
        <v>562253.05917</v>
      </c>
      <c r="Q458">
        <v>0.35023723794461081</v>
      </c>
      <c r="R458">
        <v>2925.90528546</v>
      </c>
      <c r="S458" t="s">
        <v>387</v>
      </c>
      <c r="T458" t="s">
        <v>93</v>
      </c>
      <c r="U458">
        <v>10</v>
      </c>
      <c r="V458" t="s">
        <v>238</v>
      </c>
      <c r="W458" t="s">
        <v>142</v>
      </c>
      <c r="X458" t="s">
        <v>96</v>
      </c>
      <c r="Y458" s="23" t="s">
        <v>97</v>
      </c>
      <c r="AA458">
        <v>34</v>
      </c>
      <c r="AB458" t="s">
        <v>1944</v>
      </c>
      <c r="AC458" t="s">
        <v>1875</v>
      </c>
      <c r="AD458" s="2">
        <v>4</v>
      </c>
      <c r="AE458" s="2" t="s">
        <v>70</v>
      </c>
      <c r="AF458" t="str">
        <f>_xlfn.CONCAT(FINI_grouping_for_wheel[[#This Row],[SEFI/Plant]],"/",IF(FINI_grouping_for_wheel[[#This Row],[RESET recipe combination]]&lt;&gt;"",FINI_grouping_for_wheel[[#This Row],[RESET recipe combination]],FINI_grouping_for_wheel[[#This Row],[Recipe Combination]]),"/",FINI_grouping_for_wheel[[#This Row],[Subgroup]])</f>
        <v>4302598/THDP/x/4</v>
      </c>
      <c r="AG4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0.9621002033647624</v>
      </c>
      <c r="AH458">
        <f>_xlfn.LET(_xlpm.pct, FINI_grouping_for_wheel[[#This Row],[% forecast within subgroup]], _xlpm.lote, FINI_grouping_for_wheel[[#This Row],[Lot size considered]], _xlpm.pct*_xlpm.lote)</f>
        <v>8037.4493776897025</v>
      </c>
      <c r="AI458" cm="1">
        <f t="array" aca="1" ref="AI458" ca="1">IFERROR(INDIRECT("FINI_grouping_for_wheel[@["&amp;FINI_grouping_for_wheel[[#This Row],[Selected PV]]&amp;"]]"),"")</f>
        <v>30</v>
      </c>
      <c r="AJ45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8934.931035</v>
      </c>
      <c r="AK4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35.8</v>
      </c>
      <c r="AL458" s="4"/>
      <c r="AM45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30</v>
      </c>
      <c r="AN45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64</v>
      </c>
      <c r="AO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5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58" t="str">
        <f>_xlfn.CONCAT(FINI_grouping_for_wheel[[#This Row],[Recipe Combination]],FINI_grouping_for_wheel[[#This Row],[Subgroup]])</f>
        <v>X4</v>
      </c>
    </row>
    <row r="459" spans="1:55" hidden="1">
      <c r="A459" t="s">
        <v>10</v>
      </c>
      <c r="B459">
        <v>4304587</v>
      </c>
      <c r="C459" t="s">
        <v>1945</v>
      </c>
      <c r="D459">
        <v>8354.93761981</v>
      </c>
      <c r="E459">
        <v>65</v>
      </c>
      <c r="F459">
        <v>1.3</v>
      </c>
      <c r="G459" t="s">
        <v>1946</v>
      </c>
      <c r="H459" t="s">
        <v>1947</v>
      </c>
      <c r="I459">
        <v>300</v>
      </c>
      <c r="J459" t="s">
        <v>90</v>
      </c>
      <c r="K459" t="s">
        <v>1948</v>
      </c>
      <c r="L459" t="s">
        <v>1949</v>
      </c>
      <c r="M459">
        <v>8573.84001</v>
      </c>
      <c r="N459">
        <v>34.29536004</v>
      </c>
      <c r="O459">
        <v>8573.84001</v>
      </c>
      <c r="P459">
        <v>535390.25472</v>
      </c>
      <c r="Q459">
        <v>1</v>
      </c>
      <c r="R459">
        <v>8354.93761981</v>
      </c>
      <c r="S459" t="s">
        <v>104</v>
      </c>
      <c r="T459" t="s">
        <v>93</v>
      </c>
      <c r="U459">
        <v>2.5</v>
      </c>
      <c r="V459" t="s">
        <v>1950</v>
      </c>
      <c r="W459" t="s">
        <v>95</v>
      </c>
      <c r="X459" t="s">
        <v>96</v>
      </c>
      <c r="Y459" s="23" t="s">
        <v>107</v>
      </c>
      <c r="AA459">
        <v>244</v>
      </c>
      <c r="AB459" t="s">
        <v>1951</v>
      </c>
      <c r="AC459" t="s">
        <v>1952</v>
      </c>
      <c r="AD459" s="2">
        <v>4</v>
      </c>
      <c r="AE459" s="2" t="s">
        <v>70</v>
      </c>
      <c r="AF459" t="str">
        <f>_xlfn.CONCAT(FINI_grouping_for_wheel[[#This Row],[SEFI/Plant]],"/",IF(FINI_grouping_for_wheel[[#This Row],[RESET recipe combination]]&lt;&gt;"",FINI_grouping_for_wheel[[#This Row],[RESET recipe combination]],FINI_grouping_for_wheel[[#This Row],[Recipe Combination]]),"/",FINI_grouping_for_wheel[[#This Row],[Subgroup]])</f>
        <v>4304587/THDP/x/4</v>
      </c>
      <c r="AG4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0.31921364658174284</v>
      </c>
      <c r="AH459">
        <f>_xlfn.LET(_xlpm.pct, FINI_grouping_for_wheel[[#This Row],[% forecast within subgroup]], _xlpm.lote, FINI_grouping_for_wheel[[#This Row],[Lot size considered]], _xlpm.pct*_xlpm.lote)</f>
        <v>2667.010104582537</v>
      </c>
      <c r="AI459" cm="1">
        <f t="array" aca="1" ref="AI459" ca="1">IFERROR(INDIRECT("FINI_grouping_for_wheel[@["&amp;FINI_grouping_for_wheel[[#This Row],[Selected PV]]&amp;"]]"),"")</f>
        <v>70</v>
      </c>
      <c r="AJ45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4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9.5</v>
      </c>
      <c r="AL459" s="4"/>
      <c r="AM45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v>
      </c>
      <c r="AN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5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59" s="2" t="str">
        <f>_xlfn.CONCAT(FINI_grouping_for_wheel[[#This Row],[Recipe Combination]],FINI_grouping_for_wheel[[#This Row],[Subgroup]])</f>
        <v>04</v>
      </c>
    </row>
    <row r="460" spans="1:55" hidden="1">
      <c r="A460" t="s">
        <v>10</v>
      </c>
      <c r="B460">
        <v>4304587</v>
      </c>
      <c r="C460" t="s">
        <v>1945</v>
      </c>
      <c r="D460">
        <v>8354.93761981</v>
      </c>
      <c r="E460">
        <v>65</v>
      </c>
      <c r="F460">
        <v>1.3</v>
      </c>
      <c r="G460" t="s">
        <v>1953</v>
      </c>
      <c r="H460" t="s">
        <v>1954</v>
      </c>
      <c r="I460">
        <v>440</v>
      </c>
      <c r="J460" t="s">
        <v>90</v>
      </c>
      <c r="K460" t="s">
        <v>1955</v>
      </c>
      <c r="L460" t="s">
        <v>1956</v>
      </c>
      <c r="M460">
        <v>34546.3479</v>
      </c>
      <c r="N460">
        <v>138.1853916</v>
      </c>
      <c r="O460">
        <v>34546.3479</v>
      </c>
      <c r="P460">
        <v>535390.25472</v>
      </c>
      <c r="Q460">
        <v>1</v>
      </c>
      <c r="R460">
        <v>8354.93761981</v>
      </c>
      <c r="S460" t="s">
        <v>118</v>
      </c>
      <c r="T460" t="s">
        <v>93</v>
      </c>
      <c r="U460">
        <v>10</v>
      </c>
      <c r="V460" t="s">
        <v>94</v>
      </c>
      <c r="W460" t="s">
        <v>95</v>
      </c>
      <c r="X460" t="s">
        <v>96</v>
      </c>
      <c r="Y460" s="23" t="s">
        <v>97</v>
      </c>
      <c r="AA460">
        <v>60</v>
      </c>
      <c r="AB460" t="s">
        <v>1957</v>
      </c>
      <c r="AC460" t="s">
        <v>1952</v>
      </c>
      <c r="AD460" s="2">
        <v>5</v>
      </c>
      <c r="AE460" s="2" t="s">
        <v>70</v>
      </c>
      <c r="AF460" t="str">
        <f>_xlfn.CONCAT(FINI_grouping_for_wheel[[#This Row],[SEFI/Plant]],"/",IF(FINI_grouping_for_wheel[[#This Row],[RESET recipe combination]]&lt;&gt;"",FINI_grouping_for_wheel[[#This Row],[RESET recipe combination]],FINI_grouping_for_wheel[[#This Row],[Recipe Combination]]),"/",FINI_grouping_for_wheel[[#This Row],[Subgroup]])</f>
        <v>4304587/THDP/x/5</v>
      </c>
      <c r="AG4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60">
        <f>_xlfn.LET(_xlpm.pct, FINI_grouping_for_wheel[[#This Row],[% forecast within subgroup]], _xlpm.lote, FINI_grouping_for_wheel[[#This Row],[Lot size considered]], _xlpm.pct*_xlpm.lote)</f>
        <v>8354.93761981</v>
      </c>
      <c r="AI460" cm="1">
        <f t="array" aca="1" ref="AI460" ca="1">IFERROR(INDIRECT("FINI_grouping_for_wheel[@["&amp;FINI_grouping_for_wheel[[#This Row],[Selected PV]]&amp;"]]"),"")</f>
        <v>55</v>
      </c>
      <c r="AJ46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4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20.2</v>
      </c>
      <c r="AL460" s="4"/>
      <c r="AM46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55</v>
      </c>
      <c r="AN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6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60" t="str">
        <f>_xlfn.CONCAT(FINI_grouping_for_wheel[[#This Row],[Recipe Combination]],FINI_grouping_for_wheel[[#This Row],[Subgroup]])</f>
        <v>A5</v>
      </c>
    </row>
    <row r="461" spans="1:55" hidden="1">
      <c r="A461" t="s">
        <v>10</v>
      </c>
      <c r="B461">
        <v>4304587</v>
      </c>
      <c r="C461" t="s">
        <v>1945</v>
      </c>
      <c r="D461">
        <v>8354.93761981</v>
      </c>
      <c r="E461">
        <v>65</v>
      </c>
      <c r="F461">
        <v>1.3</v>
      </c>
      <c r="G461" t="s">
        <v>1958</v>
      </c>
      <c r="H461" t="s">
        <v>1959</v>
      </c>
      <c r="I461">
        <v>495</v>
      </c>
      <c r="J461" t="s">
        <v>90</v>
      </c>
      <c r="K461" t="s">
        <v>406</v>
      </c>
      <c r="L461" t="s">
        <v>407</v>
      </c>
      <c r="M461">
        <v>299587.16025</v>
      </c>
      <c r="N461">
        <v>1198.348641</v>
      </c>
      <c r="O461">
        <v>299587.16025</v>
      </c>
      <c r="P461">
        <v>535390.25472</v>
      </c>
      <c r="Q461">
        <v>1</v>
      </c>
      <c r="R461">
        <v>8354.93761981</v>
      </c>
      <c r="S461" t="s">
        <v>157</v>
      </c>
      <c r="T461" t="s">
        <v>93</v>
      </c>
      <c r="U461">
        <v>15</v>
      </c>
      <c r="V461" t="s">
        <v>408</v>
      </c>
      <c r="W461" t="s">
        <v>142</v>
      </c>
      <c r="X461" t="s">
        <v>96</v>
      </c>
      <c r="Y461" s="23" t="s">
        <v>97</v>
      </c>
      <c r="AA461">
        <v>7</v>
      </c>
      <c r="AB461" t="s">
        <v>1960</v>
      </c>
      <c r="AC461" t="s">
        <v>1952</v>
      </c>
      <c r="AD461" s="2">
        <v>1</v>
      </c>
      <c r="AE461" s="2" t="s">
        <v>70</v>
      </c>
      <c r="AF461" t="str">
        <f>_xlfn.CONCAT(FINI_grouping_for_wheel[[#This Row],[SEFI/Plant]],"/",IF(FINI_grouping_for_wheel[[#This Row],[RESET recipe combination]]&lt;&gt;"",FINI_grouping_for_wheel[[#This Row],[RESET recipe combination]],FINI_grouping_for_wheel[[#This Row],[Recipe Combination]]),"/",FINI_grouping_for_wheel[[#This Row],[Subgroup]])</f>
        <v>4304587/THDP/x/1</v>
      </c>
      <c r="AG4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61">
        <f>_xlfn.LET(_xlpm.pct, FINI_grouping_for_wheel[[#This Row],[% forecast within subgroup]], _xlpm.lote, FINI_grouping_for_wheel[[#This Row],[Lot size considered]], _xlpm.pct*_xlpm.lote)</f>
        <v>8354.93761981</v>
      </c>
      <c r="AI461" cm="1">
        <f t="array" aca="1" ref="AI461" ca="1">IFERROR(INDIRECT("FINI_grouping_for_wheel[@["&amp;FINI_grouping_for_wheel[[#This Row],[Selected PV]]&amp;"]]"),"")</f>
        <v>6</v>
      </c>
      <c r="AJ46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4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v>
      </c>
      <c r="AL461" s="4"/>
      <c r="AM46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v>
      </c>
      <c r="AN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6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61" t="str">
        <f>_xlfn.CONCAT(FINI_grouping_for_wheel[[#This Row],[Recipe Combination]],FINI_grouping_for_wheel[[#This Row],[Subgroup]])</f>
        <v>M1</v>
      </c>
    </row>
    <row r="462" spans="1:55" hidden="1">
      <c r="A462" t="s">
        <v>10</v>
      </c>
      <c r="B462">
        <v>4304587</v>
      </c>
      <c r="C462" t="s">
        <v>1945</v>
      </c>
      <c r="D462">
        <v>8354.93761981</v>
      </c>
      <c r="E462">
        <v>65</v>
      </c>
      <c r="F462">
        <v>1.3</v>
      </c>
      <c r="G462" t="s">
        <v>1961</v>
      </c>
      <c r="H462" t="s">
        <v>1962</v>
      </c>
      <c r="I462">
        <v>300</v>
      </c>
      <c r="J462" t="s">
        <v>90</v>
      </c>
      <c r="K462" t="s">
        <v>1963</v>
      </c>
      <c r="L462" t="s">
        <v>1964</v>
      </c>
      <c r="M462">
        <v>18285.412725</v>
      </c>
      <c r="N462">
        <v>73.1416509</v>
      </c>
      <c r="O462">
        <v>18285.412725</v>
      </c>
      <c r="P462">
        <v>535390.25472</v>
      </c>
      <c r="Q462">
        <v>1</v>
      </c>
      <c r="R462">
        <v>8354.93761981</v>
      </c>
      <c r="S462" t="s">
        <v>173</v>
      </c>
      <c r="T462" t="s">
        <v>93</v>
      </c>
      <c r="U462">
        <v>5</v>
      </c>
      <c r="V462" t="s">
        <v>174</v>
      </c>
      <c r="W462" t="s">
        <v>95</v>
      </c>
      <c r="X462" t="s">
        <v>96</v>
      </c>
      <c r="Y462" s="23" t="s">
        <v>167</v>
      </c>
      <c r="AA462">
        <v>114</v>
      </c>
      <c r="AB462" t="s">
        <v>1965</v>
      </c>
      <c r="AC462" t="s">
        <v>1952</v>
      </c>
      <c r="AD462" s="2">
        <v>4</v>
      </c>
      <c r="AE462" s="2" t="s">
        <v>70</v>
      </c>
      <c r="AF462" t="str">
        <f>_xlfn.CONCAT(FINI_grouping_for_wheel[[#This Row],[SEFI/Plant]],"/",IF(FINI_grouping_for_wheel[[#This Row],[RESET recipe combination]]&lt;&gt;"",FINI_grouping_for_wheel[[#This Row],[RESET recipe combination]],FINI_grouping_for_wheel[[#This Row],[Recipe Combination]]),"/",FINI_grouping_for_wheel[[#This Row],[Subgroup]])</f>
        <v>4304587/THDP/x/4</v>
      </c>
      <c r="AG4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0.6807863534182571</v>
      </c>
      <c r="AH462">
        <f>_xlfn.LET(_xlpm.pct, FINI_grouping_for_wheel[[#This Row],[% forecast within subgroup]], _xlpm.lote, FINI_grouping_for_wheel[[#This Row],[Lot size considered]], _xlpm.pct*_xlpm.lote)</f>
        <v>5687.927515227462</v>
      </c>
      <c r="AI462" cm="1">
        <f t="array" aca="1" ref="AI462" ca="1">IFERROR(INDIRECT("FINI_grouping_for_wheel[@["&amp;FINI_grouping_for_wheel[[#This Row],[Selected PV]]&amp;"]]"),"")</f>
        <v>70</v>
      </c>
      <c r="AJ46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4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20.2</v>
      </c>
      <c r="AL462" s="4"/>
      <c r="AM46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v>
      </c>
      <c r="AN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6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62" t="str">
        <f>_xlfn.CONCAT(FINI_grouping_for_wheel[[#This Row],[Recipe Combination]],FINI_grouping_for_wheel[[#This Row],[Subgroup]])</f>
        <v>P4</v>
      </c>
    </row>
    <row r="463" spans="1:55" hidden="1">
      <c r="A463" t="s">
        <v>10</v>
      </c>
      <c r="B463">
        <v>4304587</v>
      </c>
      <c r="C463" t="s">
        <v>1945</v>
      </c>
      <c r="D463">
        <v>8354.93761981</v>
      </c>
      <c r="E463">
        <v>65</v>
      </c>
      <c r="F463">
        <v>1.3</v>
      </c>
      <c r="G463" t="s">
        <v>1966</v>
      </c>
      <c r="H463" t="s">
        <v>1967</v>
      </c>
      <c r="I463">
        <v>414</v>
      </c>
      <c r="J463" t="s">
        <v>90</v>
      </c>
      <c r="K463" t="s">
        <v>921</v>
      </c>
      <c r="L463" t="s">
        <v>922</v>
      </c>
      <c r="M463">
        <v>2683.912635</v>
      </c>
      <c r="N463">
        <v>10.73565054</v>
      </c>
      <c r="O463">
        <v>2683.912635</v>
      </c>
      <c r="P463">
        <v>535390.25472</v>
      </c>
      <c r="Q463">
        <v>1</v>
      </c>
      <c r="R463">
        <v>8354.93761981</v>
      </c>
      <c r="S463" t="s">
        <v>356</v>
      </c>
      <c r="T463" t="s">
        <v>93</v>
      </c>
      <c r="U463">
        <v>1</v>
      </c>
      <c r="V463" t="s">
        <v>923</v>
      </c>
      <c r="W463" t="s">
        <v>142</v>
      </c>
      <c r="X463" t="s">
        <v>150</v>
      </c>
      <c r="Y463" s="23" t="s">
        <v>151</v>
      </c>
      <c r="AA463" s="30">
        <v>778</v>
      </c>
      <c r="AB463" t="s">
        <v>1968</v>
      </c>
      <c r="AC463" t="s">
        <v>1952</v>
      </c>
      <c r="AD463" s="2">
        <v>3</v>
      </c>
      <c r="AE463" s="2" t="s">
        <v>70</v>
      </c>
      <c r="AF463" t="str">
        <f>_xlfn.CONCAT(FINI_grouping_for_wheel[[#This Row],[SEFI/Plant]],"/",IF(FINI_grouping_for_wheel[[#This Row],[RESET recipe combination]]&lt;&gt;"",FINI_grouping_for_wheel[[#This Row],[RESET recipe combination]],FINI_grouping_for_wheel[[#This Row],[Recipe Combination]]),"/",FINI_grouping_for_wheel[[#This Row],[Subgroup]])</f>
        <v>4304587/THDP/x/3</v>
      </c>
      <c r="AG4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63">
        <f>_xlfn.LET(_xlpm.pct, FINI_grouping_for_wheel[[#This Row],[% forecast within subgroup]], _xlpm.lote, FINI_grouping_for_wheel[[#This Row],[Lot size considered]], _xlpm.pct*_xlpm.lote)</f>
        <v>8354.93761981</v>
      </c>
      <c r="AI463" cm="1">
        <f t="array" aca="1" ref="AI463" ca="1">IFERROR(INDIRECT("FINI_grouping_for_wheel[@["&amp;FINI_grouping_for_wheel[[#This Row],[Selected PV]]&amp;"]]"),"")</f>
        <v>704</v>
      </c>
      <c r="AJ46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4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21.5</v>
      </c>
      <c r="AL463" s="4"/>
      <c r="AM46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704</v>
      </c>
      <c r="AN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6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63" t="str">
        <f>_xlfn.CONCAT(FINI_grouping_for_wheel[[#This Row],[Recipe Combination]],FINI_grouping_for_wheel[[#This Row],[Subgroup]])</f>
        <v>R3</v>
      </c>
    </row>
    <row r="464" spans="1:55" hidden="1">
      <c r="A464" t="s">
        <v>10</v>
      </c>
      <c r="B464">
        <v>4304587</v>
      </c>
      <c r="C464" t="s">
        <v>1945</v>
      </c>
      <c r="D464">
        <v>8354.93761981</v>
      </c>
      <c r="E464">
        <v>65</v>
      </c>
      <c r="F464">
        <v>1.3</v>
      </c>
      <c r="G464" t="s">
        <v>1969</v>
      </c>
      <c r="H464" t="s">
        <v>1970</v>
      </c>
      <c r="I464">
        <v>440</v>
      </c>
      <c r="J464" t="s">
        <v>90</v>
      </c>
      <c r="K464" t="s">
        <v>1971</v>
      </c>
      <c r="L464" t="s">
        <v>1972</v>
      </c>
      <c r="M464">
        <v>171713.5812</v>
      </c>
      <c r="N464">
        <v>686.8543248</v>
      </c>
      <c r="O464">
        <v>171713.5812</v>
      </c>
      <c r="P464">
        <v>535390.25472</v>
      </c>
      <c r="Q464">
        <v>1</v>
      </c>
      <c r="R464">
        <v>8354.93761981</v>
      </c>
      <c r="S464" t="s">
        <v>218</v>
      </c>
      <c r="T464" t="s">
        <v>93</v>
      </c>
      <c r="U464">
        <v>10</v>
      </c>
      <c r="V464" t="s">
        <v>94</v>
      </c>
      <c r="W464" t="s">
        <v>95</v>
      </c>
      <c r="X464" t="s">
        <v>96</v>
      </c>
      <c r="Y464" s="23" t="s">
        <v>97</v>
      </c>
      <c r="AA464">
        <v>12</v>
      </c>
      <c r="AB464" t="s">
        <v>1973</v>
      </c>
      <c r="AC464" t="s">
        <v>1952</v>
      </c>
      <c r="AD464" s="2">
        <v>2</v>
      </c>
      <c r="AE464" s="2" t="s">
        <v>70</v>
      </c>
      <c r="AF464" t="str">
        <f>_xlfn.CONCAT(FINI_grouping_for_wheel[[#This Row],[SEFI/Plant]],"/",IF(FINI_grouping_for_wheel[[#This Row],[RESET recipe combination]]&lt;&gt;"",FINI_grouping_for_wheel[[#This Row],[RESET recipe combination]],FINI_grouping_for_wheel[[#This Row],[Recipe Combination]]),"/",FINI_grouping_for_wheel[[#This Row],[Subgroup]])</f>
        <v>4304587/THDP/x/2</v>
      </c>
      <c r="AG4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64">
        <f>_xlfn.LET(_xlpm.pct, FINI_grouping_for_wheel[[#This Row],[% forecast within subgroup]], _xlpm.lote, FINI_grouping_for_wheel[[#This Row],[Lot size considered]], _xlpm.pct*_xlpm.lote)</f>
        <v>8354.93761981</v>
      </c>
      <c r="AI464" cm="1">
        <f t="array" aca="1" ref="AI464" ca="1">IFERROR(INDIRECT("FINI_grouping_for_wheel[@["&amp;FINI_grouping_for_wheel[[#This Row],[Selected PV]]&amp;"]]"),"")</f>
        <v>11</v>
      </c>
      <c r="AJ46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8897.046075</v>
      </c>
      <c r="AK4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20.2</v>
      </c>
      <c r="AL464" s="4"/>
      <c r="AM46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6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64" t="str">
        <f>_xlfn.CONCAT(FINI_grouping_for_wheel[[#This Row],[Recipe Combination]],FINI_grouping_for_wheel[[#This Row],[Subgroup]])</f>
        <v>U2</v>
      </c>
    </row>
    <row r="465" spans="1:55" hidden="1">
      <c r="A465" t="s">
        <v>10</v>
      </c>
      <c r="B465">
        <v>4107918</v>
      </c>
      <c r="C465" t="s">
        <v>1974</v>
      </c>
      <c r="D465">
        <v>7836.02939018</v>
      </c>
      <c r="E465">
        <v>65</v>
      </c>
      <c r="F465">
        <v>1.3</v>
      </c>
      <c r="G465" t="s">
        <v>1975</v>
      </c>
      <c r="H465" t="s">
        <v>1976</v>
      </c>
      <c r="I465">
        <v>495</v>
      </c>
      <c r="J465" t="s">
        <v>90</v>
      </c>
      <c r="K465" t="s">
        <v>406</v>
      </c>
      <c r="L465" t="s">
        <v>407</v>
      </c>
      <c r="M465">
        <v>509209.37955</v>
      </c>
      <c r="N465">
        <v>2036.8375182</v>
      </c>
      <c r="O465">
        <v>509209.37955</v>
      </c>
      <c r="P465">
        <v>509209.37955</v>
      </c>
      <c r="Q465">
        <v>1</v>
      </c>
      <c r="R465">
        <v>7836.02939018</v>
      </c>
      <c r="S465" t="s">
        <v>387</v>
      </c>
      <c r="T465" t="s">
        <v>93</v>
      </c>
      <c r="U465">
        <v>15</v>
      </c>
      <c r="V465" t="s">
        <v>408</v>
      </c>
      <c r="W465" t="s">
        <v>142</v>
      </c>
      <c r="X465" t="s">
        <v>96</v>
      </c>
      <c r="Y465" s="23" t="s">
        <v>97</v>
      </c>
      <c r="AA465">
        <v>4</v>
      </c>
      <c r="AB465" t="s">
        <v>1977</v>
      </c>
      <c r="AC465" t="s">
        <v>1978</v>
      </c>
      <c r="AD465" s="2">
        <v>1</v>
      </c>
      <c r="AE465" s="2" t="s">
        <v>70</v>
      </c>
      <c r="AF465" t="str">
        <f>_xlfn.CONCAT(FINI_grouping_for_wheel[[#This Row],[SEFI/Plant]],"/",IF(FINI_grouping_for_wheel[[#This Row],[RESET recipe combination]]&lt;&gt;"",FINI_grouping_for_wheel[[#This Row],[RESET recipe combination]],FINI_grouping_for_wheel[[#This Row],[Recipe Combination]]),"/",FINI_grouping_for_wheel[[#This Row],[Subgroup]])</f>
        <v>4107918/THDP/x/1</v>
      </c>
      <c r="AG4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65">
        <f>_xlfn.LET(_xlpm.pct, FINI_grouping_for_wheel[[#This Row],[% forecast within subgroup]], _xlpm.lote, FINI_grouping_for_wheel[[#This Row],[Lot size considered]], _xlpm.pct*_xlpm.lote)</f>
        <v>7836.02939018</v>
      </c>
      <c r="AI465" cm="1">
        <f t="array" aca="1" ref="AI465" ca="1">IFERROR(INDIRECT("FINI_grouping_for_wheel[@["&amp;FINI_grouping_for_wheel[[#This Row],[Selected PV]]&amp;"]]"),"")</f>
        <v>4</v>
      </c>
      <c r="AJ46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4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v>
      </c>
      <c r="AL465" s="4"/>
      <c r="AM46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v>
      </c>
      <c r="AN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6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65" t="str">
        <f>_xlfn.CONCAT(FINI_grouping_for_wheel[[#This Row],[Recipe Combination]],FINI_grouping_for_wheel[[#This Row],[Subgroup]])</f>
        <v>X1</v>
      </c>
    </row>
    <row r="466" spans="1:55" hidden="1">
      <c r="A466" t="s">
        <v>10</v>
      </c>
      <c r="B466">
        <v>4311205</v>
      </c>
      <c r="C466" t="s">
        <v>1979</v>
      </c>
      <c r="D466">
        <v>8581.13576668</v>
      </c>
      <c r="E466">
        <v>58</v>
      </c>
      <c r="F466">
        <v>1.1599999999999999</v>
      </c>
      <c r="G466" t="s">
        <v>1980</v>
      </c>
      <c r="H466" t="s">
        <v>1981</v>
      </c>
      <c r="I466">
        <v>300</v>
      </c>
      <c r="J466" t="s">
        <v>90</v>
      </c>
      <c r="K466" t="s">
        <v>1982</v>
      </c>
      <c r="L466" t="s">
        <v>1983</v>
      </c>
      <c r="M466">
        <v>219.022425</v>
      </c>
      <c r="N466">
        <v>0.8760897</v>
      </c>
      <c r="O466">
        <v>219.022425</v>
      </c>
      <c r="P466">
        <v>496903.87098</v>
      </c>
      <c r="Q466">
        <v>1</v>
      </c>
      <c r="R466">
        <v>8581.13576668</v>
      </c>
      <c r="S466" t="s">
        <v>104</v>
      </c>
      <c r="T466" t="s">
        <v>93</v>
      </c>
      <c r="U466">
        <v>5</v>
      </c>
      <c r="V466" t="s">
        <v>174</v>
      </c>
      <c r="W466" t="s">
        <v>95</v>
      </c>
      <c r="X466" t="s">
        <v>96</v>
      </c>
      <c r="Y466" s="23" t="s">
        <v>167</v>
      </c>
      <c r="AA466">
        <v>9795</v>
      </c>
      <c r="AB466" t="s">
        <v>1984</v>
      </c>
      <c r="AC466" t="s">
        <v>1985</v>
      </c>
      <c r="AD466" s="2">
        <v>3</v>
      </c>
      <c r="AE466" s="2" t="s">
        <v>70</v>
      </c>
      <c r="AF466" t="str">
        <f>_xlfn.CONCAT(FINI_grouping_for_wheel[[#This Row],[SEFI/Plant]],"/",IF(FINI_grouping_for_wheel[[#This Row],[RESET recipe combination]]&lt;&gt;"",FINI_grouping_for_wheel[[#This Row],[RESET recipe combination]],FINI_grouping_for_wheel[[#This Row],[Recipe Combination]]),"/",FINI_grouping_for_wheel[[#This Row],[Subgroup]])</f>
        <v>4311205/THDP/x/3</v>
      </c>
      <c r="AG4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0.003364064517302202</v>
      </c>
      <c r="AH466">
        <f>_xlfn.LET(_xlpm.pct, FINI_grouping_for_wheel[[#This Row],[% forecast within subgroup]], _xlpm.lote, FINI_grouping_for_wheel[[#This Row],[Lot size considered]], _xlpm.pct*_xlpm.lote)</f>
        <v>28.867494350841014</v>
      </c>
      <c r="AI466" cm="1">
        <f t="array" aca="1" ref="AI466" ca="1">IFERROR(INDIRECT("FINI_grouping_for_wheel[@["&amp;FINI_grouping_for_wheel[[#This Row],[Selected PV]]&amp;"]]"),"")</f>
        <v>30</v>
      </c>
      <c r="AJ46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466" s="4"/>
      <c r="AM46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30</v>
      </c>
      <c r="AN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6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66" t="str">
        <f>_xlfn.CONCAT(FINI_grouping_for_wheel[[#This Row],[Recipe Combination]],FINI_grouping_for_wheel[[#This Row],[Subgroup]])</f>
        <v>03</v>
      </c>
    </row>
    <row r="467" spans="1:55" hidden="1">
      <c r="A467" t="s">
        <v>10</v>
      </c>
      <c r="B467">
        <v>4311205</v>
      </c>
      <c r="C467" t="s">
        <v>1979</v>
      </c>
      <c r="D467">
        <v>8581.13576668</v>
      </c>
      <c r="E467">
        <v>58</v>
      </c>
      <c r="F467">
        <v>1.1599999999999999</v>
      </c>
      <c r="G467" t="s">
        <v>1986</v>
      </c>
      <c r="H467" t="s">
        <v>1987</v>
      </c>
      <c r="I467">
        <v>525</v>
      </c>
      <c r="J467" t="s">
        <v>90</v>
      </c>
      <c r="K467" t="s">
        <v>264</v>
      </c>
      <c r="L467" t="s">
        <v>265</v>
      </c>
      <c r="M467">
        <v>7649.210205</v>
      </c>
      <c r="N467">
        <v>30.59684082</v>
      </c>
      <c r="O467">
        <v>20540.75175</v>
      </c>
      <c r="P467">
        <v>496903.87098</v>
      </c>
      <c r="Q467">
        <v>0.37239193083573485</v>
      </c>
      <c r="R467">
        <v>3195.54571692</v>
      </c>
      <c r="S467" t="s">
        <v>266</v>
      </c>
      <c r="T467" t="s">
        <v>93</v>
      </c>
      <c r="U467">
        <v>2.5</v>
      </c>
      <c r="V467" t="s">
        <v>267</v>
      </c>
      <c r="W467" t="s">
        <v>142</v>
      </c>
      <c r="X467" t="s">
        <v>150</v>
      </c>
      <c r="Y467" s="23" t="s">
        <v>151</v>
      </c>
      <c r="AA467">
        <v>280</v>
      </c>
      <c r="AB467" t="s">
        <v>1988</v>
      </c>
      <c r="AC467" t="s">
        <v>1985</v>
      </c>
      <c r="AD467" s="2">
        <v>1</v>
      </c>
      <c r="AE467" s="2" t="s">
        <v>70</v>
      </c>
      <c r="AF467" t="str">
        <f>_xlfn.CONCAT(FINI_grouping_for_wheel[[#This Row],[SEFI/Plant]],"/",IF(FINI_grouping_for_wheel[[#This Row],[RESET recipe combination]]&lt;&gt;"",FINI_grouping_for_wheel[[#This Row],[RESET recipe combination]],FINI_grouping_for_wheel[[#This Row],[Recipe Combination]]),"/",FINI_grouping_for_wheel[[#This Row],[Subgroup]])</f>
        <v>4311205/THDP/x/1</v>
      </c>
      <c r="AG4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0.3723919308357349</v>
      </c>
      <c r="AH467">
        <f>_xlfn.LET(_xlpm.pct, FINI_grouping_for_wheel[[#This Row],[% forecast within subgroup]], _xlpm.lote, FINI_grouping_for_wheel[[#This Row],[Lot size considered]], _xlpm.pct*_xlpm.lote)</f>
        <v>3195.5457169175493</v>
      </c>
      <c r="AI467" cm="1">
        <f t="array" aca="1" ref="AI467" ca="1">IFERROR(INDIRECT("FINI_grouping_for_wheel[@["&amp;FINI_grouping_for_wheel[[#This Row],[Selected PV]]&amp;"]]"),"")</f>
        <v>94</v>
      </c>
      <c r="AJ46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6.4</v>
      </c>
      <c r="AL467" s="4"/>
      <c r="AM46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94</v>
      </c>
      <c r="AN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6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67" t="str">
        <f>_xlfn.CONCAT(FINI_grouping_for_wheel[[#This Row],[Recipe Combination]],FINI_grouping_for_wheel[[#This Row],[Subgroup]])</f>
        <v>11</v>
      </c>
    </row>
    <row r="468" spans="1:55" hidden="1">
      <c r="A468" t="s">
        <v>10</v>
      </c>
      <c r="B468">
        <v>4311205</v>
      </c>
      <c r="C468" t="s">
        <v>1979</v>
      </c>
      <c r="D468">
        <v>8581.13576668</v>
      </c>
      <c r="E468">
        <v>58</v>
      </c>
      <c r="F468">
        <v>1.1599999999999999</v>
      </c>
      <c r="G468" t="s">
        <v>1989</v>
      </c>
      <c r="H468" t="s">
        <v>1990</v>
      </c>
      <c r="I468">
        <v>487.5</v>
      </c>
      <c r="J468" t="s">
        <v>90</v>
      </c>
      <c r="K468" t="s">
        <v>264</v>
      </c>
      <c r="L468" t="s">
        <v>265</v>
      </c>
      <c r="M468">
        <v>9146.85003</v>
      </c>
      <c r="N468">
        <v>36.58740012</v>
      </c>
      <c r="O468">
        <v>20540.75175</v>
      </c>
      <c r="P468">
        <v>496903.87098</v>
      </c>
      <c r="Q468">
        <v>0.44530259365994235</v>
      </c>
      <c r="R468">
        <v>3821.20201345</v>
      </c>
      <c r="S468" t="s">
        <v>266</v>
      </c>
      <c r="T468" t="s">
        <v>93</v>
      </c>
      <c r="U468">
        <v>2.5</v>
      </c>
      <c r="V468" t="s">
        <v>267</v>
      </c>
      <c r="W468" t="s">
        <v>142</v>
      </c>
      <c r="X468" t="s">
        <v>150</v>
      </c>
      <c r="Y468" s="23" t="s">
        <v>151</v>
      </c>
      <c r="AA468">
        <v>235</v>
      </c>
      <c r="AB468" t="s">
        <v>1991</v>
      </c>
      <c r="AC468" t="s">
        <v>1985</v>
      </c>
      <c r="AD468" s="2">
        <v>1</v>
      </c>
      <c r="AE468" s="2" t="s">
        <v>70</v>
      </c>
      <c r="AF468" t="str">
        <f>_xlfn.CONCAT(FINI_grouping_for_wheel[[#This Row],[SEFI/Plant]],"/",IF(FINI_grouping_for_wheel[[#This Row],[RESET recipe combination]]&lt;&gt;"",FINI_grouping_for_wheel[[#This Row],[RESET recipe combination]],FINI_grouping_for_wheel[[#This Row],[Recipe Combination]]),"/",FINI_grouping_for_wheel[[#This Row],[Subgroup]])</f>
        <v>4311205/THDP/x/1</v>
      </c>
      <c r="AG4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0.44530259365994235</v>
      </c>
      <c r="AH468">
        <f>_xlfn.LET(_xlpm.pct, FINI_grouping_for_wheel[[#This Row],[% forecast within subgroup]], _xlpm.lote, FINI_grouping_for_wheel[[#This Row],[Lot size considered]], _xlpm.pct*_xlpm.lote)</f>
        <v>3821.2020134507015</v>
      </c>
      <c r="AI468" cm="1">
        <f t="array" aca="1" ref="AI468" ca="1">IFERROR(INDIRECT("FINI_grouping_for_wheel[@["&amp;FINI_grouping_for_wheel[[#This Row],[Selected PV]]&amp;"]]"),"")</f>
        <v>94</v>
      </c>
      <c r="AJ46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8.3</v>
      </c>
      <c r="AL468" s="4"/>
      <c r="AM46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94</v>
      </c>
      <c r="AN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6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68" t="str">
        <f>_xlfn.CONCAT(FINI_grouping_for_wheel[[#This Row],[Recipe Combination]],FINI_grouping_for_wheel[[#This Row],[Subgroup]])</f>
        <v>11</v>
      </c>
    </row>
    <row r="469" spans="1:55" hidden="1">
      <c r="A469" t="s">
        <v>10</v>
      </c>
      <c r="B469">
        <v>4311205</v>
      </c>
      <c r="C469" t="s">
        <v>1979</v>
      </c>
      <c r="D469">
        <v>8581.13576668</v>
      </c>
      <c r="E469">
        <v>58</v>
      </c>
      <c r="F469">
        <v>1.1599999999999999</v>
      </c>
      <c r="G469" t="s">
        <v>1992</v>
      </c>
      <c r="H469" t="s">
        <v>1993</v>
      </c>
      <c r="I469">
        <v>487.5</v>
      </c>
      <c r="J469" t="s">
        <v>90</v>
      </c>
      <c r="K469" t="s">
        <v>264</v>
      </c>
      <c r="L469" t="s">
        <v>265</v>
      </c>
      <c r="M469">
        <v>3744.691515</v>
      </c>
      <c r="N469">
        <v>14.97876606</v>
      </c>
      <c r="O469">
        <v>20540.75175</v>
      </c>
      <c r="P469">
        <v>496903.87098</v>
      </c>
      <c r="Q469">
        <v>0.18230547550432277</v>
      </c>
      <c r="R469">
        <v>1564.38803631</v>
      </c>
      <c r="S469" t="s">
        <v>266</v>
      </c>
      <c r="T469" t="s">
        <v>93</v>
      </c>
      <c r="U469">
        <v>2.5</v>
      </c>
      <c r="V469" t="s">
        <v>267</v>
      </c>
      <c r="W469" t="s">
        <v>142</v>
      </c>
      <c r="X469" t="s">
        <v>150</v>
      </c>
      <c r="Y469" s="23" t="s">
        <v>151</v>
      </c>
      <c r="AA469">
        <v>573</v>
      </c>
      <c r="AB469" t="s">
        <v>1994</v>
      </c>
      <c r="AC469" t="s">
        <v>1985</v>
      </c>
      <c r="AD469" s="2">
        <v>1</v>
      </c>
      <c r="AE469" s="2" t="s">
        <v>70</v>
      </c>
      <c r="AF469" t="str">
        <f>_xlfn.CONCAT(FINI_grouping_for_wheel[[#This Row],[SEFI/Plant]],"/",IF(FINI_grouping_for_wheel[[#This Row],[RESET recipe combination]]&lt;&gt;"",FINI_grouping_for_wheel[[#This Row],[RESET recipe combination]],FINI_grouping_for_wheel[[#This Row],[Recipe Combination]]),"/",FINI_grouping_for_wheel[[#This Row],[Subgroup]])</f>
        <v>4311205/THDP/x/1</v>
      </c>
      <c r="AG4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0.18230547550432277</v>
      </c>
      <c r="AH469">
        <f>_xlfn.LET(_xlpm.pct, FINI_grouping_for_wheel[[#This Row],[% forecast within subgroup]], _xlpm.lote, FINI_grouping_for_wheel[[#This Row],[Lot size considered]], _xlpm.pct*_xlpm.lote)</f>
        <v>1564.3880363117487</v>
      </c>
      <c r="AI469" cm="1">
        <f t="array" aca="1" ref="AI469" ca="1">IFERROR(INDIRECT("FINI_grouping_for_wheel[@["&amp;FINI_grouping_for_wheel[[#This Row],[Selected PV]]&amp;"]]"),"")</f>
        <v>94</v>
      </c>
      <c r="AJ46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3.4</v>
      </c>
      <c r="AL469" s="4"/>
      <c r="AM46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94</v>
      </c>
      <c r="AN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6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69" t="str">
        <f>_xlfn.CONCAT(FINI_grouping_for_wheel[[#This Row],[Recipe Combination]],FINI_grouping_for_wheel[[#This Row],[Subgroup]])</f>
        <v>11</v>
      </c>
    </row>
    <row r="470" spans="1:55" hidden="1">
      <c r="A470" t="s">
        <v>10</v>
      </c>
      <c r="B470">
        <v>4311205</v>
      </c>
      <c r="C470" t="s">
        <v>1979</v>
      </c>
      <c r="D470">
        <v>8581.13576668</v>
      </c>
      <c r="E470">
        <v>58</v>
      </c>
      <c r="F470">
        <v>1.1599999999999999</v>
      </c>
      <c r="G470" t="s">
        <v>1995</v>
      </c>
      <c r="H470" t="s">
        <v>1996</v>
      </c>
      <c r="I470">
        <v>340</v>
      </c>
      <c r="J470" t="s">
        <v>90</v>
      </c>
      <c r="K470" t="s">
        <v>140</v>
      </c>
      <c r="L470" t="s">
        <v>141</v>
      </c>
      <c r="M470">
        <v>23488.6752</v>
      </c>
      <c r="N470">
        <v>93.9547008</v>
      </c>
      <c r="O470">
        <v>27654.836895</v>
      </c>
      <c r="P470">
        <v>496903.87098</v>
      </c>
      <c r="Q470">
        <v>0.84935142771522754</v>
      </c>
      <c r="R470">
        <v>7288.39991485</v>
      </c>
      <c r="S470" t="s">
        <v>118</v>
      </c>
      <c r="T470" t="s">
        <v>93</v>
      </c>
      <c r="U470">
        <v>5</v>
      </c>
      <c r="V470" t="s">
        <v>135</v>
      </c>
      <c r="W470" t="s">
        <v>142</v>
      </c>
      <c r="X470" t="s">
        <v>128</v>
      </c>
      <c r="Y470" s="23" t="s">
        <v>136</v>
      </c>
      <c r="AA470">
        <v>91</v>
      </c>
      <c r="AB470" t="s">
        <v>1997</v>
      </c>
      <c r="AC470" t="s">
        <v>1985</v>
      </c>
      <c r="AD470" s="2">
        <v>4</v>
      </c>
      <c r="AE470" s="2" t="s">
        <v>70</v>
      </c>
      <c r="AF470" t="str">
        <f>_xlfn.CONCAT(FINI_grouping_for_wheel[[#This Row],[SEFI/Plant]],"/",IF(FINI_grouping_for_wheel[[#This Row],[RESET recipe combination]]&lt;&gt;"",FINI_grouping_for_wheel[[#This Row],[RESET recipe combination]],FINI_grouping_for_wheel[[#This Row],[Recipe Combination]]),"/",FINI_grouping_for_wheel[[#This Row],[Subgroup]])</f>
        <v>4311205/THDP/x/4</v>
      </c>
      <c r="AG4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0.9770992366412214</v>
      </c>
      <c r="AH470">
        <f>_xlfn.LET(_xlpm.pct, FINI_grouping_for_wheel[[#This Row],[% forecast within subgroup]], _xlpm.lote, FINI_grouping_for_wheel[[#This Row],[Lot size considered]], _xlpm.pct*_xlpm.lote)</f>
        <v>8384.62120713771</v>
      </c>
      <c r="AI470" cm="1">
        <f t="array" aca="1" ref="AI470" ca="1">IFERROR(INDIRECT("FINI_grouping_for_wheel[@["&amp;FINI_grouping_for_wheel[[#This Row],[Selected PV]]&amp;"]]"),"")</f>
        <v>80</v>
      </c>
      <c r="AJ47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v>
      </c>
      <c r="AL470" s="4"/>
      <c r="AM47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80</v>
      </c>
      <c r="AN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7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70" t="str">
        <f>_xlfn.CONCAT(FINI_grouping_for_wheel[[#This Row],[Recipe Combination]],FINI_grouping_for_wheel[[#This Row],[Subgroup]])</f>
        <v>A4</v>
      </c>
    </row>
    <row r="471" spans="1:55" hidden="1">
      <c r="A471" t="s">
        <v>10</v>
      </c>
      <c r="B471">
        <v>4311205</v>
      </c>
      <c r="C471" t="s">
        <v>1979</v>
      </c>
      <c r="D471">
        <v>8581.13576668</v>
      </c>
      <c r="E471">
        <v>58</v>
      </c>
      <c r="F471">
        <v>1.1599999999999999</v>
      </c>
      <c r="G471" t="s">
        <v>1998</v>
      </c>
      <c r="H471" t="s">
        <v>1999</v>
      </c>
      <c r="I471">
        <v>330.12</v>
      </c>
      <c r="J471" t="s">
        <v>90</v>
      </c>
      <c r="K471" t="s">
        <v>299</v>
      </c>
      <c r="L471" t="s">
        <v>300</v>
      </c>
      <c r="M471">
        <v>4166.161695</v>
      </c>
      <c r="N471">
        <v>16.66464678</v>
      </c>
      <c r="O471">
        <v>27654.836895</v>
      </c>
      <c r="P471">
        <v>496903.87098</v>
      </c>
      <c r="Q471">
        <v>0.15064857228477246</v>
      </c>
      <c r="R471">
        <v>1292.73585183</v>
      </c>
      <c r="S471" t="s">
        <v>118</v>
      </c>
      <c r="T471" t="s">
        <v>93</v>
      </c>
      <c r="U471">
        <v>13.755000000000001</v>
      </c>
      <c r="V471" t="s">
        <v>301</v>
      </c>
      <c r="W471" t="s">
        <v>142</v>
      </c>
      <c r="X471" t="s">
        <v>128</v>
      </c>
      <c r="Y471" s="23" t="s">
        <v>129</v>
      </c>
      <c r="AA471">
        <v>515</v>
      </c>
      <c r="AB471" t="s">
        <v>2000</v>
      </c>
      <c r="AC471" t="s">
        <v>1985</v>
      </c>
      <c r="AD471" s="2">
        <v>9</v>
      </c>
      <c r="AE471" s="2" t="s">
        <v>70</v>
      </c>
      <c r="AF471" t="str">
        <f>_xlfn.CONCAT(FINI_grouping_for_wheel[[#This Row],[SEFI/Plant]],"/",IF(FINI_grouping_for_wheel[[#This Row],[RESET recipe combination]]&lt;&gt;"",FINI_grouping_for_wheel[[#This Row],[RESET recipe combination]],FINI_grouping_for_wheel[[#This Row],[Recipe Combination]]),"/",FINI_grouping_for_wheel[[#This Row],[Subgroup]])</f>
        <v>4311205/THDP/x/9</v>
      </c>
      <c r="AG4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0.3837513631406761</v>
      </c>
      <c r="AH471">
        <f>_xlfn.LET(_xlpm.pct, FINI_grouping_for_wheel[[#This Row],[% forecast within subgroup]], _xlpm.lote, FINI_grouping_for_wheel[[#This Row],[Lot size considered]], _xlpm.pct*_xlpm.lote)</f>
        <v>3293.0225477586605</v>
      </c>
      <c r="AI471" cm="1">
        <f t="array" aca="1" ref="AI471" ca="1">IFERROR(INDIRECT("FINI_grouping_for_wheel[@["&amp;FINI_grouping_for_wheel[[#This Row],[Selected PV]]&amp;"]]"),"")</f>
        <v>177</v>
      </c>
      <c r="AJ47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10.5</v>
      </c>
      <c r="AL471" s="4"/>
      <c r="AM47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177</v>
      </c>
      <c r="AN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7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71" t="str">
        <f>_xlfn.CONCAT(FINI_grouping_for_wheel[[#This Row],[Recipe Combination]],FINI_grouping_for_wheel[[#This Row],[Subgroup]])</f>
        <v>A9</v>
      </c>
    </row>
    <row r="472" spans="1:55" hidden="1">
      <c r="A472" t="s">
        <v>10</v>
      </c>
      <c r="B472">
        <v>4311205</v>
      </c>
      <c r="C472" t="s">
        <v>1979</v>
      </c>
      <c r="D472">
        <v>8581.13576668</v>
      </c>
      <c r="E472">
        <v>58</v>
      </c>
      <c r="F472">
        <v>1.1599999999999999</v>
      </c>
      <c r="G472" t="s">
        <v>2001</v>
      </c>
      <c r="H472" t="s">
        <v>2002</v>
      </c>
      <c r="I472">
        <v>300</v>
      </c>
      <c r="J472" t="s">
        <v>90</v>
      </c>
      <c r="K472" t="s">
        <v>292</v>
      </c>
      <c r="L472" t="s">
        <v>293</v>
      </c>
      <c r="M472">
        <v>93256.19685</v>
      </c>
      <c r="N472">
        <v>373.0247874</v>
      </c>
      <c r="O472">
        <v>99946.444005</v>
      </c>
      <c r="P472">
        <v>496903.87098</v>
      </c>
      <c r="Q472">
        <v>0.93306167896613401</v>
      </c>
      <c r="R472">
        <v>8006.72894589</v>
      </c>
      <c r="S472" t="s">
        <v>294</v>
      </c>
      <c r="T472" t="s">
        <v>93</v>
      </c>
      <c r="U472">
        <v>12.5</v>
      </c>
      <c r="V472" t="s">
        <v>295</v>
      </c>
      <c r="W472" t="s">
        <v>142</v>
      </c>
      <c r="X472" t="s">
        <v>128</v>
      </c>
      <c r="Y472" s="23" t="s">
        <v>120</v>
      </c>
      <c r="AA472">
        <v>23</v>
      </c>
      <c r="AB472" t="s">
        <v>2003</v>
      </c>
      <c r="AC472" t="s">
        <v>1985</v>
      </c>
      <c r="AD472" s="2">
        <v>8</v>
      </c>
      <c r="AE472" s="2" t="s">
        <v>70</v>
      </c>
      <c r="AF472" t="str">
        <f>_xlfn.CONCAT(FINI_grouping_for_wheel[[#This Row],[SEFI/Plant]],"/",IF(FINI_grouping_for_wheel[[#This Row],[RESET recipe combination]]&lt;&gt;"",FINI_grouping_for_wheel[[#This Row],[RESET recipe combination]],FINI_grouping_for_wheel[[#This Row],[Recipe Combination]]),"/",FINI_grouping_for_wheel[[#This Row],[Subgroup]])</f>
        <v>4311205/THDP/x/8</v>
      </c>
      <c r="AG4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72">
        <f>_xlfn.LET(_xlpm.pct, FINI_grouping_for_wheel[[#This Row],[% forecast within subgroup]], _xlpm.lote, FINI_grouping_for_wheel[[#This Row],[Lot size considered]], _xlpm.pct*_xlpm.lote)</f>
        <v>8581.13576668</v>
      </c>
      <c r="AI472" cm="1">
        <f t="array" aca="1" ref="AI472" ca="1">IFERROR(INDIRECT("FINI_grouping_for_wheel[@["&amp;FINI_grouping_for_wheel[[#This Row],[Selected PV]]&amp;"]]"),"")</f>
        <v>21</v>
      </c>
      <c r="AJ47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30.2</v>
      </c>
      <c r="AL472" s="4"/>
      <c r="AM47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7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72" t="str">
        <f>_xlfn.CONCAT(FINI_grouping_for_wheel[[#This Row],[Recipe Combination]],FINI_grouping_for_wheel[[#This Row],[Subgroup]])</f>
        <v>C8</v>
      </c>
    </row>
    <row r="473" spans="1:55" hidden="1">
      <c r="A473" t="s">
        <v>10</v>
      </c>
      <c r="B473">
        <v>4311205</v>
      </c>
      <c r="C473" t="s">
        <v>1979</v>
      </c>
      <c r="D473">
        <v>8581.13576668</v>
      </c>
      <c r="E473">
        <v>58</v>
      </c>
      <c r="F473">
        <v>1.1599999999999999</v>
      </c>
      <c r="G473" t="s">
        <v>2004</v>
      </c>
      <c r="H473" t="s">
        <v>2005</v>
      </c>
      <c r="I473">
        <v>300</v>
      </c>
      <c r="J473" t="s">
        <v>90</v>
      </c>
      <c r="K473" t="s">
        <v>292</v>
      </c>
      <c r="L473" t="s">
        <v>293</v>
      </c>
      <c r="M473">
        <v>2334.66066</v>
      </c>
      <c r="N473">
        <v>9.33864264</v>
      </c>
      <c r="O473">
        <v>99946.444005</v>
      </c>
      <c r="P473">
        <v>496903.87098</v>
      </c>
      <c r="Q473">
        <v>2.3359116807429432E-2</v>
      </c>
      <c r="R473">
        <v>200.447752714</v>
      </c>
      <c r="S473" t="s">
        <v>294</v>
      </c>
      <c r="T473" t="s">
        <v>93</v>
      </c>
      <c r="U473">
        <v>12.5</v>
      </c>
      <c r="V473" t="s">
        <v>295</v>
      </c>
      <c r="W473" t="s">
        <v>142</v>
      </c>
      <c r="X473" t="s">
        <v>128</v>
      </c>
      <c r="Y473" s="23" t="s">
        <v>120</v>
      </c>
      <c r="AA473">
        <v>919</v>
      </c>
      <c r="AB473" t="s">
        <v>2006</v>
      </c>
      <c r="AC473" t="s">
        <v>1985</v>
      </c>
      <c r="AD473" s="2">
        <v>9</v>
      </c>
      <c r="AE473" s="2" t="s">
        <v>70</v>
      </c>
      <c r="AF473" t="str">
        <f>_xlfn.CONCAT(FINI_grouping_for_wheel[[#This Row],[SEFI/Plant]],"/",IF(FINI_grouping_for_wheel[[#This Row],[RESET recipe combination]]&lt;&gt;"",FINI_grouping_for_wheel[[#This Row],[RESET recipe combination]],FINI_grouping_for_wheel[[#This Row],[Recipe Combination]]),"/",FINI_grouping_for_wheel[[#This Row],[Subgroup]])</f>
        <v>4311205/THDP/x/9</v>
      </c>
      <c r="AG4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0.21504907306434023</v>
      </c>
      <c r="AH473">
        <f>_xlfn.LET(_xlpm.pct, FINI_grouping_for_wheel[[#This Row],[% forecast within subgroup]], _xlpm.lote, FINI_grouping_for_wheel[[#This Row],[Lot size considered]], _xlpm.pct*_xlpm.lote)</f>
        <v>1845.3652924637904</v>
      </c>
      <c r="AI473" cm="1">
        <f t="array" aca="1" ref="AI473" ca="1">IFERROR(INDIRECT("FINI_grouping_for_wheel[@["&amp;FINI_grouping_for_wheel[[#This Row],[Selected PV]]&amp;"]]"),"")</f>
        <v>177</v>
      </c>
      <c r="AJ47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6.5</v>
      </c>
      <c r="AL473" s="4"/>
      <c r="AM47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177</v>
      </c>
      <c r="AN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7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73" t="str">
        <f>_xlfn.CONCAT(FINI_grouping_for_wheel[[#This Row],[Recipe Combination]],FINI_grouping_for_wheel[[#This Row],[Subgroup]])</f>
        <v>C9</v>
      </c>
    </row>
    <row r="474" spans="1:55" hidden="1">
      <c r="A474" t="s">
        <v>10</v>
      </c>
      <c r="B474">
        <v>4311205</v>
      </c>
      <c r="C474" t="s">
        <v>1979</v>
      </c>
      <c r="D474">
        <v>8581.13576668</v>
      </c>
      <c r="E474">
        <v>58</v>
      </c>
      <c r="F474">
        <v>1.1599999999999999</v>
      </c>
      <c r="G474" t="s">
        <v>2007</v>
      </c>
      <c r="H474" t="s">
        <v>2008</v>
      </c>
      <c r="I474">
        <v>300</v>
      </c>
      <c r="J474" t="s">
        <v>90</v>
      </c>
      <c r="K474" t="s">
        <v>292</v>
      </c>
      <c r="L474" t="s">
        <v>293</v>
      </c>
      <c r="M474">
        <v>4355.586495</v>
      </c>
      <c r="N474">
        <v>17.42234598</v>
      </c>
      <c r="O474">
        <v>99946.444005</v>
      </c>
      <c r="P474">
        <v>496903.87098</v>
      </c>
      <c r="Q474">
        <v>4.3579204226436553E-2</v>
      </c>
      <c r="R474">
        <v>373.959068071</v>
      </c>
      <c r="S474" t="s">
        <v>294</v>
      </c>
      <c r="T474" t="s">
        <v>93</v>
      </c>
      <c r="U474">
        <v>12.5</v>
      </c>
      <c r="V474" t="s">
        <v>295</v>
      </c>
      <c r="W474" t="s">
        <v>142</v>
      </c>
      <c r="X474" t="s">
        <v>128</v>
      </c>
      <c r="Y474" s="23" t="s">
        <v>120</v>
      </c>
      <c r="AA474">
        <v>493</v>
      </c>
      <c r="AB474" t="s">
        <v>2009</v>
      </c>
      <c r="AC474" t="s">
        <v>1985</v>
      </c>
      <c r="AD474" s="2">
        <v>9</v>
      </c>
      <c r="AE474" s="2" t="s">
        <v>70</v>
      </c>
      <c r="AF474" t="str">
        <f>_xlfn.CONCAT(FINI_grouping_for_wheel[[#This Row],[SEFI/Plant]],"/",IF(FINI_grouping_for_wheel[[#This Row],[RESET recipe combination]]&lt;&gt;"",FINI_grouping_for_wheel[[#This Row],[RESET recipe combination]],FINI_grouping_for_wheel[[#This Row],[Recipe Combination]]),"/",FINI_grouping_for_wheel[[#This Row],[Subgroup]])</f>
        <v>4311205/THDP/x/9</v>
      </c>
      <c r="AG4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0.4011995637949836</v>
      </c>
      <c r="AH474">
        <f>_xlfn.LET(_xlpm.pct, FINI_grouping_for_wheel[[#This Row],[% forecast within subgroup]], _xlpm.lote, FINI_grouping_for_wheel[[#This Row],[Lot size considered]], _xlpm.pct*_xlpm.lote)</f>
        <v>3442.747926457548</v>
      </c>
      <c r="AI474" cm="1">
        <f t="array" aca="1" ref="AI474" ca="1">IFERROR(INDIRECT("FINI_grouping_for_wheel[@["&amp;FINI_grouping_for_wheel[[#This Row],[Selected PV]]&amp;"]]"),"")</f>
        <v>177</v>
      </c>
      <c r="AJ47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12.1</v>
      </c>
      <c r="AL474" s="4"/>
      <c r="AM47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177</v>
      </c>
      <c r="AN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7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74" t="str">
        <f>_xlfn.CONCAT(FINI_grouping_for_wheel[[#This Row],[Recipe Combination]],FINI_grouping_for_wheel[[#This Row],[Subgroup]])</f>
        <v>C9</v>
      </c>
    </row>
    <row r="475" spans="1:55" hidden="1">
      <c r="A475" t="s">
        <v>10</v>
      </c>
      <c r="B475">
        <v>4311205</v>
      </c>
      <c r="C475" t="s">
        <v>1979</v>
      </c>
      <c r="D475">
        <v>8581.13576668</v>
      </c>
      <c r="E475">
        <v>58</v>
      </c>
      <c r="F475">
        <v>1.1599999999999999</v>
      </c>
      <c r="G475" t="s">
        <v>2010</v>
      </c>
      <c r="H475" t="s">
        <v>2011</v>
      </c>
      <c r="I475">
        <v>396</v>
      </c>
      <c r="J475" t="s">
        <v>90</v>
      </c>
      <c r="K475" t="s">
        <v>912</v>
      </c>
      <c r="L475" t="s">
        <v>913</v>
      </c>
      <c r="M475">
        <v>9510.308865</v>
      </c>
      <c r="N475">
        <v>38.04123546</v>
      </c>
      <c r="O475">
        <v>9510.308865</v>
      </c>
      <c r="P475">
        <v>496903.87098</v>
      </c>
      <c r="Q475">
        <v>1</v>
      </c>
      <c r="R475">
        <v>8581.13576668</v>
      </c>
      <c r="S475" t="s">
        <v>914</v>
      </c>
      <c r="T475" t="s">
        <v>93</v>
      </c>
      <c r="U475">
        <v>1</v>
      </c>
      <c r="V475" t="s">
        <v>505</v>
      </c>
      <c r="W475" t="s">
        <v>142</v>
      </c>
      <c r="X475" t="s">
        <v>150</v>
      </c>
      <c r="Y475" s="23" t="s">
        <v>151</v>
      </c>
      <c r="AA475">
        <v>226</v>
      </c>
      <c r="AB475" t="s">
        <v>2012</v>
      </c>
      <c r="AC475" t="s">
        <v>1985</v>
      </c>
      <c r="AD475" s="2">
        <v>2</v>
      </c>
      <c r="AE475" s="2" t="s">
        <v>70</v>
      </c>
      <c r="AF475" t="str">
        <f>_xlfn.CONCAT(FINI_grouping_for_wheel[[#This Row],[SEFI/Plant]],"/",IF(FINI_grouping_for_wheel[[#This Row],[RESET recipe combination]]&lt;&gt;"",FINI_grouping_for_wheel[[#This Row],[RESET recipe combination]],FINI_grouping_for_wheel[[#This Row],[Recipe Combination]]),"/",FINI_grouping_for_wheel[[#This Row],[Subgroup]])</f>
        <v>4311205/THDP/x/2</v>
      </c>
      <c r="AG4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0.9613451412158929</v>
      </c>
      <c r="AH475">
        <f>_xlfn.LET(_xlpm.pct, FINI_grouping_for_wheel[[#This Row],[% forecast within subgroup]], _xlpm.lote, FINI_grouping_for_wheel[[#This Row],[Lot size considered]], _xlpm.pct*_xlpm.lote)</f>
        <v>8249.433175411734</v>
      </c>
      <c r="AI475" cm="1">
        <f t="array" aca="1" ref="AI475" ca="1">IFERROR(INDIRECT("FINI_grouping_for_wheel[@["&amp;FINI_grouping_for_wheel[[#This Row],[Selected PV]]&amp;"]]"),"")</f>
        <v>194</v>
      </c>
      <c r="AJ47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v>
      </c>
      <c r="AL475" s="4"/>
      <c r="AM47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194</v>
      </c>
      <c r="AN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7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75" t="str">
        <f>_xlfn.CONCAT(FINI_grouping_for_wheel[[#This Row],[Recipe Combination]],FINI_grouping_for_wheel[[#This Row],[Subgroup]])</f>
        <v>G2</v>
      </c>
    </row>
    <row r="476" spans="1:55" hidden="1">
      <c r="A476" t="s">
        <v>10</v>
      </c>
      <c r="B476">
        <v>4311205</v>
      </c>
      <c r="C476" t="s">
        <v>1979</v>
      </c>
      <c r="D476">
        <v>8581.13576668</v>
      </c>
      <c r="E476">
        <v>58</v>
      </c>
      <c r="F476">
        <v>1.1599999999999999</v>
      </c>
      <c r="G476" t="s">
        <v>2013</v>
      </c>
      <c r="H476" t="s">
        <v>2014</v>
      </c>
      <c r="I476">
        <v>385</v>
      </c>
      <c r="J476" t="s">
        <v>90</v>
      </c>
      <c r="K476" t="s">
        <v>2015</v>
      </c>
      <c r="L476" t="s">
        <v>2016</v>
      </c>
      <c r="M476">
        <v>43425.6354</v>
      </c>
      <c r="N476">
        <v>173.7025416</v>
      </c>
      <c r="O476">
        <v>46053.9045</v>
      </c>
      <c r="P476">
        <v>496903.87098</v>
      </c>
      <c r="Q476">
        <v>0.94293059125964007</v>
      </c>
      <c r="R476">
        <v>8091.41542215</v>
      </c>
      <c r="S476" t="s">
        <v>157</v>
      </c>
      <c r="T476" t="s">
        <v>93</v>
      </c>
      <c r="U476">
        <v>10</v>
      </c>
      <c r="V476" t="s">
        <v>94</v>
      </c>
      <c r="W476" t="s">
        <v>95</v>
      </c>
      <c r="X476" t="s">
        <v>96</v>
      </c>
      <c r="Y476" s="23" t="s">
        <v>97</v>
      </c>
      <c r="AA476">
        <v>49</v>
      </c>
      <c r="AB476" t="s">
        <v>2017</v>
      </c>
      <c r="AC476" t="s">
        <v>1985</v>
      </c>
      <c r="AD476" s="2">
        <v>5</v>
      </c>
      <c r="AE476" s="2" t="s">
        <v>70</v>
      </c>
      <c r="AF476" t="str">
        <f>_xlfn.CONCAT(FINI_grouping_for_wheel[[#This Row],[SEFI/Plant]],"/",IF(FINI_grouping_for_wheel[[#This Row],[RESET recipe combination]]&lt;&gt;"",FINI_grouping_for_wheel[[#This Row],[RESET recipe combination]],FINI_grouping_for_wheel[[#This Row],[Recipe Combination]]),"/",FINI_grouping_for_wheel[[#This Row],[Subgroup]])</f>
        <v>4311205/THDP/x/5</v>
      </c>
      <c r="AG4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0.9429305912596402</v>
      </c>
      <c r="AH476">
        <f>_xlfn.LET(_xlpm.pct, FINI_grouping_for_wheel[[#This Row],[% forecast within subgroup]], _xlpm.lote, FINI_grouping_for_wheel[[#This Row],[Lot size considered]], _xlpm.pct*_xlpm.lote)</f>
        <v>8091.415422154818</v>
      </c>
      <c r="AI476" cm="1">
        <f t="array" aca="1" ref="AI476" ca="1">IFERROR(INDIRECT("FINI_grouping_for_wheel[@["&amp;FINI_grouping_for_wheel[[#This Row],[Selected PV]]&amp;"]]"),"")</f>
        <v>42</v>
      </c>
      <c r="AJ47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22.2</v>
      </c>
      <c r="AL476" s="4"/>
      <c r="AM47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42</v>
      </c>
      <c r="AN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7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76" t="str">
        <f>_xlfn.CONCAT(FINI_grouping_for_wheel[[#This Row],[Recipe Combination]],FINI_grouping_for_wheel[[#This Row],[Subgroup]])</f>
        <v>M5</v>
      </c>
    </row>
    <row r="477" spans="1:55" hidden="1">
      <c r="A477" t="s">
        <v>10</v>
      </c>
      <c r="B477">
        <v>4311205</v>
      </c>
      <c r="C477" t="s">
        <v>1979</v>
      </c>
      <c r="D477">
        <v>8581.13576668</v>
      </c>
      <c r="E477">
        <v>58</v>
      </c>
      <c r="F477">
        <v>1.1599999999999999</v>
      </c>
      <c r="G477" t="s">
        <v>2018</v>
      </c>
      <c r="H477" t="s">
        <v>2019</v>
      </c>
      <c r="I477">
        <v>330</v>
      </c>
      <c r="J477" t="s">
        <v>90</v>
      </c>
      <c r="K477" t="s">
        <v>2020</v>
      </c>
      <c r="L477" t="s">
        <v>2021</v>
      </c>
      <c r="M477">
        <v>2628.2691</v>
      </c>
      <c r="N477">
        <v>10.5130764</v>
      </c>
      <c r="O477">
        <v>46053.9045</v>
      </c>
      <c r="P477">
        <v>496903.87098</v>
      </c>
      <c r="Q477">
        <v>5.70694087403599E-2</v>
      </c>
      <c r="R477">
        <v>489.720344525</v>
      </c>
      <c r="S477" t="s">
        <v>157</v>
      </c>
      <c r="T477" t="s">
        <v>93</v>
      </c>
      <c r="U477">
        <v>10</v>
      </c>
      <c r="V477" t="s">
        <v>94</v>
      </c>
      <c r="W477" t="s">
        <v>95</v>
      </c>
      <c r="X477" t="s">
        <v>96</v>
      </c>
      <c r="Y477" s="23" t="s">
        <v>97</v>
      </c>
      <c r="AA477">
        <v>816</v>
      </c>
      <c r="AB477" t="s">
        <v>2022</v>
      </c>
      <c r="AC477" t="s">
        <v>1985</v>
      </c>
      <c r="AD477" s="2">
        <v>5</v>
      </c>
      <c r="AE477" s="2" t="s">
        <v>70</v>
      </c>
      <c r="AF477" t="str">
        <f>_xlfn.CONCAT(FINI_grouping_for_wheel[[#This Row],[SEFI/Plant]],"/",IF(FINI_grouping_for_wheel[[#This Row],[RESET recipe combination]]&lt;&gt;"",FINI_grouping_for_wheel[[#This Row],[RESET recipe combination]],FINI_grouping_for_wheel[[#This Row],[Recipe Combination]]),"/",FINI_grouping_for_wheel[[#This Row],[Subgroup]])</f>
        <v>4311205/THDP/x/5</v>
      </c>
      <c r="AG4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0.0570694087403599</v>
      </c>
      <c r="AH477">
        <f>_xlfn.LET(_xlpm.pct, FINI_grouping_for_wheel[[#This Row],[% forecast within subgroup]], _xlpm.lote, FINI_grouping_for_wheel[[#This Row],[Lot size considered]], _xlpm.pct*_xlpm.lote)</f>
        <v>489.7203445251825</v>
      </c>
      <c r="AI477" cm="1">
        <f t="array" aca="1" ref="AI477" ca="1">IFERROR(INDIRECT("FINI_grouping_for_wheel[@["&amp;FINI_grouping_for_wheel[[#This Row],[Selected PV]]&amp;"]]"),"")</f>
        <v>42</v>
      </c>
      <c r="AJ47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v>
      </c>
      <c r="AL477" s="4"/>
      <c r="AM47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42</v>
      </c>
      <c r="AN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7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77" t="str">
        <f>_xlfn.CONCAT(FINI_grouping_for_wheel[[#This Row],[Recipe Combination]],FINI_grouping_for_wheel[[#This Row],[Subgroup]])</f>
        <v>M5</v>
      </c>
    </row>
    <row r="478" spans="1:55" hidden="1">
      <c r="A478" t="s">
        <v>10</v>
      </c>
      <c r="B478">
        <v>4311205</v>
      </c>
      <c r="C478" t="s">
        <v>1979</v>
      </c>
      <c r="D478">
        <v>8581.13576668</v>
      </c>
      <c r="E478">
        <v>58</v>
      </c>
      <c r="F478">
        <v>1.1599999999999999</v>
      </c>
      <c r="G478" t="s">
        <v>2023</v>
      </c>
      <c r="H478" t="s">
        <v>2024</v>
      </c>
      <c r="I478">
        <v>300</v>
      </c>
      <c r="J478" t="s">
        <v>90</v>
      </c>
      <c r="M478">
        <v>550.515825</v>
      </c>
      <c r="N478">
        <v>2.2020633</v>
      </c>
      <c r="O478">
        <v>550.515825</v>
      </c>
      <c r="P478">
        <v>496903.87098</v>
      </c>
      <c r="Q478">
        <v>1</v>
      </c>
      <c r="R478">
        <v>8581.13576668</v>
      </c>
      <c r="S478" t="s">
        <v>173</v>
      </c>
      <c r="T478" t="s">
        <v>93</v>
      </c>
      <c r="U478">
        <v>5</v>
      </c>
      <c r="AA478">
        <v>3897</v>
      </c>
      <c r="AB478" t="s">
        <v>2025</v>
      </c>
      <c r="AC478" t="s">
        <v>1985</v>
      </c>
      <c r="AD478" s="2">
        <v>4</v>
      </c>
      <c r="AE478" s="2" t="s">
        <v>70</v>
      </c>
      <c r="AF478" t="str">
        <f>_xlfn.CONCAT(FINI_grouping_for_wheel[[#This Row],[SEFI/Plant]],"/",IF(FINI_grouping_for_wheel[[#This Row],[RESET recipe combination]]&lt;&gt;"",FINI_grouping_for_wheel[[#This Row],[RESET recipe combination]],FINI_grouping_for_wheel[[#This Row],[Recipe Combination]]),"/",FINI_grouping_for_wheel[[#This Row],[Subgroup]])</f>
        <v>4311205/THDP/x/4</v>
      </c>
      <c r="AG4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0.022900763358778622</v>
      </c>
      <c r="AH478">
        <f>_xlfn.LET(_xlpm.pct, FINI_grouping_for_wheel[[#This Row],[% forecast within subgroup]], _xlpm.lote, FINI_grouping_for_wheel[[#This Row],[Lot size considered]], _xlpm.pct*_xlpm.lote)</f>
        <v>196.51455954229004</v>
      </c>
      <c r="AI478" cm="1">
        <f t="array" aca="1" ref="AI478" ca="1">IFERROR(INDIRECT("FINI_grouping_for_wheel[@["&amp;FINI_grouping_for_wheel[[#This Row],[Selected PV]]&amp;"]]"),"")</f>
        <v>80</v>
      </c>
      <c r="AJ47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0.7</v>
      </c>
      <c r="AL478" s="4"/>
      <c r="AM47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80</v>
      </c>
      <c r="AN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7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78" t="str">
        <f>_xlfn.CONCAT(FINI_grouping_for_wheel[[#This Row],[Recipe Combination]],FINI_grouping_for_wheel[[#This Row],[Subgroup]])</f>
        <v>P4</v>
      </c>
    </row>
    <row r="479" spans="1:55" hidden="1">
      <c r="A479" t="s">
        <v>10</v>
      </c>
      <c r="B479">
        <v>4311205</v>
      </c>
      <c r="C479" t="s">
        <v>1979</v>
      </c>
      <c r="D479">
        <v>8581.13576668</v>
      </c>
      <c r="E479">
        <v>58</v>
      </c>
      <c r="F479">
        <v>1.1599999999999999</v>
      </c>
      <c r="G479" t="s">
        <v>2026</v>
      </c>
      <c r="H479" t="s">
        <v>2027</v>
      </c>
      <c r="I479">
        <v>462</v>
      </c>
      <c r="J479" t="s">
        <v>90</v>
      </c>
      <c r="K479" t="s">
        <v>841</v>
      </c>
      <c r="L479" t="s">
        <v>842</v>
      </c>
      <c r="M479">
        <v>382.401315</v>
      </c>
      <c r="N479">
        <v>1.52960526</v>
      </c>
      <c r="O479">
        <v>382.401315</v>
      </c>
      <c r="P479">
        <v>496903.87098</v>
      </c>
      <c r="Q479">
        <v>1</v>
      </c>
      <c r="R479">
        <v>8581.13576668</v>
      </c>
      <c r="S479" t="s">
        <v>346</v>
      </c>
      <c r="T479" t="s">
        <v>93</v>
      </c>
      <c r="U479">
        <v>1</v>
      </c>
      <c r="V479" t="s">
        <v>843</v>
      </c>
      <c r="W479" t="s">
        <v>142</v>
      </c>
      <c r="X479" t="s">
        <v>150</v>
      </c>
      <c r="Y479" s="23" t="s">
        <v>151</v>
      </c>
      <c r="AA479">
        <v>5610</v>
      </c>
      <c r="AB479" t="s">
        <v>2028</v>
      </c>
      <c r="AC479" t="s">
        <v>1985</v>
      </c>
      <c r="AD479" s="2">
        <v>2</v>
      </c>
      <c r="AE479" s="2" t="s">
        <v>70</v>
      </c>
      <c r="AF479" t="str">
        <f>_xlfn.CONCAT(FINI_grouping_for_wheel[[#This Row],[SEFI/Plant]],"/",IF(FINI_grouping_for_wheel[[#This Row],[RESET recipe combination]]&lt;&gt;"",FINI_grouping_for_wheel[[#This Row],[RESET recipe combination]],FINI_grouping_for_wheel[[#This Row],[Recipe Combination]]),"/",FINI_grouping_for_wheel[[#This Row],[Subgroup]])</f>
        <v>4311205/THDP/x/2</v>
      </c>
      <c r="AG4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0.03865485878410723</v>
      </c>
      <c r="AH479">
        <f>_xlfn.LET(_xlpm.pct, FINI_grouping_for_wheel[[#This Row],[% forecast within subgroup]], _xlpm.lote, FINI_grouping_for_wheel[[#This Row],[Lot size considered]], _xlpm.pct*_xlpm.lote)</f>
        <v>331.7025912682671</v>
      </c>
      <c r="AI479" cm="1">
        <f t="array" aca="1" ref="AI479" ca="1">IFERROR(INDIRECT("FINI_grouping_for_wheel[@["&amp;FINI_grouping_for_wheel[[#This Row],[Selected PV]]&amp;"]]"),"")</f>
        <v>194</v>
      </c>
      <c r="AJ47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0.8</v>
      </c>
      <c r="AL479" s="4"/>
      <c r="AM47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194</v>
      </c>
      <c r="AN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7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79" t="str">
        <f>_xlfn.CONCAT(FINI_grouping_for_wheel[[#This Row],[Recipe Combination]],FINI_grouping_for_wheel[[#This Row],[Subgroup]])</f>
        <v>Q2</v>
      </c>
    </row>
    <row r="480" spans="1:55" hidden="1">
      <c r="A480" t="s">
        <v>10</v>
      </c>
      <c r="B480">
        <v>4311205</v>
      </c>
      <c r="C480" t="s">
        <v>1979</v>
      </c>
      <c r="D480">
        <v>8581.13576668</v>
      </c>
      <c r="E480">
        <v>58</v>
      </c>
      <c r="F480">
        <v>1.1599999999999999</v>
      </c>
      <c r="G480" t="s">
        <v>2029</v>
      </c>
      <c r="H480" t="s">
        <v>2030</v>
      </c>
      <c r="I480">
        <v>320</v>
      </c>
      <c r="J480" t="s">
        <v>90</v>
      </c>
      <c r="K480" t="s">
        <v>2031</v>
      </c>
      <c r="L480" t="s">
        <v>2032</v>
      </c>
      <c r="M480">
        <v>2711.14245</v>
      </c>
      <c r="N480">
        <v>10.8445698</v>
      </c>
      <c r="O480">
        <v>64887.46524</v>
      </c>
      <c r="P480">
        <v>496903.87098</v>
      </c>
      <c r="Q480">
        <v>4.1782221573492921E-2</v>
      </c>
      <c r="R480">
        <v>358.538915956</v>
      </c>
      <c r="S480" t="s">
        <v>195</v>
      </c>
      <c r="T480" t="s">
        <v>93</v>
      </c>
      <c r="U480">
        <v>5</v>
      </c>
      <c r="V480" t="s">
        <v>657</v>
      </c>
      <c r="W480" t="s">
        <v>95</v>
      </c>
      <c r="X480" t="s">
        <v>106</v>
      </c>
      <c r="Y480" s="23" t="s">
        <v>107</v>
      </c>
      <c r="AA480">
        <v>791</v>
      </c>
      <c r="AB480" t="s">
        <v>2033</v>
      </c>
      <c r="AC480" t="s">
        <v>1985</v>
      </c>
      <c r="AD480" s="2">
        <v>3</v>
      </c>
      <c r="AE480" s="2" t="s">
        <v>70</v>
      </c>
      <c r="AF480" t="str">
        <f>_xlfn.CONCAT(FINI_grouping_for_wheel[[#This Row],[SEFI/Plant]],"/",IF(FINI_grouping_for_wheel[[#This Row],[RESET recipe combination]]&lt;&gt;"",FINI_grouping_for_wheel[[#This Row],[RESET recipe combination]],FINI_grouping_for_wheel[[#This Row],[Recipe Combination]]),"/",FINI_grouping_for_wheel[[#This Row],[Subgroup]])</f>
        <v>4311205/THDP/x/3</v>
      </c>
      <c r="AG4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0.041641663484443474</v>
      </c>
      <c r="AH480">
        <f>_xlfn.LET(_xlpm.pct, FINI_grouping_for_wheel[[#This Row],[% forecast within subgroup]], _xlpm.lote, FINI_grouping_for_wheel[[#This Row],[Lot size considered]], _xlpm.pct*_xlpm.lote)</f>
        <v>357.3327679104104</v>
      </c>
      <c r="AI480" cm="1">
        <f t="array" aca="1" ref="AI480" ca="1">IFERROR(INDIRECT("FINI_grouping_for_wheel[@["&amp;FINI_grouping_for_wheel[[#This Row],[Selected PV]]&amp;"]]"),"")</f>
        <v>30</v>
      </c>
      <c r="AJ48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v>
      </c>
      <c r="AL480" s="4"/>
      <c r="AM48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30</v>
      </c>
      <c r="AN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8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80" t="str">
        <f>_xlfn.CONCAT(FINI_grouping_for_wheel[[#This Row],[Recipe Combination]],FINI_grouping_for_wheel[[#This Row],[Subgroup]])</f>
        <v>S3</v>
      </c>
    </row>
    <row r="481" spans="1:55" hidden="1">
      <c r="A481" t="s">
        <v>10</v>
      </c>
      <c r="B481">
        <v>4311205</v>
      </c>
      <c r="C481" t="s">
        <v>1979</v>
      </c>
      <c r="D481">
        <v>8581.13576668</v>
      </c>
      <c r="E481">
        <v>58</v>
      </c>
      <c r="F481">
        <v>1.1599999999999999</v>
      </c>
      <c r="G481" t="s">
        <v>2034</v>
      </c>
      <c r="H481" t="s">
        <v>2035</v>
      </c>
      <c r="I481">
        <v>320</v>
      </c>
      <c r="J481" t="s">
        <v>90</v>
      </c>
      <c r="K481" t="s">
        <v>2036</v>
      </c>
      <c r="L481" t="s">
        <v>2037</v>
      </c>
      <c r="M481">
        <v>3232.06065</v>
      </c>
      <c r="N481">
        <v>12.9282426</v>
      </c>
      <c r="O481">
        <v>64887.46524</v>
      </c>
      <c r="P481">
        <v>496903.87098</v>
      </c>
      <c r="Q481">
        <v>4.981024667931689E-2</v>
      </c>
      <c r="R481">
        <v>427.428489327</v>
      </c>
      <c r="S481" t="s">
        <v>195</v>
      </c>
      <c r="T481" t="s">
        <v>93</v>
      </c>
      <c r="U481">
        <v>5</v>
      </c>
      <c r="V481" t="s">
        <v>657</v>
      </c>
      <c r="W481" t="s">
        <v>159</v>
      </c>
      <c r="X481" t="s">
        <v>106</v>
      </c>
      <c r="Y481" s="23" t="s">
        <v>107</v>
      </c>
      <c r="AA481">
        <v>664</v>
      </c>
      <c r="AB481" t="s">
        <v>2038</v>
      </c>
      <c r="AC481" t="s">
        <v>1985</v>
      </c>
      <c r="AD481" s="2">
        <v>3</v>
      </c>
      <c r="AE481" s="2" t="s">
        <v>70</v>
      </c>
      <c r="AF481" t="str">
        <f>_xlfn.CONCAT(FINI_grouping_for_wheel[[#This Row],[SEFI/Plant]],"/",IF(FINI_grouping_for_wheel[[#This Row],[RESET recipe combination]]&lt;&gt;"",FINI_grouping_for_wheel[[#This Row],[RESET recipe combination]],FINI_grouping_for_wheel[[#This Row],[Recipe Combination]]),"/",FINI_grouping_for_wheel[[#This Row],[Subgroup]])</f>
        <v>4311205/THDP/x/3</v>
      </c>
      <c r="AG4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0.049642681795864924</v>
      </c>
      <c r="AH481">
        <f>_xlfn.LET(_xlpm.pct, FINI_grouping_for_wheel[[#This Row],[% forecast within subgroup]], _xlpm.lote, FINI_grouping_for_wheel[[#This Row],[Lot size considered]], _xlpm.pct*_xlpm.lote)</f>
        <v>425.9905923124106</v>
      </c>
      <c r="AI481" cm="1">
        <f t="array" aca="1" ref="AI481" ca="1">IFERROR(INDIRECT("FINI_grouping_for_wheel[@["&amp;FINI_grouping_for_wheel[[#This Row],[Selected PV]]&amp;"]]"),"")</f>
        <v>30</v>
      </c>
      <c r="AJ48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v>
      </c>
      <c r="AL481" s="4"/>
      <c r="AM48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30</v>
      </c>
      <c r="AN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8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81" t="str">
        <f>_xlfn.CONCAT(FINI_grouping_for_wheel[[#This Row],[Recipe Combination]],FINI_grouping_for_wheel[[#This Row],[Subgroup]])</f>
        <v>S3</v>
      </c>
    </row>
    <row r="482" spans="1:55" hidden="1">
      <c r="A482" t="s">
        <v>10</v>
      </c>
      <c r="B482">
        <v>4311205</v>
      </c>
      <c r="C482" t="s">
        <v>1979</v>
      </c>
      <c r="D482">
        <v>8581.13576668</v>
      </c>
      <c r="E482">
        <v>58</v>
      </c>
      <c r="F482">
        <v>1.1599999999999999</v>
      </c>
      <c r="G482" t="s">
        <v>2039</v>
      </c>
      <c r="H482" t="s">
        <v>2040</v>
      </c>
      <c r="I482">
        <v>384</v>
      </c>
      <c r="J482" t="s">
        <v>90</v>
      </c>
      <c r="K482" t="s">
        <v>2041</v>
      </c>
      <c r="L482" t="s">
        <v>2042</v>
      </c>
      <c r="M482">
        <v>58944.26214</v>
      </c>
      <c r="N482">
        <v>235.77704856</v>
      </c>
      <c r="O482">
        <v>64887.46524</v>
      </c>
      <c r="P482">
        <v>496903.87098</v>
      </c>
      <c r="Q482">
        <v>0.90840753174719024</v>
      </c>
      <c r="R482">
        <v>7795.1683614</v>
      </c>
      <c r="S482" t="s">
        <v>195</v>
      </c>
      <c r="T482" t="s">
        <v>93</v>
      </c>
      <c r="U482">
        <v>6</v>
      </c>
      <c r="V482" t="s">
        <v>657</v>
      </c>
      <c r="W482" t="s">
        <v>95</v>
      </c>
      <c r="X482" t="s">
        <v>106</v>
      </c>
      <c r="Y482" s="23" t="s">
        <v>107</v>
      </c>
      <c r="AA482">
        <v>36</v>
      </c>
      <c r="AB482" t="s">
        <v>2043</v>
      </c>
      <c r="AC482" t="s">
        <v>1985</v>
      </c>
      <c r="AD482" s="2">
        <v>3</v>
      </c>
      <c r="AE482" s="2" t="s">
        <v>70</v>
      </c>
      <c r="AF482" t="str">
        <f>_xlfn.CONCAT(FINI_grouping_for_wheel[[#This Row],[SEFI/Plant]],"/",IF(FINI_grouping_for_wheel[[#This Row],[RESET recipe combination]]&lt;&gt;"",FINI_grouping_for_wheel[[#This Row],[RESET recipe combination]],FINI_grouping_for_wheel[[#This Row],[Recipe Combination]]),"/",FINI_grouping_for_wheel[[#This Row],[Subgroup]])</f>
        <v>4311205/THDP/x/3</v>
      </c>
      <c r="AG4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0.9053515902023894</v>
      </c>
      <c r="AH482">
        <f>_xlfn.LET(_xlpm.pct, FINI_grouping_for_wheel[[#This Row],[% forecast within subgroup]], _xlpm.lote, FINI_grouping_for_wheel[[#This Row],[Lot size considered]], _xlpm.pct*_xlpm.lote)</f>
        <v>7768.944912106338</v>
      </c>
      <c r="AI482" cm="1">
        <f t="array" aca="1" ref="AI482" ca="1">IFERROR(INDIRECT("FINI_grouping_for_wheel[@["&amp;FINI_grouping_for_wheel[[#This Row],[Selected PV]]&amp;"]]"),"")</f>
        <v>30</v>
      </c>
      <c r="AJ48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21.3</v>
      </c>
      <c r="AL482" s="4"/>
      <c r="AM48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30</v>
      </c>
      <c r="AN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8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82" t="str">
        <f>_xlfn.CONCAT(FINI_grouping_for_wheel[[#This Row],[Recipe Combination]],FINI_grouping_for_wheel[[#This Row],[Subgroup]])</f>
        <v>S3</v>
      </c>
    </row>
    <row r="483" spans="1:55" hidden="1">
      <c r="A483" t="s">
        <v>10</v>
      </c>
      <c r="B483">
        <v>4311205</v>
      </c>
      <c r="C483" t="s">
        <v>1979</v>
      </c>
      <c r="D483">
        <v>8581.13576668</v>
      </c>
      <c r="E483">
        <v>58</v>
      </c>
      <c r="F483">
        <v>1.1599999999999999</v>
      </c>
      <c r="G483" t="s">
        <v>2044</v>
      </c>
      <c r="H483" t="s">
        <v>2045</v>
      </c>
      <c r="I483">
        <v>320.42400000000004</v>
      </c>
      <c r="J483" t="s">
        <v>90</v>
      </c>
      <c r="K483" t="s">
        <v>292</v>
      </c>
      <c r="L483" t="s">
        <v>293</v>
      </c>
      <c r="M483">
        <v>168569.12952</v>
      </c>
      <c r="N483">
        <v>674.27651808</v>
      </c>
      <c r="O483">
        <v>168569.12952</v>
      </c>
      <c r="P483">
        <v>496903.87098</v>
      </c>
      <c r="Q483">
        <v>1</v>
      </c>
      <c r="R483">
        <v>8581.13576668</v>
      </c>
      <c r="S483" t="s">
        <v>218</v>
      </c>
      <c r="T483" t="s">
        <v>93</v>
      </c>
      <c r="U483">
        <v>13.351000000000001</v>
      </c>
      <c r="V483" t="s">
        <v>295</v>
      </c>
      <c r="W483" t="s">
        <v>142</v>
      </c>
      <c r="X483" t="s">
        <v>128</v>
      </c>
      <c r="Y483" s="23" t="s">
        <v>120</v>
      </c>
      <c r="AA483">
        <v>13</v>
      </c>
      <c r="AB483" t="s">
        <v>2046</v>
      </c>
      <c r="AC483" t="s">
        <v>1985</v>
      </c>
      <c r="AD483" s="2">
        <v>6</v>
      </c>
      <c r="AE483" s="2" t="s">
        <v>70</v>
      </c>
      <c r="AF483" t="str">
        <f>_xlfn.CONCAT(FINI_grouping_for_wheel[[#This Row],[SEFI/Plant]],"/",IF(FINI_grouping_for_wheel[[#This Row],[RESET recipe combination]]&lt;&gt;"",FINI_grouping_for_wheel[[#This Row],[RESET recipe combination]],FINI_grouping_for_wheel[[#This Row],[Recipe Combination]]),"/",FINI_grouping_for_wheel[[#This Row],[Subgroup]])</f>
        <v>4311205/THDP/x/6</v>
      </c>
      <c r="AG4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83">
        <f>_xlfn.LET(_xlpm.pct, FINI_grouping_for_wheel[[#This Row],[% forecast within subgroup]], _xlpm.lote, FINI_grouping_for_wheel[[#This Row],[Lot size considered]], _xlpm.pct*_xlpm.lote)</f>
        <v>8581.13576668</v>
      </c>
      <c r="AI483" cm="1">
        <f t="array" aca="1" ref="AI483" ca="1">IFERROR(INDIRECT("FINI_grouping_for_wheel[@["&amp;FINI_grouping_for_wheel[[#This Row],[Selected PV]]&amp;"]]"),"")</f>
        <v>11</v>
      </c>
      <c r="AJ48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28.3</v>
      </c>
      <c r="AL483" s="4"/>
      <c r="AM48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8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83" s="2" t="str">
        <f>_xlfn.CONCAT(FINI_grouping_for_wheel[[#This Row],[Recipe Combination]],FINI_grouping_for_wheel[[#This Row],[Subgroup]])</f>
        <v>U6</v>
      </c>
    </row>
    <row r="484" spans="1:55" hidden="1">
      <c r="A484" t="s">
        <v>10</v>
      </c>
      <c r="B484">
        <v>4311205</v>
      </c>
      <c r="C484" t="s">
        <v>1979</v>
      </c>
      <c r="D484">
        <v>8581.13576668</v>
      </c>
      <c r="E484">
        <v>58</v>
      </c>
      <c r="F484">
        <v>1.1599999999999999</v>
      </c>
      <c r="G484" t="s">
        <v>2047</v>
      </c>
      <c r="H484" t="s">
        <v>2048</v>
      </c>
      <c r="I484">
        <v>342</v>
      </c>
      <c r="J484" t="s">
        <v>90</v>
      </c>
      <c r="K484" t="s">
        <v>2049</v>
      </c>
      <c r="L484" t="s">
        <v>2050</v>
      </c>
      <c r="M484">
        <v>58589.09064</v>
      </c>
      <c r="N484">
        <v>234.35636256</v>
      </c>
      <c r="O484">
        <v>58589.09064</v>
      </c>
      <c r="P484">
        <v>496903.87098</v>
      </c>
      <c r="Q484">
        <v>1</v>
      </c>
      <c r="R484">
        <v>8581.13576668</v>
      </c>
      <c r="S484" t="s">
        <v>387</v>
      </c>
      <c r="T484" t="s">
        <v>93</v>
      </c>
      <c r="U484">
        <v>12</v>
      </c>
      <c r="V484" t="s">
        <v>238</v>
      </c>
      <c r="W484" t="s">
        <v>95</v>
      </c>
      <c r="X484" t="s">
        <v>96</v>
      </c>
      <c r="Y484" s="23" t="s">
        <v>97</v>
      </c>
      <c r="AA484">
        <v>37</v>
      </c>
      <c r="AB484" t="s">
        <v>2051</v>
      </c>
      <c r="AC484" t="s">
        <v>1985</v>
      </c>
      <c r="AD484" s="2">
        <v>7</v>
      </c>
      <c r="AE484" s="2" t="s">
        <v>70</v>
      </c>
      <c r="AF484" t="str">
        <f>_xlfn.CONCAT(FINI_grouping_for_wheel[[#This Row],[SEFI/Plant]],"/",IF(FINI_grouping_for_wheel[[#This Row],[RESET recipe combination]]&lt;&gt;"",FINI_grouping_for_wheel[[#This Row],[RESET recipe combination]],FINI_grouping_for_wheel[[#This Row],[Recipe Combination]]),"/",FINI_grouping_for_wheel[[#This Row],[Subgroup]])</f>
        <v>4311205/THDP/x/7</v>
      </c>
      <c r="AG4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84">
        <f>_xlfn.LET(_xlpm.pct, FINI_grouping_for_wheel[[#This Row],[% forecast within subgroup]], _xlpm.lote, FINI_grouping_for_wheel[[#This Row],[Lot size considered]], _xlpm.pct*_xlpm.lote)</f>
        <v>8581.13576668</v>
      </c>
      <c r="AI484" cm="1">
        <f t="array" aca="1" ref="AI484" ca="1">IFERROR(INDIRECT("FINI_grouping_for_wheel[@["&amp;FINI_grouping_for_wheel[[#This Row],[Selected PV]]&amp;"]]"),"")</f>
        <v>33</v>
      </c>
      <c r="AJ48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9052.13763</v>
      </c>
      <c r="AK4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26.5</v>
      </c>
      <c r="AL484" s="4"/>
      <c r="AM48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8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84" t="str">
        <f>_xlfn.CONCAT(FINI_grouping_for_wheel[[#This Row],[Recipe Combination]],FINI_grouping_for_wheel[[#This Row],[Subgroup]])</f>
        <v>X7</v>
      </c>
    </row>
    <row r="485" spans="1:55" hidden="1">
      <c r="A485" t="s">
        <v>10</v>
      </c>
      <c r="B485">
        <v>4830710</v>
      </c>
      <c r="C485" t="s">
        <v>2052</v>
      </c>
      <c r="D485">
        <v>8193.02003175</v>
      </c>
      <c r="E485">
        <v>58</v>
      </c>
      <c r="F485">
        <v>1.1599999999999999</v>
      </c>
      <c r="G485" t="s">
        <v>2053</v>
      </c>
      <c r="H485" t="s">
        <v>2054</v>
      </c>
      <c r="I485">
        <v>360</v>
      </c>
      <c r="J485" t="s">
        <v>90</v>
      </c>
      <c r="K485" t="s">
        <v>632</v>
      </c>
      <c r="L485" t="s">
        <v>633</v>
      </c>
      <c r="M485">
        <v>3499.62318</v>
      </c>
      <c r="N485">
        <v>13.99849272</v>
      </c>
      <c r="O485">
        <v>3499.62318</v>
      </c>
      <c r="P485">
        <v>468528.03594</v>
      </c>
      <c r="Q485">
        <v>1</v>
      </c>
      <c r="R485">
        <v>8193.02003175</v>
      </c>
      <c r="S485" t="s">
        <v>104</v>
      </c>
      <c r="T485" t="s">
        <v>93</v>
      </c>
      <c r="U485">
        <v>2.5</v>
      </c>
      <c r="V485" t="s">
        <v>166</v>
      </c>
      <c r="W485" t="s">
        <v>142</v>
      </c>
      <c r="X485" t="s">
        <v>96</v>
      </c>
      <c r="Y485" s="23" t="s">
        <v>167</v>
      </c>
      <c r="AA485">
        <v>585</v>
      </c>
      <c r="AB485" t="s">
        <v>2055</v>
      </c>
      <c r="AC485" t="s">
        <v>2056</v>
      </c>
      <c r="AD485" s="2">
        <v>4</v>
      </c>
      <c r="AE485" s="2" t="s">
        <v>70</v>
      </c>
      <c r="AF485" t="str">
        <f>_xlfn.CONCAT(FINI_grouping_for_wheel[[#This Row],[SEFI/Plant]],"/",IF(FINI_grouping_for_wheel[[#This Row],[RESET recipe combination]]&lt;&gt;"",FINI_grouping_for_wheel[[#This Row],[RESET recipe combination]],FINI_grouping_for_wheel[[#This Row],[Recipe Combination]]),"/",FINI_grouping_for_wheel[[#This Row],[Subgroup]])</f>
        <v>4830710/THDP/x/4</v>
      </c>
      <c r="AG4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0.47785321694148075</v>
      </c>
      <c r="AH485">
        <f>_xlfn.LET(_xlpm.pct, FINI_grouping_for_wheel[[#This Row],[% forecast within subgroup]], _xlpm.lote, FINI_grouping_for_wheel[[#This Row],[Lot size considered]], _xlpm.pct*_xlpm.lote)</f>
        <v>3915.0609786377304</v>
      </c>
      <c r="AI485" cm="1">
        <f t="array" aca="1" ref="AI485" ca="1">IFERROR(INDIRECT("FINI_grouping_for_wheel[@["&amp;FINI_grouping_for_wheel[[#This Row],[Selected PV]]&amp;"]]"),"")</f>
        <v>258</v>
      </c>
      <c r="AJ48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11.8</v>
      </c>
      <c r="AL485" s="4"/>
      <c r="AM48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258</v>
      </c>
      <c r="AN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8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85" t="str">
        <f>_xlfn.CONCAT(FINI_grouping_for_wheel[[#This Row],[Recipe Combination]],FINI_grouping_for_wheel[[#This Row],[Subgroup]])</f>
        <v>04</v>
      </c>
    </row>
    <row r="486" spans="1:55" hidden="1">
      <c r="A486" t="s">
        <v>10</v>
      </c>
      <c r="B486">
        <v>4830710</v>
      </c>
      <c r="C486" t="s">
        <v>2052</v>
      </c>
      <c r="D486">
        <v>8193.02003175</v>
      </c>
      <c r="E486">
        <v>58</v>
      </c>
      <c r="F486">
        <v>1.1599999999999999</v>
      </c>
      <c r="G486" t="s">
        <v>2057</v>
      </c>
      <c r="H486" t="s">
        <v>2058</v>
      </c>
      <c r="I486">
        <v>360</v>
      </c>
      <c r="J486" t="s">
        <v>90</v>
      </c>
      <c r="K486" t="s">
        <v>264</v>
      </c>
      <c r="L486" t="s">
        <v>265</v>
      </c>
      <c r="M486">
        <v>7741.554795</v>
      </c>
      <c r="N486">
        <v>30.96621918</v>
      </c>
      <c r="O486">
        <v>8191.438695</v>
      </c>
      <c r="P486">
        <v>468528.03594</v>
      </c>
      <c r="Q486">
        <v>0.94507876860818041</v>
      </c>
      <c r="R486">
        <v>7743.04928279</v>
      </c>
      <c r="S486" t="s">
        <v>266</v>
      </c>
      <c r="T486" t="s">
        <v>93</v>
      </c>
      <c r="U486">
        <v>2.5</v>
      </c>
      <c r="V486" t="s">
        <v>267</v>
      </c>
      <c r="W486" t="s">
        <v>142</v>
      </c>
      <c r="X486" t="s">
        <v>150</v>
      </c>
      <c r="Y486" s="23" t="s">
        <v>151</v>
      </c>
      <c r="AA486">
        <v>265</v>
      </c>
      <c r="AB486" t="s">
        <v>2059</v>
      </c>
      <c r="AC486" t="s">
        <v>2056</v>
      </c>
      <c r="AD486" s="2">
        <v>3</v>
      </c>
      <c r="AE486" s="2" t="s">
        <v>70</v>
      </c>
      <c r="AF486" t="str">
        <f>_xlfn.CONCAT(FINI_grouping_for_wheel[[#This Row],[SEFI/Plant]],"/",IF(FINI_grouping_for_wheel[[#This Row],[RESET recipe combination]]&lt;&gt;"",FINI_grouping_for_wheel[[#This Row],[RESET recipe combination]],FINI_grouping_for_wheel[[#This Row],[Recipe Combination]]),"/",FINI_grouping_for_wheel[[#This Row],[Subgroup]])</f>
        <v>4830710/THDP/x/3</v>
      </c>
      <c r="AG4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0.451183329883392</v>
      </c>
      <c r="AH486">
        <f>_xlfn.LET(_xlpm.pct, FINI_grouping_for_wheel[[#This Row],[% forecast within subgroup]], _xlpm.lote, FINI_grouping_for_wheel[[#This Row],[Lot size considered]], _xlpm.pct*_xlpm.lote)</f>
        <v>3696.5540597262993</v>
      </c>
      <c r="AI486" cm="1">
        <f t="array" aca="1" ref="AI486" ca="1">IFERROR(INDIRECT("FINI_grouping_for_wheel[@["&amp;FINI_grouping_for_wheel[[#This Row],[Selected PV]]&amp;"]]"),"")</f>
        <v>110</v>
      </c>
      <c r="AJ48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11.1</v>
      </c>
      <c r="AL486" s="4"/>
      <c r="AM48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110</v>
      </c>
      <c r="AN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8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86" t="str">
        <f>_xlfn.CONCAT(FINI_grouping_for_wheel[[#This Row],[Recipe Combination]],FINI_grouping_for_wheel[[#This Row],[Subgroup]])</f>
        <v>13</v>
      </c>
    </row>
    <row r="487" spans="1:55" hidden="1">
      <c r="A487" t="s">
        <v>10</v>
      </c>
      <c r="B487">
        <v>4830710</v>
      </c>
      <c r="C487" t="s">
        <v>2052</v>
      </c>
      <c r="D487">
        <v>8193.02003175</v>
      </c>
      <c r="E487">
        <v>58</v>
      </c>
      <c r="F487">
        <v>1.1599999999999999</v>
      </c>
      <c r="G487" t="s">
        <v>2060</v>
      </c>
      <c r="H487" t="s">
        <v>2061</v>
      </c>
      <c r="I487">
        <v>525</v>
      </c>
      <c r="J487" t="s">
        <v>90</v>
      </c>
      <c r="K487" t="s">
        <v>264</v>
      </c>
      <c r="L487" t="s">
        <v>265</v>
      </c>
      <c r="M487">
        <v>449.8839</v>
      </c>
      <c r="N487">
        <v>1.7995356</v>
      </c>
      <c r="O487">
        <v>8191.438695</v>
      </c>
      <c r="P487">
        <v>468528.03594</v>
      </c>
      <c r="Q487">
        <v>5.4921231391819626E-2</v>
      </c>
      <c r="R487">
        <v>449.970748962</v>
      </c>
      <c r="S487" t="s">
        <v>266</v>
      </c>
      <c r="T487" t="s">
        <v>93</v>
      </c>
      <c r="U487">
        <v>2.5</v>
      </c>
      <c r="V487" t="s">
        <v>267</v>
      </c>
      <c r="W487" t="s">
        <v>142</v>
      </c>
      <c r="X487" t="s">
        <v>150</v>
      </c>
      <c r="Y487" s="23" t="s">
        <v>151</v>
      </c>
      <c r="AA487">
        <v>4553</v>
      </c>
      <c r="AB487" t="s">
        <v>2062</v>
      </c>
      <c r="AC487" t="s">
        <v>2056</v>
      </c>
      <c r="AD487" s="2">
        <v>3</v>
      </c>
      <c r="AE487" s="2" t="s">
        <v>70</v>
      </c>
      <c r="AF487" t="str">
        <f>_xlfn.CONCAT(FINI_grouping_for_wheel[[#This Row],[SEFI/Plant]],"/",IF(FINI_grouping_for_wheel[[#This Row],[RESET recipe combination]]&lt;&gt;"",FINI_grouping_for_wheel[[#This Row],[RESET recipe combination]],FINI_grouping_for_wheel[[#This Row],[Recipe Combination]]),"/",FINI_grouping_for_wheel[[#This Row],[Subgroup]])</f>
        <v>4830710/THDP/x/3</v>
      </c>
      <c r="AG4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0.02621955426757745</v>
      </c>
      <c r="AH487">
        <f>_xlfn.LET(_xlpm.pct, FINI_grouping_for_wheel[[#This Row],[% forecast within subgroup]], _xlpm.lote, FINI_grouping_for_wheel[[#This Row],[Lot size considered]], _xlpm.pct*_xlpm.lote)</f>
        <v>214.81733333781824</v>
      </c>
      <c r="AI487" cm="1">
        <f t="array" aca="1" ref="AI487" ca="1">IFERROR(INDIRECT("FINI_grouping_for_wheel[@["&amp;FINI_grouping_for_wheel[[#This Row],[Selected PV]]&amp;"]]"),"")</f>
        <v>110</v>
      </c>
      <c r="AJ48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0.4</v>
      </c>
      <c r="AL487" s="4"/>
      <c r="AM48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110</v>
      </c>
      <c r="AN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8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87" t="str">
        <f>_xlfn.CONCAT(FINI_grouping_for_wheel[[#This Row],[Recipe Combination]],FINI_grouping_for_wheel[[#This Row],[Subgroup]])</f>
        <v>13</v>
      </c>
    </row>
    <row r="488" spans="1:55" hidden="1">
      <c r="A488" t="s">
        <v>10</v>
      </c>
      <c r="B488">
        <v>4830710</v>
      </c>
      <c r="C488" t="s">
        <v>2052</v>
      </c>
      <c r="D488">
        <v>8193.02003175</v>
      </c>
      <c r="E488">
        <v>58</v>
      </c>
      <c r="F488">
        <v>1.1599999999999999</v>
      </c>
      <c r="G488" t="s">
        <v>2063</v>
      </c>
      <c r="H488" t="s">
        <v>2064</v>
      </c>
      <c r="I488">
        <v>480</v>
      </c>
      <c r="J488" t="s">
        <v>90</v>
      </c>
      <c r="K488" t="s">
        <v>515</v>
      </c>
      <c r="L488" t="s">
        <v>516</v>
      </c>
      <c r="M488">
        <v>1266.77835</v>
      </c>
      <c r="N488">
        <v>5.0671134</v>
      </c>
      <c r="O488">
        <v>1266.77835</v>
      </c>
      <c r="P488">
        <v>468528.03594</v>
      </c>
      <c r="Q488">
        <v>1</v>
      </c>
      <c r="R488">
        <v>8193.02003175</v>
      </c>
      <c r="S488" t="s">
        <v>990</v>
      </c>
      <c r="T488" t="s">
        <v>93</v>
      </c>
      <c r="U488">
        <v>5</v>
      </c>
      <c r="V488" t="s">
        <v>518</v>
      </c>
      <c r="W488" t="s">
        <v>142</v>
      </c>
      <c r="X488" t="s">
        <v>150</v>
      </c>
      <c r="Y488" s="23" t="s">
        <v>151</v>
      </c>
      <c r="AA488">
        <v>1617</v>
      </c>
      <c r="AB488" t="s">
        <v>2065</v>
      </c>
      <c r="AC488" t="s">
        <v>2056</v>
      </c>
      <c r="AD488" s="2">
        <v>3</v>
      </c>
      <c r="AE488" s="2" t="s">
        <v>70</v>
      </c>
      <c r="AF488" t="str">
        <f>_xlfn.CONCAT(FINI_grouping_for_wheel[[#This Row],[SEFI/Plant]],"/",IF(FINI_grouping_for_wheel[[#This Row],[RESET recipe combination]]&lt;&gt;"",FINI_grouping_for_wheel[[#This Row],[RESET recipe combination]],FINI_grouping_for_wheel[[#This Row],[Recipe Combination]]),"/",FINI_grouping_for_wheel[[#This Row],[Subgroup]])</f>
        <v>4830710/THDP/x/3</v>
      </c>
      <c r="AG4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0.07382874491133651</v>
      </c>
      <c r="AH488">
        <f>_xlfn.LET(_xlpm.pct, FINI_grouping_for_wheel[[#This Row],[% forecast within subgroup]], _xlpm.lote, FINI_grouping_for_wheel[[#This Row],[Lot size considered]], _xlpm.pct*_xlpm.lote)</f>
        <v>604.8803859775409</v>
      </c>
      <c r="AI488" cm="1">
        <f t="array" aca="1" ref="AI488" ca="1">IFERROR(INDIRECT("FINI_grouping_for_wheel[@["&amp;FINI_grouping_for_wheel[[#This Row],[Selected PV]]&amp;"]]"),"")</f>
        <v>110</v>
      </c>
      <c r="AJ48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v>
      </c>
      <c r="AL488" s="4"/>
      <c r="AM48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110</v>
      </c>
      <c r="AN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8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88" t="str">
        <f>_xlfn.CONCAT(FINI_grouping_for_wheel[[#This Row],[Recipe Combination]],FINI_grouping_for_wheel[[#This Row],[Subgroup]])</f>
        <v>23</v>
      </c>
    </row>
    <row r="489" spans="1:55" hidden="1">
      <c r="A489" t="s">
        <v>10</v>
      </c>
      <c r="B489">
        <v>4830710</v>
      </c>
      <c r="C489" t="s">
        <v>2052</v>
      </c>
      <c r="D489">
        <v>8193.02003175</v>
      </c>
      <c r="E489">
        <v>58</v>
      </c>
      <c r="F489">
        <v>1.1599999999999999</v>
      </c>
      <c r="G489" t="s">
        <v>2066</v>
      </c>
      <c r="H489" t="s">
        <v>2067</v>
      </c>
      <c r="I489">
        <v>405</v>
      </c>
      <c r="J489" t="s">
        <v>90</v>
      </c>
      <c r="K489" t="s">
        <v>406</v>
      </c>
      <c r="L489" t="s">
        <v>407</v>
      </c>
      <c r="M489">
        <v>18415.642275</v>
      </c>
      <c r="N489">
        <v>73.6625691</v>
      </c>
      <c r="O489">
        <v>30793.36905</v>
      </c>
      <c r="P489">
        <v>468528.03594</v>
      </c>
      <c r="Q489">
        <v>0.59803921568627449</v>
      </c>
      <c r="R489">
        <v>4899.74727389</v>
      </c>
      <c r="S489" t="s">
        <v>118</v>
      </c>
      <c r="T489" t="s">
        <v>93</v>
      </c>
      <c r="U489">
        <v>15</v>
      </c>
      <c r="V489" t="s">
        <v>408</v>
      </c>
      <c r="W489" t="s">
        <v>142</v>
      </c>
      <c r="X489" t="s">
        <v>96</v>
      </c>
      <c r="Y489" s="23" t="s">
        <v>97</v>
      </c>
      <c r="AA489">
        <v>111</v>
      </c>
      <c r="AB489" t="s">
        <v>2068</v>
      </c>
      <c r="AC489" t="s">
        <v>2056</v>
      </c>
      <c r="AD489" s="2">
        <v>6</v>
      </c>
      <c r="AE489" s="2" t="s">
        <v>70</v>
      </c>
      <c r="AF489" t="str">
        <f>_xlfn.CONCAT(FINI_grouping_for_wheel[[#This Row],[SEFI/Plant]],"/",IF(FINI_grouping_for_wheel[[#This Row],[RESET recipe combination]]&lt;&gt;"",FINI_grouping_for_wheel[[#This Row],[RESET recipe combination]],FINI_grouping_for_wheel[[#This Row],[Recipe Combination]]),"/",FINI_grouping_for_wheel[[#This Row],[Subgroup]])</f>
        <v>4830710/THDP/x/6</v>
      </c>
      <c r="AG4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0.5980392156862745</v>
      </c>
      <c r="AH489">
        <f>_xlfn.LET(_xlpm.pct, FINI_grouping_for_wheel[[#This Row],[% forecast within subgroup]], _xlpm.lote, FINI_grouping_for_wheel[[#This Row],[Lot size considered]], _xlpm.pct*_xlpm.lote)</f>
        <v>4899.747273889706</v>
      </c>
      <c r="AI489" cm="1">
        <f t="array" aca="1" ref="AI489" ca="1">IFERROR(INDIRECT("FINI_grouping_for_wheel[@["&amp;FINI_grouping_for_wheel[[#This Row],[Selected PV]]&amp;"]]"),"")</f>
        <v>61</v>
      </c>
      <c r="AJ48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13.1</v>
      </c>
      <c r="AL489" s="4"/>
      <c r="AM48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61</v>
      </c>
      <c r="AN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8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89" t="str">
        <f>_xlfn.CONCAT(FINI_grouping_for_wheel[[#This Row],[Recipe Combination]],FINI_grouping_for_wheel[[#This Row],[Subgroup]])</f>
        <v>A6</v>
      </c>
    </row>
    <row r="490" spans="1:55" hidden="1">
      <c r="A490" t="s">
        <v>10</v>
      </c>
      <c r="B490">
        <v>4830710</v>
      </c>
      <c r="C490" t="s">
        <v>2052</v>
      </c>
      <c r="D490">
        <v>8193.02003175</v>
      </c>
      <c r="E490">
        <v>58</v>
      </c>
      <c r="F490">
        <v>1.1599999999999999</v>
      </c>
      <c r="G490" t="s">
        <v>2069</v>
      </c>
      <c r="H490" t="s">
        <v>2070</v>
      </c>
      <c r="I490">
        <v>405</v>
      </c>
      <c r="J490" t="s">
        <v>90</v>
      </c>
      <c r="K490" t="s">
        <v>406</v>
      </c>
      <c r="L490" t="s">
        <v>407</v>
      </c>
      <c r="M490">
        <v>12377.726775</v>
      </c>
      <c r="N490">
        <v>49.5109071</v>
      </c>
      <c r="O490">
        <v>30793.36905</v>
      </c>
      <c r="P490">
        <v>468528.03594</v>
      </c>
      <c r="Q490">
        <v>0.40196078431372551</v>
      </c>
      <c r="R490">
        <v>3293.27275786</v>
      </c>
      <c r="S490" t="s">
        <v>118</v>
      </c>
      <c r="T490" t="s">
        <v>93</v>
      </c>
      <c r="U490">
        <v>15</v>
      </c>
      <c r="V490" t="s">
        <v>408</v>
      </c>
      <c r="W490" t="s">
        <v>142</v>
      </c>
      <c r="X490" t="s">
        <v>96</v>
      </c>
      <c r="Y490" s="23" t="s">
        <v>97</v>
      </c>
      <c r="AA490">
        <v>165</v>
      </c>
      <c r="AB490" t="s">
        <v>2071</v>
      </c>
      <c r="AC490" t="s">
        <v>2056</v>
      </c>
      <c r="AD490" s="2">
        <v>6</v>
      </c>
      <c r="AE490" s="2" t="s">
        <v>70</v>
      </c>
      <c r="AF490" t="str">
        <f>_xlfn.CONCAT(FINI_grouping_for_wheel[[#This Row],[SEFI/Plant]],"/",IF(FINI_grouping_for_wheel[[#This Row],[RESET recipe combination]]&lt;&gt;"",FINI_grouping_for_wheel[[#This Row],[RESET recipe combination]],FINI_grouping_for_wheel[[#This Row],[Recipe Combination]]),"/",FINI_grouping_for_wheel[[#This Row],[Subgroup]])</f>
        <v>4830710/THDP/x/6</v>
      </c>
      <c r="AG4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0.4019607843137255</v>
      </c>
      <c r="AH490">
        <f>_xlfn.LET(_xlpm.pct, FINI_grouping_for_wheel[[#This Row],[% forecast within subgroup]], _xlpm.lote, FINI_grouping_for_wheel[[#This Row],[Lot size considered]], _xlpm.pct*_xlpm.lote)</f>
        <v>3293.2727578602944</v>
      </c>
      <c r="AI490" cm="1">
        <f t="array" aca="1" ref="AI490" ca="1">IFERROR(INDIRECT("FINI_grouping_for_wheel[@["&amp;FINI_grouping_for_wheel[[#This Row],[Selected PV]]&amp;"]]"),"")</f>
        <v>61</v>
      </c>
      <c r="AJ49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8.8</v>
      </c>
      <c r="AL490" s="4"/>
      <c r="AM49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61</v>
      </c>
      <c r="AN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9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90" t="str">
        <f>_xlfn.CONCAT(FINI_grouping_for_wheel[[#This Row],[Recipe Combination]],FINI_grouping_for_wheel[[#This Row],[Subgroup]])</f>
        <v>A6</v>
      </c>
    </row>
    <row r="491" spans="1:55" hidden="1">
      <c r="A491" t="s">
        <v>10</v>
      </c>
      <c r="B491">
        <v>4830710</v>
      </c>
      <c r="C491" t="s">
        <v>2052</v>
      </c>
      <c r="D491">
        <v>8193.02003175</v>
      </c>
      <c r="E491">
        <v>58</v>
      </c>
      <c r="F491">
        <v>1.1599999999999999</v>
      </c>
      <c r="G491" t="s">
        <v>2072</v>
      </c>
      <c r="H491" t="s">
        <v>2073</v>
      </c>
      <c r="I491">
        <v>300</v>
      </c>
      <c r="J491" t="s">
        <v>90</v>
      </c>
      <c r="K491" t="s">
        <v>552</v>
      </c>
      <c r="L491" t="s">
        <v>553</v>
      </c>
      <c r="M491">
        <v>17681.621175</v>
      </c>
      <c r="N491">
        <v>70.7264847</v>
      </c>
      <c r="O491">
        <v>17681.621175</v>
      </c>
      <c r="P491">
        <v>468528.03594</v>
      </c>
      <c r="Q491">
        <v>1</v>
      </c>
      <c r="R491">
        <v>8193.02003175</v>
      </c>
      <c r="S491" t="s">
        <v>294</v>
      </c>
      <c r="T491" t="s">
        <v>93</v>
      </c>
      <c r="U491">
        <v>12.5</v>
      </c>
      <c r="V491" t="s">
        <v>295</v>
      </c>
      <c r="W491" t="s">
        <v>142</v>
      </c>
      <c r="X491" t="s">
        <v>128</v>
      </c>
      <c r="Y491" s="23" t="s">
        <v>120</v>
      </c>
      <c r="AA491">
        <v>116</v>
      </c>
      <c r="AB491" t="s">
        <v>2074</v>
      </c>
      <c r="AC491" t="s">
        <v>2056</v>
      </c>
      <c r="AD491" s="2">
        <v>7</v>
      </c>
      <c r="AE491" s="2" t="s">
        <v>70</v>
      </c>
      <c r="AF491" t="str">
        <f>_xlfn.CONCAT(FINI_grouping_for_wheel[[#This Row],[SEFI/Plant]],"/",IF(FINI_grouping_for_wheel[[#This Row],[RESET recipe combination]]&lt;&gt;"",FINI_grouping_for_wheel[[#This Row],[RESET recipe combination]],FINI_grouping_for_wheel[[#This Row],[Recipe Combination]]),"/",FINI_grouping_for_wheel[[#This Row],[Subgroup]])</f>
        <v>4830710/THDP/x/7</v>
      </c>
      <c r="AG4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0.5535581912527798</v>
      </c>
      <c r="AH491">
        <f>_xlfn.LET(_xlpm.pct, FINI_grouping_for_wheel[[#This Row],[% forecast within subgroup]], _xlpm.lote, FINI_grouping_for_wheel[[#This Row],[Lot size considered]], _xlpm.pct*_xlpm.lote)</f>
        <v>4535.313349673323</v>
      </c>
      <c r="AI491" cm="1">
        <f t="array" aca="1" ref="AI491" ca="1">IFERROR(INDIRECT("FINI_grouping_for_wheel[@["&amp;FINI_grouping_for_wheel[[#This Row],[Selected PV]]&amp;"]]"),"")</f>
        <v>59</v>
      </c>
      <c r="AJ49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16.4</v>
      </c>
      <c r="AL491" s="4"/>
      <c r="AM49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59</v>
      </c>
      <c r="AN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9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91" t="str">
        <f>_xlfn.CONCAT(FINI_grouping_for_wheel[[#This Row],[Recipe Combination]],FINI_grouping_for_wheel[[#This Row],[Subgroup]])</f>
        <v>C7</v>
      </c>
    </row>
    <row r="492" spans="1:55" hidden="1">
      <c r="A492" t="s">
        <v>10</v>
      </c>
      <c r="B492">
        <v>4830710</v>
      </c>
      <c r="C492" t="s">
        <v>2052</v>
      </c>
      <c r="D492">
        <v>8193.02003175</v>
      </c>
      <c r="E492">
        <v>58</v>
      </c>
      <c r="F492">
        <v>1.1599999999999999</v>
      </c>
      <c r="G492" t="s">
        <v>2075</v>
      </c>
      <c r="H492" t="s">
        <v>2076</v>
      </c>
      <c r="I492">
        <v>300</v>
      </c>
      <c r="J492" t="s">
        <v>90</v>
      </c>
      <c r="K492" t="s">
        <v>292</v>
      </c>
      <c r="L492" t="s">
        <v>293</v>
      </c>
      <c r="M492">
        <v>125187.298605</v>
      </c>
      <c r="N492">
        <v>500.74919442</v>
      </c>
      <c r="O492">
        <v>125187.298605</v>
      </c>
      <c r="P492">
        <v>468528.03594</v>
      </c>
      <c r="Q492">
        <v>1</v>
      </c>
      <c r="R492">
        <v>8193.02003175</v>
      </c>
      <c r="S492" t="s">
        <v>1717</v>
      </c>
      <c r="T492" t="s">
        <v>93</v>
      </c>
      <c r="U492">
        <v>12.5</v>
      </c>
      <c r="V492" t="s">
        <v>295</v>
      </c>
      <c r="W492" t="s">
        <v>142</v>
      </c>
      <c r="X492" t="s">
        <v>128</v>
      </c>
      <c r="Y492" s="23" t="s">
        <v>120</v>
      </c>
      <c r="AA492">
        <v>16</v>
      </c>
      <c r="AB492" t="s">
        <v>2077</v>
      </c>
      <c r="AC492" t="s">
        <v>2056</v>
      </c>
      <c r="AD492" s="2">
        <v>1</v>
      </c>
      <c r="AE492" s="2" t="s">
        <v>70</v>
      </c>
      <c r="AF492" t="str">
        <f>_xlfn.CONCAT(FINI_grouping_for_wheel[[#This Row],[SEFI/Plant]],"/",IF(FINI_grouping_for_wheel[[#This Row],[RESET recipe combination]]&lt;&gt;"",FINI_grouping_for_wheel[[#This Row],[RESET recipe combination]],FINI_grouping_for_wheel[[#This Row],[Recipe Combination]]),"/",FINI_grouping_for_wheel[[#This Row],[Subgroup]])</f>
        <v>4830710/THDP/x/1</v>
      </c>
      <c r="AG4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492">
        <f>_xlfn.LET(_xlpm.pct, FINI_grouping_for_wheel[[#This Row],[% forecast within subgroup]], _xlpm.lote, FINI_grouping_for_wheel[[#This Row],[Lot size considered]], _xlpm.pct*_xlpm.lote)</f>
        <v>8193.02003175</v>
      </c>
      <c r="AI492" cm="1">
        <f t="array" aca="1" ref="AI492" ca="1">IFERROR(INDIRECT("FINI_grouping_for_wheel[@["&amp;FINI_grouping_for_wheel[[#This Row],[Selected PV]]&amp;"]]"),"")</f>
        <v>15</v>
      </c>
      <c r="AJ49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29.6</v>
      </c>
      <c r="AL492" s="4"/>
      <c r="AM49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v>
      </c>
      <c r="AN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9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92" t="str">
        <f>_xlfn.CONCAT(FINI_grouping_for_wheel[[#This Row],[Recipe Combination]],FINI_grouping_for_wheel[[#This Row],[Subgroup]])</f>
        <v>D1</v>
      </c>
    </row>
    <row r="493" spans="1:55" hidden="1">
      <c r="A493" t="s">
        <v>10</v>
      </c>
      <c r="B493">
        <v>4830710</v>
      </c>
      <c r="C493" t="s">
        <v>2052</v>
      </c>
      <c r="D493">
        <v>8193.02003175</v>
      </c>
      <c r="E493">
        <v>58</v>
      </c>
      <c r="F493">
        <v>1.1599999999999999</v>
      </c>
      <c r="G493" t="s">
        <v>2078</v>
      </c>
      <c r="H493" t="s">
        <v>2079</v>
      </c>
      <c r="I493">
        <v>280</v>
      </c>
      <c r="J493" t="s">
        <v>90</v>
      </c>
      <c r="K493" t="s">
        <v>140</v>
      </c>
      <c r="L493" t="s">
        <v>141</v>
      </c>
      <c r="M493">
        <v>20801.21085</v>
      </c>
      <c r="N493">
        <v>83.2048434</v>
      </c>
      <c r="O493">
        <v>24382.523475</v>
      </c>
      <c r="P493">
        <v>468528.03594</v>
      </c>
      <c r="Q493">
        <v>0.8531196892449624</v>
      </c>
      <c r="R493">
        <v>6989.62670346</v>
      </c>
      <c r="S493" t="s">
        <v>126</v>
      </c>
      <c r="T493" t="s">
        <v>93</v>
      </c>
      <c r="U493">
        <v>5</v>
      </c>
      <c r="V493" t="s">
        <v>135</v>
      </c>
      <c r="W493" t="s">
        <v>142</v>
      </c>
      <c r="X493" t="s">
        <v>128</v>
      </c>
      <c r="Y493" s="23" t="s">
        <v>136</v>
      </c>
      <c r="AA493">
        <v>98</v>
      </c>
      <c r="AB493" t="s">
        <v>2080</v>
      </c>
      <c r="AC493" t="s">
        <v>2056</v>
      </c>
      <c r="AD493" s="2">
        <v>5</v>
      </c>
      <c r="AE493" s="2" t="s">
        <v>70</v>
      </c>
      <c r="AF493" t="str">
        <f>_xlfn.CONCAT(FINI_grouping_for_wheel[[#This Row],[SEFI/Plant]],"/",IF(FINI_grouping_for_wheel[[#This Row],[RESET recipe combination]]&lt;&gt;"",FINI_grouping_for_wheel[[#This Row],[RESET recipe combination]],FINI_grouping_for_wheel[[#This Row],[Recipe Combination]]),"/",FINI_grouping_for_wheel[[#This Row],[Subgroup]])</f>
        <v>4830710/THDP/x/5</v>
      </c>
      <c r="AG4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0.8531196892449624</v>
      </c>
      <c r="AH493">
        <f>_xlfn.LET(_xlpm.pct, FINI_grouping_for_wheel[[#This Row],[% forecast within subgroup]], _xlpm.lote, FINI_grouping_for_wheel[[#This Row],[Lot size considered]], _xlpm.pct*_xlpm.lote)</f>
        <v>6989.626703464312</v>
      </c>
      <c r="AI493" cm="1">
        <f t="array" aca="1" ref="AI493" ca="1">IFERROR(INDIRECT("FINI_grouping_for_wheel[@["&amp;FINI_grouping_for_wheel[[#This Row],[Selected PV]]&amp;"]]"),"")</f>
        <v>77</v>
      </c>
      <c r="AJ49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27.1</v>
      </c>
      <c r="AL493" s="4"/>
      <c r="AM49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77</v>
      </c>
      <c r="AN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9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93" t="str">
        <f>_xlfn.CONCAT(FINI_grouping_for_wheel[[#This Row],[Recipe Combination]],FINI_grouping_for_wheel[[#This Row],[Subgroup]])</f>
        <v>E5</v>
      </c>
    </row>
    <row r="494" spans="1:55" hidden="1">
      <c r="A494" t="s">
        <v>10</v>
      </c>
      <c r="B494">
        <v>4830710</v>
      </c>
      <c r="C494" t="s">
        <v>2052</v>
      </c>
      <c r="D494">
        <v>8193.02003175</v>
      </c>
      <c r="E494">
        <v>58</v>
      </c>
      <c r="F494">
        <v>1.1599999999999999</v>
      </c>
      <c r="G494" t="s">
        <v>2081</v>
      </c>
      <c r="H494" t="s">
        <v>2082</v>
      </c>
      <c r="I494">
        <v>280</v>
      </c>
      <c r="J494" t="s">
        <v>90</v>
      </c>
      <c r="K494" t="s">
        <v>140</v>
      </c>
      <c r="L494" t="s">
        <v>141</v>
      </c>
      <c r="M494">
        <v>3581.312625</v>
      </c>
      <c r="N494">
        <v>14.3252505</v>
      </c>
      <c r="O494">
        <v>24382.523475</v>
      </c>
      <c r="P494">
        <v>468528.03594</v>
      </c>
      <c r="Q494">
        <v>0.14688031075503763</v>
      </c>
      <c r="R494">
        <v>1203.39332829</v>
      </c>
      <c r="S494" t="s">
        <v>126</v>
      </c>
      <c r="T494" t="s">
        <v>93</v>
      </c>
      <c r="U494">
        <v>5</v>
      </c>
      <c r="V494" t="s">
        <v>135</v>
      </c>
      <c r="W494" t="s">
        <v>142</v>
      </c>
      <c r="X494" t="s">
        <v>128</v>
      </c>
      <c r="Y494" s="23" t="s">
        <v>136</v>
      </c>
      <c r="AA494">
        <v>572</v>
      </c>
      <c r="AB494" t="s">
        <v>2083</v>
      </c>
      <c r="AC494" t="s">
        <v>2056</v>
      </c>
      <c r="AD494" s="2">
        <v>5</v>
      </c>
      <c r="AE494" s="2" t="s">
        <v>70</v>
      </c>
      <c r="AF494" t="str">
        <f>_xlfn.CONCAT(FINI_grouping_for_wheel[[#This Row],[SEFI/Plant]],"/",IF(FINI_grouping_for_wheel[[#This Row],[RESET recipe combination]]&lt;&gt;"",FINI_grouping_for_wheel[[#This Row],[RESET recipe combination]],FINI_grouping_for_wheel[[#This Row],[Recipe Combination]]),"/",FINI_grouping_for_wheel[[#This Row],[Subgroup]])</f>
        <v>4830710/THDP/x/5</v>
      </c>
      <c r="AG4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0.14688031075503763</v>
      </c>
      <c r="AH494">
        <f>_xlfn.LET(_xlpm.pct, FINI_grouping_for_wheel[[#This Row],[% forecast within subgroup]], _xlpm.lote, FINI_grouping_for_wheel[[#This Row],[Lot size considered]], _xlpm.pct*_xlpm.lote)</f>
        <v>1203.3933282856883</v>
      </c>
      <c r="AI494" cm="1">
        <f t="array" aca="1" ref="AI494" ca="1">IFERROR(INDIRECT("FINI_grouping_for_wheel[@["&amp;FINI_grouping_for_wheel[[#This Row],[Selected PV]]&amp;"]]"),"")</f>
        <v>77</v>
      </c>
      <c r="AJ49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4.7</v>
      </c>
      <c r="AL494" s="4"/>
      <c r="AM49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77</v>
      </c>
      <c r="AN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9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94" t="str">
        <f>_xlfn.CONCAT(FINI_grouping_for_wheel[[#This Row],[Recipe Combination]],FINI_grouping_for_wheel[[#This Row],[Subgroup]])</f>
        <v>E5</v>
      </c>
    </row>
    <row r="495" spans="1:55" hidden="1">
      <c r="A495" t="s">
        <v>10</v>
      </c>
      <c r="B495">
        <v>4830710</v>
      </c>
      <c r="C495" t="s">
        <v>2052</v>
      </c>
      <c r="D495">
        <v>8193.02003175</v>
      </c>
      <c r="E495">
        <v>58</v>
      </c>
      <c r="F495">
        <v>1.1599999999999999</v>
      </c>
      <c r="G495" t="s">
        <v>2084</v>
      </c>
      <c r="H495" t="s">
        <v>2085</v>
      </c>
      <c r="I495">
        <v>330</v>
      </c>
      <c r="J495" t="s">
        <v>90</v>
      </c>
      <c r="K495" t="s">
        <v>912</v>
      </c>
      <c r="L495" t="s">
        <v>913</v>
      </c>
      <c r="M495">
        <v>7700.11812</v>
      </c>
      <c r="N495">
        <v>30.80047248</v>
      </c>
      <c r="O495">
        <v>7700.11812</v>
      </c>
      <c r="P495">
        <v>468528.03594</v>
      </c>
      <c r="Q495">
        <v>1</v>
      </c>
      <c r="R495">
        <v>8193.02003175</v>
      </c>
      <c r="S495" t="s">
        <v>914</v>
      </c>
      <c r="T495" t="s">
        <v>93</v>
      </c>
      <c r="U495">
        <v>1</v>
      </c>
      <c r="V495" t="s">
        <v>505</v>
      </c>
      <c r="W495" t="s">
        <v>142</v>
      </c>
      <c r="X495" t="s">
        <v>150</v>
      </c>
      <c r="Y495" s="23" t="s">
        <v>151</v>
      </c>
      <c r="AA495">
        <v>266</v>
      </c>
      <c r="AB495" t="s">
        <v>2086</v>
      </c>
      <c r="AC495" t="s">
        <v>2056</v>
      </c>
      <c r="AD495" s="2">
        <v>3</v>
      </c>
      <c r="AE495" s="2" t="s">
        <v>70</v>
      </c>
      <c r="AF495" t="str">
        <f>_xlfn.CONCAT(FINI_grouping_for_wheel[[#This Row],[SEFI/Plant]],"/",IF(FINI_grouping_for_wheel[[#This Row],[RESET recipe combination]]&lt;&gt;"",FINI_grouping_for_wheel[[#This Row],[RESET recipe combination]],FINI_grouping_for_wheel[[#This Row],[Recipe Combination]]),"/",FINI_grouping_for_wheel[[#This Row],[Subgroup]])</f>
        <v>4830710/THDP/x/3</v>
      </c>
      <c r="AG4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0.44876837093769406</v>
      </c>
      <c r="AH495">
        <f>_xlfn.LET(_xlpm.pct, FINI_grouping_for_wheel[[#This Row],[% forecast within subgroup]], _xlpm.lote, FINI_grouping_for_wheel[[#This Row],[Lot size considered]], _xlpm.pct*_xlpm.lote)</f>
        <v>3676.768252708342</v>
      </c>
      <c r="AI495" cm="1">
        <f t="array" aca="1" ref="AI495" ca="1">IFERROR(INDIRECT("FINI_grouping_for_wheel[@["&amp;FINI_grouping_for_wheel[[#This Row],[Selected PV]]&amp;"]]"),"")</f>
        <v>110</v>
      </c>
      <c r="AJ49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12.1</v>
      </c>
      <c r="AL495" s="4"/>
      <c r="AM49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110</v>
      </c>
      <c r="AN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9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95" t="str">
        <f>_xlfn.CONCAT(FINI_grouping_for_wheel[[#This Row],[Recipe Combination]],FINI_grouping_for_wheel[[#This Row],[Subgroup]])</f>
        <v>G3</v>
      </c>
    </row>
    <row r="496" spans="1:55" hidden="1">
      <c r="A496" t="s">
        <v>10</v>
      </c>
      <c r="B496">
        <v>4830710</v>
      </c>
      <c r="C496" t="s">
        <v>2052</v>
      </c>
      <c r="D496">
        <v>8193.02003175</v>
      </c>
      <c r="E496">
        <v>58</v>
      </c>
      <c r="F496">
        <v>1.1599999999999999</v>
      </c>
      <c r="G496" t="s">
        <v>2087</v>
      </c>
      <c r="H496" t="s">
        <v>2088</v>
      </c>
      <c r="I496">
        <v>300</v>
      </c>
      <c r="J496" t="s">
        <v>90</v>
      </c>
      <c r="K496" t="s">
        <v>188</v>
      </c>
      <c r="L496" t="s">
        <v>189</v>
      </c>
      <c r="M496">
        <v>1420.686</v>
      </c>
      <c r="N496">
        <v>5.682744</v>
      </c>
      <c r="O496">
        <v>8103.829725</v>
      </c>
      <c r="P496">
        <v>468528.03594</v>
      </c>
      <c r="Q496">
        <v>0.17531044558071585</v>
      </c>
      <c r="R496">
        <v>1436.32199242</v>
      </c>
      <c r="S496" t="s">
        <v>173</v>
      </c>
      <c r="T496" t="s">
        <v>93</v>
      </c>
      <c r="U496">
        <v>5</v>
      </c>
      <c r="V496" t="s">
        <v>119</v>
      </c>
      <c r="W496" t="s">
        <v>142</v>
      </c>
      <c r="X496" t="s">
        <v>96</v>
      </c>
      <c r="Y496" s="23" t="s">
        <v>120</v>
      </c>
      <c r="AA496">
        <v>1442</v>
      </c>
      <c r="AB496" t="s">
        <v>2089</v>
      </c>
      <c r="AC496" t="s">
        <v>2056</v>
      </c>
      <c r="AD496" s="28">
        <v>8</v>
      </c>
      <c r="AE496" s="2" t="s">
        <v>70</v>
      </c>
      <c r="AF496" t="str">
        <f>_xlfn.CONCAT(FINI_grouping_for_wheel[[#This Row],[SEFI/Plant]],"/",IF(FINI_grouping_for_wheel[[#This Row],[RESET recipe combination]]&lt;&gt;"",FINI_grouping_for_wheel[[#This Row],[RESET recipe combination]],FINI_grouping_for_wheel[[#This Row],[Recipe Combination]]),"/",FINI_grouping_for_wheel[[#This Row],[Subgroup]])</f>
        <v>4830710/THDP/x/8</v>
      </c>
      <c r="AG4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0.33195020746887965</v>
      </c>
      <c r="AH496">
        <f>_xlfn.LET(_xlpm.pct, FINI_grouping_for_wheel[[#This Row],[% forecast within subgroup]], _xlpm.lote, FINI_grouping_for_wheel[[#This Row],[Lot size considered]], _xlpm.pct*_xlpm.lote)</f>
        <v>2719.6746993360994</v>
      </c>
      <c r="AI496" cm="1">
        <f t="array" aca="1" ref="AI496" ca="1">IFERROR(INDIRECT("FINI_grouping_for_wheel[@["&amp;FINI_grouping_for_wheel[[#This Row],[Selected PV]]&amp;"]]"),"")</f>
        <v>441</v>
      </c>
      <c r="AJ49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9.8</v>
      </c>
      <c r="AL496" s="4"/>
      <c r="AM49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441</v>
      </c>
      <c r="AN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9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96" t="str">
        <f>_xlfn.CONCAT(FINI_grouping_for_wheel[[#This Row],[Recipe Combination]],FINI_grouping_for_wheel[[#This Row],[Subgroup]])</f>
        <v>P8</v>
      </c>
    </row>
    <row r="497" spans="1:55" hidden="1">
      <c r="A497" t="s">
        <v>10</v>
      </c>
      <c r="B497">
        <v>4830710</v>
      </c>
      <c r="C497" t="s">
        <v>2052</v>
      </c>
      <c r="D497">
        <v>8193.02003175</v>
      </c>
      <c r="E497">
        <v>58</v>
      </c>
      <c r="F497">
        <v>1.1599999999999999</v>
      </c>
      <c r="G497" t="s">
        <v>2090</v>
      </c>
      <c r="H497" t="s">
        <v>2091</v>
      </c>
      <c r="I497">
        <v>300</v>
      </c>
      <c r="J497" t="s">
        <v>90</v>
      </c>
      <c r="K497" t="s">
        <v>254</v>
      </c>
      <c r="L497" t="s">
        <v>255</v>
      </c>
      <c r="M497">
        <v>574.193925</v>
      </c>
      <c r="N497">
        <v>2.2967757</v>
      </c>
      <c r="O497">
        <v>8103.829725</v>
      </c>
      <c r="P497">
        <v>468528.03594</v>
      </c>
      <c r="Q497">
        <v>7.085463842220599E-2</v>
      </c>
      <c r="R497">
        <v>580.513471936</v>
      </c>
      <c r="S497" t="s">
        <v>173</v>
      </c>
      <c r="T497" t="s">
        <v>93</v>
      </c>
      <c r="U497">
        <v>5</v>
      </c>
      <c r="V497" t="s">
        <v>119</v>
      </c>
      <c r="W497" t="s">
        <v>95</v>
      </c>
      <c r="X497" t="s">
        <v>96</v>
      </c>
      <c r="Y497" s="23" t="s">
        <v>120</v>
      </c>
      <c r="AA497">
        <v>3567</v>
      </c>
      <c r="AB497" t="s">
        <v>2092</v>
      </c>
      <c r="AC497" t="s">
        <v>2056</v>
      </c>
      <c r="AD497" s="28">
        <v>8</v>
      </c>
      <c r="AE497" s="2" t="s">
        <v>70</v>
      </c>
      <c r="AF497" t="str">
        <f>_xlfn.CONCAT(FINI_grouping_for_wheel[[#This Row],[SEFI/Plant]],"/",IF(FINI_grouping_for_wheel[[#This Row],[RESET recipe combination]]&lt;&gt;"",FINI_grouping_for_wheel[[#This Row],[RESET recipe combination]],FINI_grouping_for_wheel[[#This Row],[Recipe Combination]]),"/",FINI_grouping_for_wheel[[#This Row],[Subgroup]])</f>
        <v>4830710/THDP/x/8</v>
      </c>
      <c r="AG4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0.13416320885200556</v>
      </c>
      <c r="AH497">
        <f>_xlfn.LET(_xlpm.pct, FINI_grouping_for_wheel[[#This Row],[% forecast within subgroup]], _xlpm.lote, FINI_grouping_for_wheel[[#This Row],[Lot size considered]], _xlpm.pct*_xlpm.lote)</f>
        <v>1099.2018576483404</v>
      </c>
      <c r="AI497" cm="1">
        <f t="array" aca="1" ref="AI497" ca="1">IFERROR(INDIRECT("FINI_grouping_for_wheel[@["&amp;FINI_grouping_for_wheel[[#This Row],[Selected PV]]&amp;"]]"),"")</f>
        <v>441</v>
      </c>
      <c r="AJ49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v>
      </c>
      <c r="AL497" s="4"/>
      <c r="AM49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441</v>
      </c>
      <c r="AN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9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97" t="str">
        <f>_xlfn.CONCAT(FINI_grouping_for_wheel[[#This Row],[Recipe Combination]],FINI_grouping_for_wheel[[#This Row],[Subgroup]])</f>
        <v>P8</v>
      </c>
    </row>
    <row r="498" spans="1:55" hidden="1">
      <c r="A498" t="s">
        <v>10</v>
      </c>
      <c r="B498">
        <v>4830710</v>
      </c>
      <c r="C498" t="s">
        <v>2052</v>
      </c>
      <c r="D498">
        <v>8193.02003175</v>
      </c>
      <c r="E498">
        <v>58</v>
      </c>
      <c r="F498">
        <v>1.1599999999999999</v>
      </c>
      <c r="G498" t="s">
        <v>2093</v>
      </c>
      <c r="H498" t="s">
        <v>2094</v>
      </c>
      <c r="I498">
        <v>300</v>
      </c>
      <c r="J498" t="s">
        <v>90</v>
      </c>
      <c r="K498" t="s">
        <v>188</v>
      </c>
      <c r="L498" t="s">
        <v>189</v>
      </c>
      <c r="M498">
        <v>2284.93665</v>
      </c>
      <c r="N498">
        <v>9.1397466</v>
      </c>
      <c r="O498">
        <v>8103.829725</v>
      </c>
      <c r="P498">
        <v>468528.03594</v>
      </c>
      <c r="Q498">
        <v>0.28195763330898466</v>
      </c>
      <c r="R498">
        <v>2310.08453781</v>
      </c>
      <c r="S498" t="s">
        <v>173</v>
      </c>
      <c r="T498" t="s">
        <v>93</v>
      </c>
      <c r="U498">
        <v>5</v>
      </c>
      <c r="V498" t="s">
        <v>119</v>
      </c>
      <c r="W498" t="s">
        <v>142</v>
      </c>
      <c r="X498" t="s">
        <v>96</v>
      </c>
      <c r="Y498" s="23" t="s">
        <v>120</v>
      </c>
      <c r="AA498">
        <v>896</v>
      </c>
      <c r="AB498" t="s">
        <v>2095</v>
      </c>
      <c r="AC498" t="s">
        <v>2056</v>
      </c>
      <c r="AD498" s="28">
        <v>8</v>
      </c>
      <c r="AE498" s="2" t="s">
        <v>70</v>
      </c>
      <c r="AF498" t="str">
        <f>_xlfn.CONCAT(FINI_grouping_for_wheel[[#This Row],[SEFI/Plant]],"/",IF(FINI_grouping_for_wheel[[#This Row],[RESET recipe combination]]&lt;&gt;"",FINI_grouping_for_wheel[[#This Row],[RESET recipe combination]],FINI_grouping_for_wheel[[#This Row],[Recipe Combination]]),"/",FINI_grouping_for_wheel[[#This Row],[Subgroup]])</f>
        <v>4830710/THDP/x/8</v>
      </c>
      <c r="AG4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0.5338865836791148</v>
      </c>
      <c r="AH498">
        <f>_xlfn.LET(_xlpm.pct, FINI_grouping_for_wheel[[#This Row],[% forecast within subgroup]], _xlpm.lote, FINI_grouping_for_wheel[[#This Row],[Lot size considered]], _xlpm.pct*_xlpm.lote)</f>
        <v>4374.14347476556</v>
      </c>
      <c r="AI498" cm="1">
        <f t="array" aca="1" ref="AI498" ca="1">IFERROR(INDIRECT("FINI_grouping_for_wheel[@["&amp;FINI_grouping_for_wheel[[#This Row],[Selected PV]]&amp;"]]"),"")</f>
        <v>441</v>
      </c>
      <c r="AJ49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15.8</v>
      </c>
      <c r="AL498" s="4"/>
      <c r="AM49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441</v>
      </c>
      <c r="AN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9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98" t="str">
        <f>_xlfn.CONCAT(FINI_grouping_for_wheel[[#This Row],[Recipe Combination]],FINI_grouping_for_wheel[[#This Row],[Subgroup]])</f>
        <v>P8</v>
      </c>
    </row>
    <row r="499" spans="1:55" hidden="1">
      <c r="A499" t="s">
        <v>10</v>
      </c>
      <c r="B499">
        <v>4830710</v>
      </c>
      <c r="C499" t="s">
        <v>2052</v>
      </c>
      <c r="D499">
        <v>8193.02003175</v>
      </c>
      <c r="E499">
        <v>58</v>
      </c>
      <c r="F499">
        <v>1.1599999999999999</v>
      </c>
      <c r="G499" t="s">
        <v>2096</v>
      </c>
      <c r="H499" t="s">
        <v>2097</v>
      </c>
      <c r="I499">
        <v>300</v>
      </c>
      <c r="J499" t="s">
        <v>90</v>
      </c>
      <c r="K499" t="s">
        <v>955</v>
      </c>
      <c r="L499" t="s">
        <v>956</v>
      </c>
      <c r="M499">
        <v>3824.01315</v>
      </c>
      <c r="N499">
        <v>15.2960526</v>
      </c>
      <c r="O499">
        <v>8103.829725</v>
      </c>
      <c r="P499">
        <v>468528.03594</v>
      </c>
      <c r="Q499">
        <v>0.47187728268809348</v>
      </c>
      <c r="R499">
        <v>3866.10002959</v>
      </c>
      <c r="S499" t="s">
        <v>173</v>
      </c>
      <c r="T499" t="s">
        <v>93</v>
      </c>
      <c r="U499">
        <v>5</v>
      </c>
      <c r="V499" t="s">
        <v>174</v>
      </c>
      <c r="W499" t="s">
        <v>142</v>
      </c>
      <c r="X499" t="s">
        <v>96</v>
      </c>
      <c r="Y499" s="23" t="s">
        <v>167</v>
      </c>
      <c r="AA499">
        <v>536</v>
      </c>
      <c r="AB499" t="s">
        <v>2098</v>
      </c>
      <c r="AC499" t="s">
        <v>2056</v>
      </c>
      <c r="AD499" s="2">
        <v>4</v>
      </c>
      <c r="AE499" s="2" t="s">
        <v>70</v>
      </c>
      <c r="AF499" t="str">
        <f>_xlfn.CONCAT(FINI_grouping_for_wheel[[#This Row],[SEFI/Plant]],"/",IF(FINI_grouping_for_wheel[[#This Row],[RESET recipe combination]]&lt;&gt;"",FINI_grouping_for_wheel[[#This Row],[RESET recipe combination]],FINI_grouping_for_wheel[[#This Row],[Recipe Combination]]),"/",FINI_grouping_for_wheel[[#This Row],[Subgroup]])</f>
        <v>4830710/THDP/x/4</v>
      </c>
      <c r="AG4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0.5221467830585192</v>
      </c>
      <c r="AH499">
        <f>_xlfn.LET(_xlpm.pct, FINI_grouping_for_wheel[[#This Row],[% forecast within subgroup]], _xlpm.lote, FINI_grouping_for_wheel[[#This Row],[Lot size considered]], _xlpm.pct*_xlpm.lote)</f>
        <v>4277.959053112269</v>
      </c>
      <c r="AI499" cm="1">
        <f t="array" aca="1" ref="AI499" ca="1">IFERROR(INDIRECT("FINI_grouping_for_wheel[@["&amp;FINI_grouping_for_wheel[[#This Row],[Selected PV]]&amp;"]]"),"")</f>
        <v>258</v>
      </c>
      <c r="AJ49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4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15.5</v>
      </c>
      <c r="AL499" s="4"/>
      <c r="AM49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258</v>
      </c>
      <c r="AN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4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49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499" t="str">
        <f>_xlfn.CONCAT(FINI_grouping_for_wheel[[#This Row],[Recipe Combination]],FINI_grouping_for_wheel[[#This Row],[Subgroup]])</f>
        <v>P4</v>
      </c>
    </row>
    <row r="500" spans="1:55" hidden="1">
      <c r="A500" t="s">
        <v>10</v>
      </c>
      <c r="B500">
        <v>4830710</v>
      </c>
      <c r="C500" t="s">
        <v>2052</v>
      </c>
      <c r="D500">
        <v>8193.02003175</v>
      </c>
      <c r="E500">
        <v>58</v>
      </c>
      <c r="F500">
        <v>1.1599999999999999</v>
      </c>
      <c r="G500" t="s">
        <v>2099</v>
      </c>
      <c r="H500" t="s">
        <v>2100</v>
      </c>
      <c r="I500">
        <v>300</v>
      </c>
      <c r="J500" t="s">
        <v>90</v>
      </c>
      <c r="K500" t="s">
        <v>292</v>
      </c>
      <c r="L500" t="s">
        <v>293</v>
      </c>
      <c r="M500">
        <v>227461.29984</v>
      </c>
      <c r="N500">
        <v>909.84519936</v>
      </c>
      <c r="O500">
        <v>227461.29984</v>
      </c>
      <c r="P500">
        <v>468528.03594</v>
      </c>
      <c r="Q500">
        <v>1</v>
      </c>
      <c r="R500">
        <v>8193.02003175</v>
      </c>
      <c r="S500" t="s">
        <v>218</v>
      </c>
      <c r="T500" t="s">
        <v>93</v>
      </c>
      <c r="U500">
        <v>12.5</v>
      </c>
      <c r="V500" t="s">
        <v>295</v>
      </c>
      <c r="W500" t="s">
        <v>142</v>
      </c>
      <c r="X500" t="s">
        <v>128</v>
      </c>
      <c r="Y500" s="23" t="s">
        <v>120</v>
      </c>
      <c r="AA500">
        <v>9</v>
      </c>
      <c r="AB500" t="s">
        <v>2101</v>
      </c>
      <c r="AC500" t="s">
        <v>2056</v>
      </c>
      <c r="AD500" s="2">
        <v>2</v>
      </c>
      <c r="AE500" s="2" t="s">
        <v>70</v>
      </c>
      <c r="AF500" t="str">
        <f>_xlfn.CONCAT(FINI_grouping_for_wheel[[#This Row],[SEFI/Plant]],"/",IF(FINI_grouping_for_wheel[[#This Row],[RESET recipe combination]]&lt;&gt;"",FINI_grouping_for_wheel[[#This Row],[RESET recipe combination]],FINI_grouping_for_wheel[[#This Row],[Recipe Combination]]),"/",FINI_grouping_for_wheel[[#This Row],[Subgroup]])</f>
        <v>4830710/THDP/x/2</v>
      </c>
      <c r="AG5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00">
        <f>_xlfn.LET(_xlpm.pct, FINI_grouping_for_wheel[[#This Row],[% forecast within subgroup]], _xlpm.lote, FINI_grouping_for_wheel[[#This Row],[Lot size considered]], _xlpm.pct*_xlpm.lote)</f>
        <v>8193.02003175</v>
      </c>
      <c r="AI500" cm="1">
        <f t="array" aca="1" ref="AI500" ca="1">IFERROR(INDIRECT("FINI_grouping_for_wheel[@["&amp;FINI_grouping_for_wheel[[#This Row],[Selected PV]]&amp;"]]"),"")</f>
        <v>8</v>
      </c>
      <c r="AJ50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5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29.6</v>
      </c>
      <c r="AL500" s="4"/>
      <c r="AM50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v>
      </c>
      <c r="AN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0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00" t="str">
        <f>_xlfn.CONCAT(FINI_grouping_for_wheel[[#This Row],[Recipe Combination]],FINI_grouping_for_wheel[[#This Row],[Subgroup]])</f>
        <v>U2</v>
      </c>
    </row>
    <row r="501" spans="1:55" hidden="1">
      <c r="A501" t="s">
        <v>10</v>
      </c>
      <c r="B501">
        <v>4830710</v>
      </c>
      <c r="C501" t="s">
        <v>2052</v>
      </c>
      <c r="D501">
        <v>8193.02003175</v>
      </c>
      <c r="E501">
        <v>58</v>
      </c>
      <c r="F501">
        <v>1.1599999999999999</v>
      </c>
      <c r="G501" t="s">
        <v>2102</v>
      </c>
      <c r="H501" t="s">
        <v>2103</v>
      </c>
      <c r="I501">
        <v>405</v>
      </c>
      <c r="J501" t="s">
        <v>90</v>
      </c>
      <c r="K501" t="s">
        <v>412</v>
      </c>
      <c r="L501" t="s">
        <v>413</v>
      </c>
      <c r="M501">
        <v>14260.135725</v>
      </c>
      <c r="N501">
        <v>57.0405429</v>
      </c>
      <c r="O501">
        <v>14260.135725</v>
      </c>
      <c r="P501">
        <v>468528.03594</v>
      </c>
      <c r="Q501">
        <v>1</v>
      </c>
      <c r="R501">
        <v>8193.02003175</v>
      </c>
      <c r="S501" t="s">
        <v>387</v>
      </c>
      <c r="T501" t="s">
        <v>93</v>
      </c>
      <c r="U501">
        <v>15</v>
      </c>
      <c r="V501" t="s">
        <v>408</v>
      </c>
      <c r="W501" t="s">
        <v>95</v>
      </c>
      <c r="X501" t="s">
        <v>96</v>
      </c>
      <c r="Y501" s="23" t="s">
        <v>97</v>
      </c>
      <c r="AA501">
        <v>144</v>
      </c>
      <c r="AB501" t="s">
        <v>2104</v>
      </c>
      <c r="AC501" t="s">
        <v>2056</v>
      </c>
      <c r="AD501" s="2">
        <v>7</v>
      </c>
      <c r="AE501" s="2" t="s">
        <v>70</v>
      </c>
      <c r="AF501" t="str">
        <f>_xlfn.CONCAT(FINI_grouping_for_wheel[[#This Row],[SEFI/Plant]],"/",IF(FINI_grouping_for_wheel[[#This Row],[RESET recipe combination]]&lt;&gt;"",FINI_grouping_for_wheel[[#This Row],[RESET recipe combination]],FINI_grouping_for_wheel[[#This Row],[Recipe Combination]]),"/",FINI_grouping_for_wheel[[#This Row],[Subgroup]])</f>
        <v>4830710/THDP/x/7</v>
      </c>
      <c r="AG5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0.44644180874722017</v>
      </c>
      <c r="AH501">
        <f>_xlfn.LET(_xlpm.pct, FINI_grouping_for_wheel[[#This Row],[% forecast within subgroup]], _xlpm.lote, FINI_grouping_for_wheel[[#This Row],[Lot size considered]], _xlpm.pct*_xlpm.lote)</f>
        <v>3657.706682076677</v>
      </c>
      <c r="AI501" cm="1">
        <f t="array" aca="1" ref="AI501" ca="1">IFERROR(INDIRECT("FINI_grouping_for_wheel[@["&amp;FINI_grouping_for_wheel[[#This Row],[Selected PV]]&amp;"]]"),"")</f>
        <v>59</v>
      </c>
      <c r="AJ50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8891.12655</v>
      </c>
      <c r="AK5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9.8</v>
      </c>
      <c r="AL501" s="4"/>
      <c r="AM50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59</v>
      </c>
      <c r="AN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0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01" t="str">
        <f>_xlfn.CONCAT(FINI_grouping_for_wheel[[#This Row],[Recipe Combination]],FINI_grouping_for_wheel[[#This Row],[Subgroup]])</f>
        <v>X7</v>
      </c>
    </row>
    <row r="502" spans="1:55" hidden="1">
      <c r="A502" t="s">
        <v>10</v>
      </c>
      <c r="B502">
        <v>4395538</v>
      </c>
      <c r="C502" t="s">
        <v>2105</v>
      </c>
      <c r="D502">
        <v>8188.56114812</v>
      </c>
      <c r="E502">
        <v>53</v>
      </c>
      <c r="F502">
        <v>1.06</v>
      </c>
      <c r="G502" t="s">
        <v>2106</v>
      </c>
      <c r="H502" t="s">
        <v>2107</v>
      </c>
      <c r="I502">
        <v>240</v>
      </c>
      <c r="J502" t="s">
        <v>90</v>
      </c>
      <c r="K502" t="s">
        <v>2108</v>
      </c>
      <c r="L502" t="s">
        <v>2109</v>
      </c>
      <c r="M502">
        <v>421091.3304</v>
      </c>
      <c r="N502">
        <v>1684.3653216</v>
      </c>
      <c r="O502">
        <v>426019.926915</v>
      </c>
      <c r="P502">
        <v>426019.926915</v>
      </c>
      <c r="Q502">
        <v>0.98843106577034989</v>
      </c>
      <c r="R502">
        <v>8093.82822277</v>
      </c>
      <c r="S502" t="s">
        <v>471</v>
      </c>
      <c r="T502" t="s">
        <v>93</v>
      </c>
      <c r="U502">
        <v>10</v>
      </c>
      <c r="V502" t="s">
        <v>295</v>
      </c>
      <c r="W502" t="s">
        <v>95</v>
      </c>
      <c r="X502" t="s">
        <v>128</v>
      </c>
      <c r="Y502" s="23" t="s">
        <v>120</v>
      </c>
      <c r="AA502">
        <v>5</v>
      </c>
      <c r="AB502" t="s">
        <v>2110</v>
      </c>
      <c r="AC502" t="s">
        <v>2111</v>
      </c>
      <c r="AD502" s="28">
        <v>1</v>
      </c>
      <c r="AE502" s="2" t="s">
        <v>70</v>
      </c>
      <c r="AF502" t="str">
        <f>_xlfn.CONCAT(FINI_grouping_for_wheel[[#This Row],[SEFI/Plant]],"/",IF(FINI_grouping_for_wheel[[#This Row],[RESET recipe combination]]&lt;&gt;"",FINI_grouping_for_wheel[[#This Row],[RESET recipe combination]],FINI_grouping_for_wheel[[#This Row],[Recipe Combination]]),"/",FINI_grouping_for_wheel[[#This Row],[Subgroup]])</f>
        <v>4395538/THDP/x/1</v>
      </c>
      <c r="AG5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0.9884310657703499</v>
      </c>
      <c r="AH502">
        <f>_xlfn.LET(_xlpm.pct, FINI_grouping_for_wheel[[#This Row],[% forecast within subgroup]], _xlpm.lote, FINI_grouping_for_wheel[[#This Row],[Lot size considered]], _xlpm.pct*_xlpm.lote)</f>
        <v>8093.828222761932</v>
      </c>
      <c r="AI502" cm="1">
        <f t="array" aca="1" ref="AI502" ca="1">IFERROR(INDIRECT("FINI_grouping_for_wheel[@["&amp;FINI_grouping_for_wheel[[#This Row],[Selected PV]]&amp;"]]"),"")</f>
        <v>4</v>
      </c>
      <c r="AJ50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8717.092515</v>
      </c>
      <c r="AK5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35.9</v>
      </c>
      <c r="AL502" s="4"/>
      <c r="AM50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v>
      </c>
      <c r="AN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0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02" t="str">
        <f>_xlfn.CONCAT(FINI_grouping_for_wheel[[#This Row],[Recipe Combination]],FINI_grouping_for_wheel[[#This Row],[Subgroup]])</f>
        <v>1</v>
      </c>
    </row>
    <row r="503" spans="1:55" hidden="1">
      <c r="A503" t="s">
        <v>10</v>
      </c>
      <c r="B503">
        <v>4395538</v>
      </c>
      <c r="C503" t="s">
        <v>2105</v>
      </c>
      <c r="D503">
        <v>8188.56114812</v>
      </c>
      <c r="E503">
        <v>53</v>
      </c>
      <c r="F503">
        <v>1.06</v>
      </c>
      <c r="G503" t="s">
        <v>2112</v>
      </c>
      <c r="H503" t="s">
        <v>2113</v>
      </c>
      <c r="J503" t="s">
        <v>90</v>
      </c>
      <c r="K503" t="s">
        <v>292</v>
      </c>
      <c r="L503" t="s">
        <v>293</v>
      </c>
      <c r="M503">
        <v>4928.596515</v>
      </c>
      <c r="N503">
        <v>19.71438606</v>
      </c>
      <c r="O503">
        <v>426019.926915</v>
      </c>
      <c r="P503">
        <v>426019.926915</v>
      </c>
      <c r="Q503">
        <v>1.1568934229650153E-2</v>
      </c>
      <c r="R503">
        <v>94.7329253581</v>
      </c>
      <c r="S503" t="s">
        <v>471</v>
      </c>
      <c r="T503" t="s">
        <v>93</v>
      </c>
      <c r="U503">
        <v>12.5</v>
      </c>
      <c r="V503" t="s">
        <v>295</v>
      </c>
      <c r="W503" t="s">
        <v>142</v>
      </c>
      <c r="X503" t="s">
        <v>128</v>
      </c>
      <c r="Y503" s="23" t="s">
        <v>120</v>
      </c>
      <c r="AA503">
        <v>415</v>
      </c>
      <c r="AB503" t="s">
        <v>2114</v>
      </c>
      <c r="AC503" t="s">
        <v>2111</v>
      </c>
      <c r="AD503" s="28">
        <v>1</v>
      </c>
      <c r="AE503" s="2" t="s">
        <v>70</v>
      </c>
      <c r="AF503" t="str">
        <f>_xlfn.CONCAT(FINI_grouping_for_wheel[[#This Row],[SEFI/Plant]],"/",IF(FINI_grouping_for_wheel[[#This Row],[RESET recipe combination]]&lt;&gt;"",FINI_grouping_for_wheel[[#This Row],[RESET recipe combination]],FINI_grouping_for_wheel[[#This Row],[Recipe Combination]]),"/",FINI_grouping_for_wheel[[#This Row],[Subgroup]])</f>
        <v>4395538/THDP/x/1</v>
      </c>
      <c r="AG5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0.011568934229650154</v>
      </c>
      <c r="AH503">
        <f>_xlfn.LET(_xlpm.pct, FINI_grouping_for_wheel[[#This Row],[% forecast within subgroup]], _xlpm.lote, FINI_grouping_for_wheel[[#This Row],[Lot size considered]], _xlpm.pct*_xlpm.lote)</f>
        <v>94.73292535806884</v>
      </c>
      <c r="AI503" cm="1">
        <f t="array" aca="1" ref="AI503" ca="1">IFERROR(INDIRECT("FINI_grouping_for_wheel[@["&amp;FINI_grouping_for_wheel[[#This Row],[Selected PV]]&amp;"]]"),"")</f>
        <v>4</v>
      </c>
      <c r="AJ50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8717.092515</v>
      </c>
      <c r="AK50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503" s="4"/>
      <c r="AM50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v>
      </c>
      <c r="AN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0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03" t="str">
        <f>_xlfn.CONCAT(FINI_grouping_for_wheel[[#This Row],[Recipe Combination]],FINI_grouping_for_wheel[[#This Row],[Subgroup]])</f>
        <v>1</v>
      </c>
    </row>
    <row r="504" spans="1:55" hidden="1">
      <c r="A504" t="s">
        <v>10</v>
      </c>
      <c r="B504" s="23">
        <v>4495849</v>
      </c>
      <c r="C504" t="s">
        <v>2115</v>
      </c>
      <c r="D504">
        <v>8303.27394895</v>
      </c>
      <c r="E504">
        <v>51</v>
      </c>
      <c r="F504">
        <v>1.02</v>
      </c>
      <c r="G504" s="23" t="s">
        <v>2116</v>
      </c>
      <c r="H504" s="23" t="s">
        <v>2117</v>
      </c>
      <c r="I504">
        <v>462</v>
      </c>
      <c r="J504" t="s">
        <v>90</v>
      </c>
      <c r="K504" t="s">
        <v>312</v>
      </c>
      <c r="L504" t="s">
        <v>313</v>
      </c>
      <c r="M504">
        <v>404.89551</v>
      </c>
      <c r="N504">
        <v>1.61958204</v>
      </c>
      <c r="O504">
        <v>178616.931255</v>
      </c>
      <c r="P504">
        <v>421495.042005</v>
      </c>
      <c r="Q504">
        <v>2.2668372318073054E-3</v>
      </c>
      <c r="R504">
        <v>18.8221705334</v>
      </c>
      <c r="S504" t="s">
        <v>471</v>
      </c>
      <c r="T504" t="s">
        <v>93</v>
      </c>
      <c r="U504">
        <v>1</v>
      </c>
      <c r="V504" t="s">
        <v>315</v>
      </c>
      <c r="W504" t="s">
        <v>142</v>
      </c>
      <c r="X504" t="s">
        <v>150</v>
      </c>
      <c r="Y504" s="23" t="s">
        <v>151</v>
      </c>
      <c r="AA504">
        <v>5127</v>
      </c>
      <c r="AB504" t="s">
        <v>2118</v>
      </c>
      <c r="AC504" t="s">
        <v>2119</v>
      </c>
      <c r="AD504" s="2">
        <v>6</v>
      </c>
      <c r="AE504" s="2" t="s">
        <v>70</v>
      </c>
      <c r="AF504" t="str">
        <f>_xlfn.CONCAT(FINI_grouping_for_wheel[[#This Row],[SEFI/Plant]],"/",IF(FINI_grouping_for_wheel[[#This Row],[RESET recipe combination]]&lt;&gt;"",FINI_grouping_for_wheel[[#This Row],[RESET recipe combination]],FINI_grouping_for_wheel[[#This Row],[Recipe Combination]]),"/",FINI_grouping_for_wheel[[#This Row],[Subgroup]])</f>
        <v>4495849/THDP/x/6</v>
      </c>
      <c r="AG5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0.02900517343736748</v>
      </c>
      <c r="AH504">
        <f>_xlfn.LET(_xlpm.pct, FINI_grouping_for_wheel[[#This Row],[% forecast within subgroup]], _xlpm.lote, FINI_grouping_for_wheel[[#This Row],[Lot size considered]], _xlpm.pct*_xlpm.lote)</f>
        <v>240.83790098726993</v>
      </c>
      <c r="AI504" cm="1">
        <f t="array" aca="1" ref="AI504" ca="1">IFERROR(INDIRECT("FINI_grouping_for_wheel[@["&amp;FINI_grouping_for_wheel[[#This Row],[Selected PV]]&amp;"]]"),"")</f>
        <v>135</v>
      </c>
      <c r="AJ50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504" s="4"/>
      <c r="AM50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135</v>
      </c>
      <c r="AN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0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04" t="str">
        <f>_xlfn.CONCAT(FINI_grouping_for_wheel[[#This Row],[Recipe Combination]],FINI_grouping_for_wheel[[#This Row],[Subgroup]])</f>
        <v>6</v>
      </c>
    </row>
    <row r="505" spans="1:55">
      <c r="A505" t="s">
        <v>10</v>
      </c>
      <c r="B505" s="23">
        <v>4495849</v>
      </c>
      <c r="C505" t="s">
        <v>2115</v>
      </c>
      <c r="D505">
        <v>8303.27394895</v>
      </c>
      <c r="E505">
        <v>51</v>
      </c>
      <c r="F505">
        <v>1.02</v>
      </c>
      <c r="G505" s="23" t="s">
        <v>2120</v>
      </c>
      <c r="H505" s="23" t="s">
        <v>2121</v>
      </c>
      <c r="J505" t="s">
        <v>90</v>
      </c>
      <c r="K505" t="s">
        <v>582</v>
      </c>
      <c r="L505" t="s">
        <v>583</v>
      </c>
      <c r="M505">
        <v>18101.90745</v>
      </c>
      <c r="N505">
        <v>72.4076298</v>
      </c>
      <c r="O505">
        <v>178616.931255</v>
      </c>
      <c r="P505">
        <v>421495.042005</v>
      </c>
      <c r="Q505">
        <v>0.10134485752729153</v>
      </c>
      <c r="R505">
        <v>841.494115366</v>
      </c>
      <c r="S505" t="s">
        <v>471</v>
      </c>
      <c r="T505" t="s">
        <v>93</v>
      </c>
      <c r="U505">
        <v>10</v>
      </c>
      <c r="V505" t="s">
        <v>482</v>
      </c>
      <c r="W505" t="s">
        <v>159</v>
      </c>
      <c r="X505" t="s">
        <v>96</v>
      </c>
      <c r="Y505" s="23" t="s">
        <v>483</v>
      </c>
      <c r="AA505">
        <v>115</v>
      </c>
      <c r="AB505" t="s">
        <v>2122</v>
      </c>
      <c r="AC505" t="s">
        <v>2119</v>
      </c>
      <c r="AD505" s="2">
        <v>3</v>
      </c>
      <c r="AE505" s="2" t="s">
        <v>70</v>
      </c>
      <c r="AF505" t="str">
        <f>_xlfn.CONCAT(FINI_grouping_for_wheel[[#This Row],[SEFI/Plant]],"/",IF(FINI_grouping_for_wheel[[#This Row],[RESET recipe combination]]&lt;&gt;"",FINI_grouping_for_wheel[[#This Row],[RESET recipe combination]],FINI_grouping_for_wheel[[#This Row],[Recipe Combination]]),"/",FINI_grouping_for_wheel[[#This Row],[Subgroup]])</f>
        <v>4495849/THDP/x/3</v>
      </c>
      <c r="AG5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0.588076923076923</v>
      </c>
      <c r="AH505">
        <f>_xlfn.LET(_xlpm.pct, FINI_grouping_for_wheel[[#This Row],[% forecast within subgroup]], _xlpm.lote, FINI_grouping_for_wheel[[#This Row],[Lot size considered]], _xlpm.pct*_xlpm.lote)</f>
        <v>4882.963795363288</v>
      </c>
      <c r="AI505" cm="1">
        <f t="array" aca="1" ref="AI505" ca="1">IFERROR(INDIRECT("FINI_grouping_for_wheel[@["&amp;FINI_grouping_for_wheel[[#This Row],[Selected PV]]&amp;"]]"),"")</f>
        <v>61</v>
      </c>
      <c r="AJ50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0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505" s="4"/>
      <c r="AM50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61</v>
      </c>
      <c r="AN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0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05" t="str">
        <f>_xlfn.CONCAT(FINI_grouping_for_wheel[[#This Row],[Recipe Combination]],FINI_grouping_for_wheel[[#This Row],[Subgroup]])</f>
        <v>3</v>
      </c>
    </row>
    <row r="506" spans="1:55">
      <c r="A506" t="s">
        <v>10</v>
      </c>
      <c r="B506" s="23">
        <v>4495849</v>
      </c>
      <c r="C506" t="s">
        <v>2115</v>
      </c>
      <c r="D506">
        <v>8303.27394895</v>
      </c>
      <c r="E506">
        <v>51</v>
      </c>
      <c r="F506">
        <v>1.02</v>
      </c>
      <c r="G506" s="23" t="s">
        <v>2123</v>
      </c>
      <c r="H506" s="23" t="s">
        <v>2124</v>
      </c>
      <c r="I506">
        <v>360</v>
      </c>
      <c r="J506" t="s">
        <v>90</v>
      </c>
      <c r="K506" t="s">
        <v>814</v>
      </c>
      <c r="L506" t="s">
        <v>815</v>
      </c>
      <c r="M506">
        <v>103875.8247</v>
      </c>
      <c r="N506">
        <v>415.5032988</v>
      </c>
      <c r="O506">
        <v>178616.931255</v>
      </c>
      <c r="P506">
        <v>421495.042005</v>
      </c>
      <c r="Q506">
        <v>0.58155642900226023</v>
      </c>
      <c r="R506">
        <v>4828.82234678</v>
      </c>
      <c r="S506" t="s">
        <v>471</v>
      </c>
      <c r="T506" t="s">
        <v>93</v>
      </c>
      <c r="U506">
        <v>10</v>
      </c>
      <c r="V506" t="s">
        <v>482</v>
      </c>
      <c r="W506" t="s">
        <v>142</v>
      </c>
      <c r="X506" t="s">
        <v>96</v>
      </c>
      <c r="Y506" s="23" t="s">
        <v>483</v>
      </c>
      <c r="AA506">
        <v>20</v>
      </c>
      <c r="AB506" t="s">
        <v>2125</v>
      </c>
      <c r="AC506" t="s">
        <v>2119</v>
      </c>
      <c r="AD506" s="2">
        <v>2</v>
      </c>
      <c r="AE506" s="2" t="s">
        <v>70</v>
      </c>
      <c r="AF506" t="str">
        <f>_xlfn.CONCAT(FINI_grouping_for_wheel[[#This Row],[SEFI/Plant]],"/",IF(FINI_grouping_for_wheel[[#This Row],[RESET recipe combination]]&lt;&gt;"",FINI_grouping_for_wheel[[#This Row],[RESET recipe combination]],FINI_grouping_for_wheel[[#This Row],[Recipe Combination]]),"/",FINI_grouping_for_wheel[[#This Row],[Subgroup]])</f>
        <v>4495849/THDP/x/2</v>
      </c>
      <c r="AG5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06">
        <f>_xlfn.LET(_xlpm.pct, FINI_grouping_for_wheel[[#This Row],[% forecast within subgroup]], _xlpm.lote, FINI_grouping_for_wheel[[#This Row],[Lot size considered]], _xlpm.pct*_xlpm.lote)</f>
        <v>8303.27394895</v>
      </c>
      <c r="AI506" cm="1">
        <f t="array" aca="1" ref="AI506" ca="1">IFERROR(INDIRECT("FINI_grouping_for_wheel[@["&amp;FINI_grouping_for_wheel[[#This Row],[Selected PV]]&amp;"]]"),"")</f>
        <v>18</v>
      </c>
      <c r="AJ50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24.6</v>
      </c>
      <c r="AL506" s="4"/>
      <c r="AM50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v>
      </c>
      <c r="AN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0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06" t="str">
        <f>_xlfn.CONCAT(FINI_grouping_for_wheel[[#This Row],[Recipe Combination]],FINI_grouping_for_wheel[[#This Row],[Subgroup]])</f>
        <v>2</v>
      </c>
    </row>
    <row r="507" spans="1:55" hidden="1">
      <c r="A507" t="s">
        <v>10</v>
      </c>
      <c r="B507" s="23">
        <v>4495849</v>
      </c>
      <c r="C507" t="s">
        <v>2115</v>
      </c>
      <c r="D507">
        <v>8303.27394895</v>
      </c>
      <c r="E507">
        <v>51</v>
      </c>
      <c r="F507">
        <v>1.02</v>
      </c>
      <c r="G507" s="23" t="s">
        <v>2126</v>
      </c>
      <c r="H507" s="23" t="s">
        <v>2127</v>
      </c>
      <c r="I507">
        <v>480</v>
      </c>
      <c r="J507" t="s">
        <v>90</v>
      </c>
      <c r="K507" t="s">
        <v>515</v>
      </c>
      <c r="L507" t="s">
        <v>516</v>
      </c>
      <c r="M507">
        <v>1284.536925</v>
      </c>
      <c r="N507">
        <v>5.1381477</v>
      </c>
      <c r="O507">
        <v>178616.931255</v>
      </c>
      <c r="P507">
        <v>421495.042005</v>
      </c>
      <c r="Q507">
        <v>7.1915742588038786E-3</v>
      </c>
      <c r="R507">
        <v>59.7136111951</v>
      </c>
      <c r="S507" t="s">
        <v>471</v>
      </c>
      <c r="T507" t="s">
        <v>93</v>
      </c>
      <c r="U507">
        <v>5</v>
      </c>
      <c r="V507" t="s">
        <v>518</v>
      </c>
      <c r="W507" t="s">
        <v>142</v>
      </c>
      <c r="X507" t="s">
        <v>150</v>
      </c>
      <c r="Y507" s="23" t="s">
        <v>151</v>
      </c>
      <c r="AA507">
        <v>1616</v>
      </c>
      <c r="AB507" t="s">
        <v>2128</v>
      </c>
      <c r="AC507" t="s">
        <v>2119</v>
      </c>
      <c r="AD507" s="2">
        <v>4</v>
      </c>
      <c r="AE507" s="2" t="s">
        <v>70</v>
      </c>
      <c r="AF507" t="str">
        <f>_xlfn.CONCAT(FINI_grouping_for_wheel[[#This Row],[SEFI/Plant]],"/",IF(FINI_grouping_for_wheel[[#This Row],[RESET recipe combination]]&lt;&gt;"",FINI_grouping_for_wheel[[#This Row],[RESET recipe combination]],FINI_grouping_for_wheel[[#This Row],[Recipe Combination]]),"/",FINI_grouping_for_wheel[[#This Row],[Subgroup]])</f>
        <v>4495849/THDP/x/4</v>
      </c>
      <c r="AG5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0.07587412587412588</v>
      </c>
      <c r="AH507">
        <f>_xlfn.LET(_xlpm.pct, FINI_grouping_for_wheel[[#This Row],[% forecast within subgroup]], _xlpm.lote, FINI_grouping_for_wheel[[#This Row],[Lot size considered]], _xlpm.pct*_xlpm.lote)</f>
        <v>630.0036527699826</v>
      </c>
      <c r="AI507" cm="1">
        <f t="array" aca="1" ref="AI507" ca="1">IFERROR(INDIRECT("FINI_grouping_for_wheel[@["&amp;FINI_grouping_for_wheel[[#This Row],[Selected PV]]&amp;"]]"),"")</f>
        <v>111</v>
      </c>
      <c r="AJ50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v>
      </c>
      <c r="AL507" s="4"/>
      <c r="AM50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111</v>
      </c>
      <c r="AN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0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07" t="str">
        <f>_xlfn.CONCAT(FINI_grouping_for_wheel[[#This Row],[Recipe Combination]],FINI_grouping_for_wheel[[#This Row],[Subgroup]])</f>
        <v>4</v>
      </c>
    </row>
    <row r="508" spans="1:55" hidden="1">
      <c r="A508" t="s">
        <v>10</v>
      </c>
      <c r="B508" s="23">
        <v>4495849</v>
      </c>
      <c r="C508" t="s">
        <v>2115</v>
      </c>
      <c r="D508">
        <v>8303.27394895</v>
      </c>
      <c r="E508">
        <v>51</v>
      </c>
      <c r="F508">
        <v>1.02</v>
      </c>
      <c r="G508" s="23" t="s">
        <v>2129</v>
      </c>
      <c r="H508" s="23" t="s">
        <v>2130</v>
      </c>
      <c r="J508" t="s">
        <v>90</v>
      </c>
      <c r="K508" t="s">
        <v>264</v>
      </c>
      <c r="L508" t="s">
        <v>265</v>
      </c>
      <c r="M508">
        <v>545.780205</v>
      </c>
      <c r="N508">
        <v>2.18312082</v>
      </c>
      <c r="O508">
        <v>178616.931255</v>
      </c>
      <c r="P508">
        <v>421495.042005</v>
      </c>
      <c r="Q508">
        <v>3.0555905376116019E-3</v>
      </c>
      <c r="R508">
        <v>25.3714053096</v>
      </c>
      <c r="S508" t="s">
        <v>471</v>
      </c>
      <c r="T508" t="s">
        <v>93</v>
      </c>
      <c r="U508">
        <v>2.5</v>
      </c>
      <c r="V508" t="s">
        <v>267</v>
      </c>
      <c r="W508" t="s">
        <v>142</v>
      </c>
      <c r="X508" t="s">
        <v>150</v>
      </c>
      <c r="Y508" s="23" t="s">
        <v>151</v>
      </c>
      <c r="AA508">
        <v>3803</v>
      </c>
      <c r="AB508" t="s">
        <v>2131</v>
      </c>
      <c r="AC508" t="s">
        <v>2119</v>
      </c>
      <c r="AD508" s="2">
        <v>6</v>
      </c>
      <c r="AE508" s="2" t="s">
        <v>70</v>
      </c>
      <c r="AF508" t="str">
        <f>_xlfn.CONCAT(FINI_grouping_for_wheel[[#This Row],[SEFI/Plant]],"/",IF(FINI_grouping_for_wheel[[#This Row],[RESET recipe combination]]&lt;&gt;"",FINI_grouping_for_wheel[[#This Row],[RESET recipe combination]],FINI_grouping_for_wheel[[#This Row],[Recipe Combination]]),"/",FINI_grouping_for_wheel[[#This Row],[Subgroup]])</f>
        <v>4495849/THDP/x/6</v>
      </c>
      <c r="AG5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0.03909761682639301</v>
      </c>
      <c r="AH508">
        <f>_xlfn.LET(_xlpm.pct, FINI_grouping_for_wheel[[#This Row],[% forecast within subgroup]], _xlpm.lote, FINI_grouping_for_wheel[[#This Row],[Lot size considered]], _xlpm.pct*_xlpm.lote)</f>
        <v>324.63822326061825</v>
      </c>
      <c r="AI508" cm="1">
        <f t="array" aca="1" ref="AI508" ca="1">IFERROR(INDIRECT("FINI_grouping_for_wheel[@["&amp;FINI_grouping_for_wheel[[#This Row],[Selected PV]]&amp;"]]"),"")</f>
        <v>135</v>
      </c>
      <c r="AJ50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0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508" s="4"/>
      <c r="AM50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135</v>
      </c>
      <c r="AN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0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08" t="str">
        <f>_xlfn.CONCAT(FINI_grouping_for_wheel[[#This Row],[Recipe Combination]],FINI_grouping_for_wheel[[#This Row],[Subgroup]])</f>
        <v>6</v>
      </c>
    </row>
    <row r="509" spans="1:55">
      <c r="A509" t="s">
        <v>10</v>
      </c>
      <c r="B509" s="23">
        <v>4495849</v>
      </c>
      <c r="C509" t="s">
        <v>2115</v>
      </c>
      <c r="D509">
        <v>8303.27394895</v>
      </c>
      <c r="E509">
        <v>51</v>
      </c>
      <c r="F509">
        <v>1.02</v>
      </c>
      <c r="G509" s="23" t="s">
        <v>2132</v>
      </c>
      <c r="H509" s="23" t="s">
        <v>2133</v>
      </c>
      <c r="J509" t="s">
        <v>90</v>
      </c>
      <c r="K509" t="s">
        <v>577</v>
      </c>
      <c r="L509" t="s">
        <v>578</v>
      </c>
      <c r="M509">
        <v>4380.4485</v>
      </c>
      <c r="N509">
        <v>17.521794</v>
      </c>
      <c r="O509">
        <v>178616.931255</v>
      </c>
      <c r="P509">
        <v>421495.042005</v>
      </c>
      <c r="Q509">
        <v>2.4524262449377283E-2</v>
      </c>
      <c r="R509">
        <v>203.631669513</v>
      </c>
      <c r="S509" t="s">
        <v>471</v>
      </c>
      <c r="T509" t="s">
        <v>93</v>
      </c>
      <c r="U509">
        <v>10</v>
      </c>
      <c r="V509" t="s">
        <v>482</v>
      </c>
      <c r="W509" t="s">
        <v>142</v>
      </c>
      <c r="X509" t="s">
        <v>96</v>
      </c>
      <c r="Y509" s="23" t="s">
        <v>483</v>
      </c>
      <c r="AA509">
        <v>474</v>
      </c>
      <c r="AB509" t="s">
        <v>2134</v>
      </c>
      <c r="AC509" t="s">
        <v>2119</v>
      </c>
      <c r="AD509" s="2">
        <v>3</v>
      </c>
      <c r="AE509" s="2" t="s">
        <v>70</v>
      </c>
      <c r="AF509" t="str">
        <f>_xlfn.CONCAT(FINI_grouping_for_wheel[[#This Row],[SEFI/Plant]],"/",IF(FINI_grouping_for_wheel[[#This Row],[RESET recipe combination]]&lt;&gt;"",FINI_grouping_for_wheel[[#This Row],[RESET recipe combination]],FINI_grouping_for_wheel[[#This Row],[Recipe Combination]]),"/",FINI_grouping_for_wheel[[#This Row],[Subgroup]])</f>
        <v>4495849/THDP/x/3</v>
      </c>
      <c r="AG5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0.14230769230769233</v>
      </c>
      <c r="AH509">
        <f>_xlfn.LET(_xlpm.pct, FINI_grouping_for_wheel[[#This Row],[% forecast within subgroup]], _xlpm.lote, FINI_grouping_for_wheel[[#This Row],[Lot size considered]], _xlpm.pct*_xlpm.lote)</f>
        <v>1181.619754273654</v>
      </c>
      <c r="AI509" cm="1">
        <f t="array" aca="1" ref="AI509" ca="1">IFERROR(INDIRECT("FINI_grouping_for_wheel[@["&amp;FINI_grouping_for_wheel[[#This Row],[Selected PV]]&amp;"]]"),"")</f>
        <v>61</v>
      </c>
      <c r="AJ50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0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509" s="4"/>
      <c r="AM50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61</v>
      </c>
      <c r="AN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0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09" t="str">
        <f>_xlfn.CONCAT(FINI_grouping_for_wheel[[#This Row],[Recipe Combination]],FINI_grouping_for_wheel[[#This Row],[Subgroup]])</f>
        <v>3</v>
      </c>
    </row>
    <row r="510" spans="1:55" hidden="1">
      <c r="A510" t="s">
        <v>10</v>
      </c>
      <c r="B510" s="23">
        <v>4495849</v>
      </c>
      <c r="C510" t="s">
        <v>2115</v>
      </c>
      <c r="D510">
        <v>8303.27394895</v>
      </c>
      <c r="E510">
        <v>51</v>
      </c>
      <c r="F510">
        <v>1.02</v>
      </c>
      <c r="G510" s="23" t="s">
        <v>2135</v>
      </c>
      <c r="H510" s="23" t="s">
        <v>2136</v>
      </c>
      <c r="J510" t="s">
        <v>90</v>
      </c>
      <c r="K510" t="s">
        <v>312</v>
      </c>
      <c r="L510" t="s">
        <v>313</v>
      </c>
      <c r="M510">
        <v>4812.573825</v>
      </c>
      <c r="N510">
        <v>19.2502953</v>
      </c>
      <c r="O510">
        <v>178616.931255</v>
      </c>
      <c r="P510">
        <v>421495.042005</v>
      </c>
      <c r="Q510">
        <v>2.6943547799113149E-2</v>
      </c>
      <c r="R510">
        <v>223.719658533</v>
      </c>
      <c r="S510" t="s">
        <v>471</v>
      </c>
      <c r="T510" t="s">
        <v>93</v>
      </c>
      <c r="U510">
        <v>1</v>
      </c>
      <c r="V510" t="s">
        <v>315</v>
      </c>
      <c r="W510" t="s">
        <v>142</v>
      </c>
      <c r="X510" t="s">
        <v>150</v>
      </c>
      <c r="Y510" s="23" t="s">
        <v>151</v>
      </c>
      <c r="AA510">
        <v>431</v>
      </c>
      <c r="AB510" t="s">
        <v>2137</v>
      </c>
      <c r="AC510" t="s">
        <v>2119</v>
      </c>
      <c r="AD510" s="2">
        <v>6</v>
      </c>
      <c r="AE510" s="2" t="s">
        <v>70</v>
      </c>
      <c r="AF510" t="str">
        <f>_xlfn.CONCAT(FINI_grouping_for_wheel[[#This Row],[SEFI/Plant]],"/",IF(FINI_grouping_for_wheel[[#This Row],[RESET recipe combination]]&lt;&gt;"",FINI_grouping_for_wheel[[#This Row],[RESET recipe combination]],FINI_grouping_for_wheel[[#This Row],[Recipe Combination]]),"/",FINI_grouping_for_wheel[[#This Row],[Subgroup]])</f>
        <v>4495849/THDP/x/6</v>
      </c>
      <c r="AG5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0.34475447375116614</v>
      </c>
      <c r="AH510">
        <f>_xlfn.LET(_xlpm.pct, FINI_grouping_for_wheel[[#This Row],[% forecast within subgroup]], _xlpm.lote, FINI_grouping_for_wheel[[#This Row],[Lot size considered]], _xlpm.pct*_xlpm.lote)</f>
        <v>2862.5908406820245</v>
      </c>
      <c r="AI510" cm="1">
        <f t="array" aca="1" ref="AI510" ca="1">IFERROR(INDIRECT("FINI_grouping_for_wheel[@["&amp;FINI_grouping_for_wheel[[#This Row],[Selected PV]]&amp;"]]"),"")</f>
        <v>135</v>
      </c>
      <c r="AJ51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1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510" s="4"/>
      <c r="AM51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135</v>
      </c>
      <c r="AN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1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10" t="str">
        <f>_xlfn.CONCAT(FINI_grouping_for_wheel[[#This Row],[Recipe Combination]],FINI_grouping_for_wheel[[#This Row],[Subgroup]])</f>
        <v>6</v>
      </c>
    </row>
    <row r="511" spans="1:55" hidden="1">
      <c r="A511" t="s">
        <v>10</v>
      </c>
      <c r="B511" s="23">
        <v>4495849</v>
      </c>
      <c r="C511" t="s">
        <v>2115</v>
      </c>
      <c r="D511">
        <v>8303.27394895</v>
      </c>
      <c r="E511">
        <v>51</v>
      </c>
      <c r="F511">
        <v>1.02</v>
      </c>
      <c r="G511" s="23" t="s">
        <v>2138</v>
      </c>
      <c r="H511" s="23" t="s">
        <v>2139</v>
      </c>
      <c r="J511" t="s">
        <v>90</v>
      </c>
      <c r="K511" t="s">
        <v>515</v>
      </c>
      <c r="L511" t="s">
        <v>516</v>
      </c>
      <c r="M511">
        <v>893.848275</v>
      </c>
      <c r="N511">
        <v>3.5753931</v>
      </c>
      <c r="O511">
        <v>178616.931255</v>
      </c>
      <c r="P511">
        <v>421495.042005</v>
      </c>
      <c r="Q511">
        <v>5.0042751754810402E-3</v>
      </c>
      <c r="R511">
        <v>41.5518676979</v>
      </c>
      <c r="S511" t="s">
        <v>471</v>
      </c>
      <c r="T511" t="s">
        <v>93</v>
      </c>
      <c r="U511">
        <v>5</v>
      </c>
      <c r="V511" t="s">
        <v>518</v>
      </c>
      <c r="W511" t="s">
        <v>142</v>
      </c>
      <c r="X511" t="s">
        <v>150</v>
      </c>
      <c r="Y511" s="23" t="s">
        <v>151</v>
      </c>
      <c r="AA511">
        <v>2322</v>
      </c>
      <c r="AB511" t="s">
        <v>2140</v>
      </c>
      <c r="AC511" t="s">
        <v>2119</v>
      </c>
      <c r="AD511" s="2">
        <v>5</v>
      </c>
      <c r="AE511" s="2" t="s">
        <v>70</v>
      </c>
      <c r="AF511" t="str">
        <f>_xlfn.CONCAT(FINI_grouping_for_wheel[[#This Row],[SEFI/Plant]],"/",IF(FINI_grouping_for_wheel[[#This Row],[RESET recipe combination]]&lt;&gt;"",FINI_grouping_for_wheel[[#This Row],[RESET recipe combination]],FINI_grouping_for_wheel[[#This Row],[Recipe Combination]]),"/",FINI_grouping_for_wheel[[#This Row],[Subgroup]])</f>
        <v>4495849/THDP/x/5</v>
      </c>
      <c r="AG5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0.06838768115942029</v>
      </c>
      <c r="AH511">
        <f>_xlfn.LET(_xlpm.pct, FINI_grouping_for_wheel[[#This Row],[% forecast within subgroup]], _xlpm.lote, FINI_grouping_for_wheel[[#This Row],[Lot size considered]], _xlpm.pct*_xlpm.lote)</f>
        <v>567.8416514001132</v>
      </c>
      <c r="AI511" cm="1">
        <f t="array" aca="1" ref="AI511" ca="1">IFERROR(INDIRECT("FINI_grouping_for_wheel[@["&amp;FINI_grouping_for_wheel[[#This Row],[Selected PV]]&amp;"]]"),"")</f>
        <v>144</v>
      </c>
      <c r="AJ51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1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511" s="4"/>
      <c r="AM51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144</v>
      </c>
      <c r="AN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1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11" t="str">
        <f>_xlfn.CONCAT(FINI_grouping_for_wheel[[#This Row],[Recipe Combination]],FINI_grouping_for_wheel[[#This Row],[Subgroup]])</f>
        <v>5</v>
      </c>
    </row>
    <row r="512" spans="1:55">
      <c r="A512" t="s">
        <v>10</v>
      </c>
      <c r="B512" s="23">
        <v>4495849</v>
      </c>
      <c r="C512" t="s">
        <v>2115</v>
      </c>
      <c r="D512">
        <v>8303.27394895</v>
      </c>
      <c r="E512">
        <v>51</v>
      </c>
      <c r="F512">
        <v>1.02</v>
      </c>
      <c r="G512" s="23" t="s">
        <v>2141</v>
      </c>
      <c r="H512" s="23" t="s">
        <v>2142</v>
      </c>
      <c r="I512">
        <v>360</v>
      </c>
      <c r="J512" t="s">
        <v>90</v>
      </c>
      <c r="K512" t="s">
        <v>577</v>
      </c>
      <c r="L512" t="s">
        <v>578</v>
      </c>
      <c r="M512">
        <v>8299.17405</v>
      </c>
      <c r="N512">
        <v>33.1966962</v>
      </c>
      <c r="O512">
        <v>178616.931255</v>
      </c>
      <c r="P512">
        <v>421495.042005</v>
      </c>
      <c r="Q512">
        <v>4.646353507300939E-2</v>
      </c>
      <c r="R512">
        <v>385.799460348</v>
      </c>
      <c r="S512" t="s">
        <v>471</v>
      </c>
      <c r="T512" t="s">
        <v>93</v>
      </c>
      <c r="U512">
        <v>10</v>
      </c>
      <c r="V512" t="s">
        <v>482</v>
      </c>
      <c r="W512" t="s">
        <v>142</v>
      </c>
      <c r="X512" t="s">
        <v>96</v>
      </c>
      <c r="Y512" s="23" t="s">
        <v>483</v>
      </c>
      <c r="AA512">
        <v>250</v>
      </c>
      <c r="AB512" t="s">
        <v>2143</v>
      </c>
      <c r="AC512" t="s">
        <v>2119</v>
      </c>
      <c r="AD512" s="2">
        <v>3</v>
      </c>
      <c r="AE512" s="2" t="s">
        <v>70</v>
      </c>
      <c r="AF512" t="str">
        <f>_xlfn.CONCAT(FINI_grouping_for_wheel[[#This Row],[SEFI/Plant]],"/",IF(FINI_grouping_for_wheel[[#This Row],[RESET recipe combination]]&lt;&gt;"",FINI_grouping_for_wheel[[#This Row],[RESET recipe combination]],FINI_grouping_for_wheel[[#This Row],[Recipe Combination]]),"/",FINI_grouping_for_wheel[[#This Row],[Subgroup]])</f>
        <v>4495849/THDP/x/3</v>
      </c>
      <c r="AG5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0.2696153846153846</v>
      </c>
      <c r="AH512">
        <f>_xlfn.LET(_xlpm.pct, FINI_grouping_for_wheel[[#This Row],[% forecast within subgroup]], _xlpm.lote, FINI_grouping_for_wheel[[#This Row],[Lot size considered]], _xlpm.pct*_xlpm.lote)</f>
        <v>2238.6903993130577</v>
      </c>
      <c r="AI512" cm="1">
        <f t="array" aca="1" ref="AI512" ca="1">IFERROR(INDIRECT("FINI_grouping_for_wheel[@["&amp;FINI_grouping_for_wheel[[#This Row],[Selected PV]]&amp;"]]"),"")</f>
        <v>61</v>
      </c>
      <c r="AJ51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6.6</v>
      </c>
      <c r="AL512" s="4"/>
      <c r="AM51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61</v>
      </c>
      <c r="AN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1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12" t="str">
        <f>_xlfn.CONCAT(FINI_grouping_for_wheel[[#This Row],[Recipe Combination]],FINI_grouping_for_wheel[[#This Row],[Subgroup]])</f>
        <v>3</v>
      </c>
    </row>
    <row r="513" spans="1:55" hidden="1">
      <c r="A513" t="s">
        <v>10</v>
      </c>
      <c r="B513" s="23">
        <v>4495849</v>
      </c>
      <c r="C513" t="s">
        <v>2115</v>
      </c>
      <c r="D513">
        <v>8303.27394895</v>
      </c>
      <c r="E513">
        <v>51</v>
      </c>
      <c r="F513">
        <v>1.02</v>
      </c>
      <c r="G513" s="23" t="s">
        <v>2144</v>
      </c>
      <c r="H513" s="23" t="s">
        <v>2145</v>
      </c>
      <c r="I513">
        <v>330</v>
      </c>
      <c r="J513" t="s">
        <v>90</v>
      </c>
      <c r="K513" t="s">
        <v>312</v>
      </c>
      <c r="L513" t="s">
        <v>313</v>
      </c>
      <c r="M513">
        <v>1623.133755</v>
      </c>
      <c r="N513">
        <v>6.49253502</v>
      </c>
      <c r="O513">
        <v>178616.931255</v>
      </c>
      <c r="P513">
        <v>421495.042005</v>
      </c>
      <c r="Q513">
        <v>9.0872334643503395E-3</v>
      </c>
      <c r="R513">
        <v>75.4537888926</v>
      </c>
      <c r="S513" t="s">
        <v>471</v>
      </c>
      <c r="T513" t="s">
        <v>93</v>
      </c>
      <c r="U513">
        <v>1</v>
      </c>
      <c r="V513" t="s">
        <v>315</v>
      </c>
      <c r="W513" t="s">
        <v>142</v>
      </c>
      <c r="X513" t="s">
        <v>150</v>
      </c>
      <c r="Y513" s="23" t="s">
        <v>151</v>
      </c>
      <c r="AA513">
        <v>1279</v>
      </c>
      <c r="AB513" t="s">
        <v>2146</v>
      </c>
      <c r="AC513" t="s">
        <v>2119</v>
      </c>
      <c r="AD513" s="2">
        <v>6</v>
      </c>
      <c r="AE513" s="2" t="s">
        <v>70</v>
      </c>
      <c r="AF513" t="str">
        <f>_xlfn.CONCAT(FINI_grouping_for_wheel[[#This Row],[SEFI/Plant]],"/",IF(FINI_grouping_for_wheel[[#This Row],[RESET recipe combination]]&lt;&gt;"",FINI_grouping_for_wheel[[#This Row],[RESET recipe combination]],FINI_grouping_for_wheel[[#This Row],[Recipe Combination]]),"/",FINI_grouping_for_wheel[[#This Row],[Subgroup]])</f>
        <v>4495849/THDP/x/6</v>
      </c>
      <c r="AG5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0.11627512509541175</v>
      </c>
      <c r="AH513">
        <f>_xlfn.LET(_xlpm.pct, FINI_grouping_for_wheel[[#This Row],[% forecast within subgroup]], _xlpm.lote, FINI_grouping_for_wheel[[#This Row],[Lot size considered]], _xlpm.pct*_xlpm.lote)</f>
        <v>965.4642171156348</v>
      </c>
      <c r="AI513" cm="1">
        <f t="array" aca="1" ref="AI513" ca="1">IFERROR(INDIRECT("FINI_grouping_for_wheel[@["&amp;FINI_grouping_for_wheel[[#This Row],[Selected PV]]&amp;"]]"),"")</f>
        <v>135</v>
      </c>
      <c r="AJ51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3.1</v>
      </c>
      <c r="AL513" s="4"/>
      <c r="AM51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135</v>
      </c>
      <c r="AN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1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13" t="str">
        <f>_xlfn.CONCAT(FINI_grouping_for_wheel[[#This Row],[Recipe Combination]],FINI_grouping_for_wheel[[#This Row],[Subgroup]])</f>
        <v>6</v>
      </c>
    </row>
    <row r="514" spans="1:55" hidden="1">
      <c r="A514" t="s">
        <v>10</v>
      </c>
      <c r="B514" s="23">
        <v>4495849</v>
      </c>
      <c r="C514" t="s">
        <v>2115</v>
      </c>
      <c r="D514">
        <v>8303.27394895</v>
      </c>
      <c r="E514">
        <v>51</v>
      </c>
      <c r="F514">
        <v>1.02</v>
      </c>
      <c r="G514" s="23" t="s">
        <v>2147</v>
      </c>
      <c r="H514" s="23" t="s">
        <v>2148</v>
      </c>
      <c r="I514">
        <v>450</v>
      </c>
      <c r="J514" t="s">
        <v>90</v>
      </c>
      <c r="K514" t="s">
        <v>264</v>
      </c>
      <c r="L514" t="s">
        <v>265</v>
      </c>
      <c r="M514">
        <v>5629.468275</v>
      </c>
      <c r="N514">
        <v>22.5178731</v>
      </c>
      <c r="O514">
        <v>178616.931255</v>
      </c>
      <c r="P514">
        <v>421495.042005</v>
      </c>
      <c r="Q514">
        <v>3.1516991336969995E-2</v>
      </c>
      <c r="R514">
        <v>261.694213117</v>
      </c>
      <c r="S514" t="s">
        <v>471</v>
      </c>
      <c r="T514" t="s">
        <v>93</v>
      </c>
      <c r="U514">
        <v>2.5</v>
      </c>
      <c r="V514" t="s">
        <v>267</v>
      </c>
      <c r="W514" t="s">
        <v>142</v>
      </c>
      <c r="X514" t="s">
        <v>150</v>
      </c>
      <c r="Y514" s="23" t="s">
        <v>151</v>
      </c>
      <c r="AA514">
        <v>369</v>
      </c>
      <c r="AB514" t="s">
        <v>2149</v>
      </c>
      <c r="AC514" t="s">
        <v>2119</v>
      </c>
      <c r="AD514" s="2">
        <v>6</v>
      </c>
      <c r="AE514" s="2" t="s">
        <v>70</v>
      </c>
      <c r="AF514" t="str">
        <f>_xlfn.CONCAT(FINI_grouping_for_wheel[[#This Row],[SEFI/Plant]],"/",IF(FINI_grouping_for_wheel[[#This Row],[RESET recipe combination]]&lt;&gt;"",FINI_grouping_for_wheel[[#This Row],[RESET recipe combination]],FINI_grouping_for_wheel[[#This Row],[Recipe Combination]]),"/",FINI_grouping_for_wheel[[#This Row],[Subgroup]])</f>
        <v>4495849/THDP/x/6</v>
      </c>
      <c r="AG5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0.40327368331778474</v>
      </c>
      <c r="AH514">
        <f>_xlfn.LET(_xlpm.pct, FINI_grouping_for_wheel[[#This Row],[% forecast within subgroup]], _xlpm.lote, FINI_grouping_for_wheel[[#This Row],[Lot size considered]], _xlpm.pct*_xlpm.lote)</f>
        <v>3348.491868989674</v>
      </c>
      <c r="AI514" cm="1">
        <f t="array" aca="1" ref="AI514" ca="1">IFERROR(INDIRECT("FINI_grouping_for_wheel[@["&amp;FINI_grouping_for_wheel[[#This Row],[Selected PV]]&amp;"]]"),"")</f>
        <v>135</v>
      </c>
      <c r="AJ51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7.9</v>
      </c>
      <c r="AL514" s="4"/>
      <c r="AM51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135</v>
      </c>
      <c r="AN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1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14" t="str">
        <f>_xlfn.CONCAT(FINI_grouping_for_wheel[[#This Row],[Recipe Combination]],FINI_grouping_for_wheel[[#This Row],[Subgroup]])</f>
        <v>6</v>
      </c>
    </row>
    <row r="515" spans="1:55" hidden="1">
      <c r="A515" t="s">
        <v>10</v>
      </c>
      <c r="B515" s="23">
        <v>4495849</v>
      </c>
      <c r="C515" t="s">
        <v>2115</v>
      </c>
      <c r="D515">
        <v>8303.27394895</v>
      </c>
      <c r="E515">
        <v>51</v>
      </c>
      <c r="F515">
        <v>1.02</v>
      </c>
      <c r="G515" s="23" t="s">
        <v>2150</v>
      </c>
      <c r="H515" s="23" t="s">
        <v>2151</v>
      </c>
      <c r="I515">
        <v>480</v>
      </c>
      <c r="J515" t="s">
        <v>90</v>
      </c>
      <c r="K515" t="s">
        <v>515</v>
      </c>
      <c r="L515" t="s">
        <v>516</v>
      </c>
      <c r="M515">
        <v>12176.462925</v>
      </c>
      <c r="N515">
        <v>48.7058517</v>
      </c>
      <c r="O515">
        <v>178616.931255</v>
      </c>
      <c r="P515">
        <v>421495.042005</v>
      </c>
      <c r="Q515">
        <v>6.817082143022847E-2</v>
      </c>
      <c r="R515">
        <v>566.04100566</v>
      </c>
      <c r="S515" t="s">
        <v>471</v>
      </c>
      <c r="T515" t="s">
        <v>93</v>
      </c>
      <c r="U515">
        <v>5</v>
      </c>
      <c r="V515" t="s">
        <v>518</v>
      </c>
      <c r="W515" t="s">
        <v>142</v>
      </c>
      <c r="X515" t="s">
        <v>150</v>
      </c>
      <c r="Y515" s="23" t="s">
        <v>151</v>
      </c>
      <c r="AA515">
        <v>170</v>
      </c>
      <c r="AB515" t="s">
        <v>2152</v>
      </c>
      <c r="AC515" t="s">
        <v>2119</v>
      </c>
      <c r="AD515" s="2">
        <v>5</v>
      </c>
      <c r="AE515" s="2" t="s">
        <v>70</v>
      </c>
      <c r="AF515" t="str">
        <f>_xlfn.CONCAT(FINI_grouping_for_wheel[[#This Row],[SEFI/Plant]],"/",IF(FINI_grouping_for_wheel[[#This Row],[RESET recipe combination]]&lt;&gt;"",FINI_grouping_for_wheel[[#This Row],[RESET recipe combination]],FINI_grouping_for_wheel[[#This Row],[Recipe Combination]]),"/",FINI_grouping_for_wheel[[#This Row],[Subgroup]])</f>
        <v>4495849/THDP/x/5</v>
      </c>
      <c r="AG5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0.9316123188405797</v>
      </c>
      <c r="AH515">
        <f>_xlfn.LET(_xlpm.pct, FINI_grouping_for_wheel[[#This Row],[% forecast within subgroup]], _xlpm.lote, FINI_grouping_for_wheel[[#This Row],[Lot size considered]], _xlpm.pct*_xlpm.lote)</f>
        <v>7735.432297549887</v>
      </c>
      <c r="AI515" cm="1">
        <f t="array" aca="1" ref="AI515" ca="1">IFERROR(INDIRECT("FINI_grouping_for_wheel[@["&amp;FINI_grouping_for_wheel[[#This Row],[Selected PV]]&amp;"]]"),"")</f>
        <v>144</v>
      </c>
      <c r="AJ51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17.2</v>
      </c>
      <c r="AL515" s="4"/>
      <c r="AM51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144</v>
      </c>
      <c r="AN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1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15" t="str">
        <f>_xlfn.CONCAT(FINI_grouping_for_wheel[[#This Row],[Recipe Combination]],FINI_grouping_for_wheel[[#This Row],[Subgroup]])</f>
        <v>5</v>
      </c>
    </row>
    <row r="516" spans="1:55" hidden="1">
      <c r="A516" t="s">
        <v>10</v>
      </c>
      <c r="B516" s="23">
        <v>4495849</v>
      </c>
      <c r="C516" t="s">
        <v>2115</v>
      </c>
      <c r="D516">
        <v>8303.27394895</v>
      </c>
      <c r="E516">
        <v>51</v>
      </c>
      <c r="F516">
        <v>1.02</v>
      </c>
      <c r="G516" s="23" t="s">
        <v>2153</v>
      </c>
      <c r="H516" s="23" t="s">
        <v>2154</v>
      </c>
      <c r="I516">
        <v>360</v>
      </c>
      <c r="J516" t="s">
        <v>90</v>
      </c>
      <c r="K516" t="s">
        <v>264</v>
      </c>
      <c r="L516" t="s">
        <v>265</v>
      </c>
      <c r="M516">
        <v>943.572285</v>
      </c>
      <c r="N516">
        <v>3.77428914</v>
      </c>
      <c r="O516">
        <v>178616.931255</v>
      </c>
      <c r="P516">
        <v>421495.042005</v>
      </c>
      <c r="Q516">
        <v>5.282658695176674E-3</v>
      </c>
      <c r="R516">
        <v>43.8633623248</v>
      </c>
      <c r="S516" t="s">
        <v>471</v>
      </c>
      <c r="T516" t="s">
        <v>93</v>
      </c>
      <c r="U516">
        <v>2.5</v>
      </c>
      <c r="V516" t="s">
        <v>267</v>
      </c>
      <c r="W516" t="s">
        <v>142</v>
      </c>
      <c r="X516" t="s">
        <v>150</v>
      </c>
      <c r="Y516" s="23" t="s">
        <v>151</v>
      </c>
      <c r="AA516">
        <v>2200</v>
      </c>
      <c r="AB516" t="s">
        <v>2155</v>
      </c>
      <c r="AC516" t="s">
        <v>2119</v>
      </c>
      <c r="AD516" s="2">
        <v>6</v>
      </c>
      <c r="AE516" s="2" t="s">
        <v>70</v>
      </c>
      <c r="AF516" t="str">
        <f>_xlfn.CONCAT(FINI_grouping_for_wheel[[#This Row],[SEFI/Plant]],"/",IF(FINI_grouping_for_wheel[[#This Row],[RESET recipe combination]]&lt;&gt;"",FINI_grouping_for_wheel[[#This Row],[RESET recipe combination]],FINI_grouping_for_wheel[[#This Row],[Recipe Combination]]),"/",FINI_grouping_for_wheel[[#This Row],[Subgroup]])</f>
        <v>4495849/THDP/x/6</v>
      </c>
      <c r="AG5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0.06759392757187685</v>
      </c>
      <c r="AH516">
        <f>_xlfn.LET(_xlpm.pct, FINI_grouping_for_wheel[[#This Row],[% forecast within subgroup]], _xlpm.lote, FINI_grouping_for_wheel[[#This Row],[Lot size considered]], _xlpm.pct*_xlpm.lote)</f>
        <v>561.2508979147782</v>
      </c>
      <c r="AI516" cm="1">
        <f t="array" aca="1" ref="AI516" ca="1">IFERROR(INDIRECT("FINI_grouping_for_wheel[@["&amp;FINI_grouping_for_wheel[[#This Row],[Selected PV]]&amp;"]]"),"")</f>
        <v>135</v>
      </c>
      <c r="AJ51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v>
      </c>
      <c r="AL516" s="4"/>
      <c r="AM51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135</v>
      </c>
      <c r="AN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1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16" t="str">
        <f>_xlfn.CONCAT(FINI_grouping_for_wheel[[#This Row],[Recipe Combination]],FINI_grouping_for_wheel[[#This Row],[Subgroup]])</f>
        <v>6</v>
      </c>
    </row>
    <row r="517" spans="1:55" hidden="1">
      <c r="A517" t="s">
        <v>10</v>
      </c>
      <c r="B517" s="23">
        <v>4495849</v>
      </c>
      <c r="C517" t="s">
        <v>2115</v>
      </c>
      <c r="D517">
        <v>8303.27394895</v>
      </c>
      <c r="E517">
        <v>51</v>
      </c>
      <c r="F517">
        <v>1.02</v>
      </c>
      <c r="G517" s="23" t="s">
        <v>2156</v>
      </c>
      <c r="H517" s="23" t="s">
        <v>2157</v>
      </c>
      <c r="J517" t="s">
        <v>90</v>
      </c>
      <c r="K517" t="s">
        <v>515</v>
      </c>
      <c r="L517" t="s">
        <v>516</v>
      </c>
      <c r="M517">
        <v>15645.304575</v>
      </c>
      <c r="N517">
        <v>62.5812183</v>
      </c>
      <c r="O517">
        <v>178616.931255</v>
      </c>
      <c r="P517">
        <v>421495.042005</v>
      </c>
      <c r="Q517">
        <v>8.7591386018519138E-2</v>
      </c>
      <c r="R517">
        <v>727.29527368</v>
      </c>
      <c r="S517" t="s">
        <v>471</v>
      </c>
      <c r="T517" t="s">
        <v>93</v>
      </c>
      <c r="U517">
        <v>5</v>
      </c>
      <c r="V517" t="s">
        <v>518</v>
      </c>
      <c r="W517" t="s">
        <v>142</v>
      </c>
      <c r="X517" t="s">
        <v>150</v>
      </c>
      <c r="Y517" s="23" t="s">
        <v>151</v>
      </c>
      <c r="AA517">
        <v>133</v>
      </c>
      <c r="AB517" t="s">
        <v>2158</v>
      </c>
      <c r="AC517" t="s">
        <v>2119</v>
      </c>
      <c r="AD517" s="2">
        <v>4</v>
      </c>
      <c r="AE517" s="2" t="s">
        <v>70</v>
      </c>
      <c r="AF517" t="str">
        <f>_xlfn.CONCAT(FINI_grouping_for_wheel[[#This Row],[SEFI/Plant]],"/",IF(FINI_grouping_for_wheel[[#This Row],[RESET recipe combination]]&lt;&gt;"",FINI_grouping_for_wheel[[#This Row],[RESET recipe combination]],FINI_grouping_for_wheel[[#This Row],[Recipe Combination]]),"/",FINI_grouping_for_wheel[[#This Row],[Subgroup]])</f>
        <v>4495849/THDP/x/4</v>
      </c>
      <c r="AG5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0.9241258741258742</v>
      </c>
      <c r="AH517">
        <f>_xlfn.LET(_xlpm.pct, FINI_grouping_for_wheel[[#This Row],[% forecast within subgroup]], _xlpm.lote, FINI_grouping_for_wheel[[#This Row],[Lot size considered]], _xlpm.pct*_xlpm.lote)</f>
        <v>7673.270296180018</v>
      </c>
      <c r="AI517" cm="1">
        <f t="array" aca="1" ref="AI517" ca="1">IFERROR(INDIRECT("FINI_grouping_for_wheel[@["&amp;FINI_grouping_for_wheel[[#This Row],[Selected PV]]&amp;"]]"),"")</f>
        <v>111</v>
      </c>
      <c r="AJ51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1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517" s="4"/>
      <c r="AM51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111</v>
      </c>
      <c r="AN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1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17" t="str">
        <f>_xlfn.CONCAT(FINI_grouping_for_wheel[[#This Row],[Recipe Combination]],FINI_grouping_for_wheel[[#This Row],[Subgroup]])</f>
        <v>4</v>
      </c>
    </row>
    <row r="518" spans="1:55">
      <c r="A518" t="s">
        <v>10</v>
      </c>
      <c r="B518" s="23">
        <v>4495849</v>
      </c>
      <c r="C518" t="s">
        <v>2115</v>
      </c>
      <c r="D518">
        <v>8303.27394895</v>
      </c>
      <c r="E518">
        <v>51</v>
      </c>
      <c r="F518">
        <v>1.02</v>
      </c>
      <c r="G518" s="23" t="s">
        <v>2159</v>
      </c>
      <c r="H518" s="23" t="s">
        <v>2160</v>
      </c>
      <c r="I518">
        <v>360</v>
      </c>
      <c r="J518" t="s">
        <v>90</v>
      </c>
      <c r="K518" t="s">
        <v>809</v>
      </c>
      <c r="L518" t="s">
        <v>810</v>
      </c>
      <c r="M518">
        <v>242878.11075</v>
      </c>
      <c r="N518">
        <v>971.512443</v>
      </c>
      <c r="O518">
        <v>242878.11075</v>
      </c>
      <c r="P518">
        <v>421495.042005</v>
      </c>
      <c r="Q518">
        <v>1</v>
      </c>
      <c r="R518">
        <v>8303.27394895</v>
      </c>
      <c r="S518" t="s">
        <v>157</v>
      </c>
      <c r="T518" t="s">
        <v>93</v>
      </c>
      <c r="U518">
        <v>10</v>
      </c>
      <c r="V518" t="s">
        <v>482</v>
      </c>
      <c r="W518" t="s">
        <v>159</v>
      </c>
      <c r="X518" t="s">
        <v>96</v>
      </c>
      <c r="Y518" s="23" t="s">
        <v>483</v>
      </c>
      <c r="AA518">
        <v>9</v>
      </c>
      <c r="AB518" t="s">
        <v>2161</v>
      </c>
      <c r="AC518" t="s">
        <v>2119</v>
      </c>
      <c r="AD518" s="2">
        <v>1</v>
      </c>
      <c r="AE518" s="2" t="s">
        <v>70</v>
      </c>
      <c r="AF518" t="str">
        <f>_xlfn.CONCAT(FINI_grouping_for_wheel[[#This Row],[SEFI/Plant]],"/",IF(FINI_grouping_for_wheel[[#This Row],[RESET recipe combination]]&lt;&gt;"",FINI_grouping_for_wheel[[#This Row],[RESET recipe combination]],FINI_grouping_for_wheel[[#This Row],[Recipe Combination]]),"/",FINI_grouping_for_wheel[[#This Row],[Subgroup]])</f>
        <v>4495849/THDP/x/1</v>
      </c>
      <c r="AG5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18">
        <f>_xlfn.LET(_xlpm.pct, FINI_grouping_for_wheel[[#This Row],[% forecast within subgroup]], _xlpm.lote, FINI_grouping_for_wheel[[#This Row],[Lot size considered]], _xlpm.pct*_xlpm.lote)</f>
        <v>8303.27394895</v>
      </c>
      <c r="AI518" cm="1">
        <f t="array" aca="1" ref="AI518" ca="1">IFERROR(INDIRECT("FINI_grouping_for_wheel[@["&amp;FINI_grouping_for_wheel[[#This Row],[Selected PV]]&amp;"]]"),"")</f>
        <v>8</v>
      </c>
      <c r="AJ51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8855.6094</v>
      </c>
      <c r="AK5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24.6</v>
      </c>
      <c r="AL518" s="4"/>
      <c r="AM51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v>
      </c>
      <c r="AN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1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18" t="str">
        <f>_xlfn.CONCAT(FINI_grouping_for_wheel[[#This Row],[Recipe Combination]],FINI_grouping_for_wheel[[#This Row],[Subgroup]])</f>
        <v>M1</v>
      </c>
    </row>
    <row r="519" spans="1:55" hidden="1">
      <c r="A519" t="s">
        <v>10</v>
      </c>
      <c r="B519">
        <v>4465094</v>
      </c>
      <c r="C519" t="s">
        <v>2162</v>
      </c>
      <c r="D519">
        <v>9191.4003521</v>
      </c>
      <c r="E519">
        <v>51</v>
      </c>
      <c r="F519">
        <v>1.02</v>
      </c>
      <c r="G519" t="s">
        <v>2163</v>
      </c>
      <c r="H519" t="s">
        <v>2164</v>
      </c>
      <c r="I519">
        <v>450</v>
      </c>
      <c r="J519" t="s">
        <v>90</v>
      </c>
      <c r="K519" t="s">
        <v>1669</v>
      </c>
      <c r="L519" t="s">
        <v>1670</v>
      </c>
      <c r="M519">
        <v>1331.893125</v>
      </c>
      <c r="N519">
        <v>5.3275725</v>
      </c>
      <c r="O519">
        <v>35730.2529</v>
      </c>
      <c r="P519">
        <v>464500.39113</v>
      </c>
      <c r="Q519">
        <v>3.7276341948310136E-2</v>
      </c>
      <c r="R519">
        <v>342.621782509</v>
      </c>
      <c r="S519" t="s">
        <v>2165</v>
      </c>
      <c r="T519" t="s">
        <v>93</v>
      </c>
      <c r="U519">
        <v>15</v>
      </c>
      <c r="V519" t="s">
        <v>231</v>
      </c>
      <c r="W519" t="s">
        <v>142</v>
      </c>
      <c r="X519" t="s">
        <v>96</v>
      </c>
      <c r="Y519" s="23" t="s">
        <v>97</v>
      </c>
      <c r="AA519">
        <v>1725</v>
      </c>
      <c r="AB519" t="s">
        <v>2166</v>
      </c>
      <c r="AC519" t="s">
        <v>2167</v>
      </c>
      <c r="AD519" s="2">
        <v>4</v>
      </c>
      <c r="AE519" s="2" t="s">
        <v>70</v>
      </c>
      <c r="AF519" t="str">
        <f>_xlfn.CONCAT(FINI_grouping_for_wheel[[#This Row],[SEFI/Plant]],"/",IF(FINI_grouping_for_wheel[[#This Row],[RESET recipe combination]]&lt;&gt;"",FINI_grouping_for_wheel[[#This Row],[RESET recipe combination]],FINI_grouping_for_wheel[[#This Row],[Recipe Combination]]),"/",FINI_grouping_for_wheel[[#This Row],[Subgroup]])</f>
        <v>4465094/THDP/x/4</v>
      </c>
      <c r="AG5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0.03607503607503608</v>
      </c>
      <c r="AH519">
        <f>_xlfn.LET(_xlpm.pct, FINI_grouping_for_wheel[[#This Row],[% forecast within subgroup]], _xlpm.lote, FINI_grouping_for_wheel[[#This Row],[Lot size considered]], _xlpm.pct*_xlpm.lote)</f>
        <v>331.5800992821068</v>
      </c>
      <c r="AI519" cm="1">
        <f t="array" aca="1" ref="AI519" ca="1">IFERROR(INDIRECT("FINI_grouping_for_wheel[@["&amp;FINI_grouping_for_wheel[[#This Row],[Selected PV]]&amp;"]]"),"")</f>
        <v>51</v>
      </c>
      <c r="AJ51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0.7</v>
      </c>
      <c r="AL519" s="4"/>
      <c r="AM51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51</v>
      </c>
      <c r="AN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1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19" t="str">
        <f>_xlfn.CONCAT(FINI_grouping_for_wheel[[#This Row],[Recipe Combination]],FINI_grouping_for_wheel[[#This Row],[Subgroup]])</f>
        <v>-4</v>
      </c>
    </row>
    <row r="520" spans="1:55" hidden="1">
      <c r="A520" t="s">
        <v>10</v>
      </c>
      <c r="B520">
        <v>4465094</v>
      </c>
      <c r="C520" t="s">
        <v>2162</v>
      </c>
      <c r="D520">
        <v>9191.4003521</v>
      </c>
      <c r="E520">
        <v>51</v>
      </c>
      <c r="F520">
        <v>1.02</v>
      </c>
      <c r="G520" t="s">
        <v>2168</v>
      </c>
      <c r="H520" t="s">
        <v>2169</v>
      </c>
      <c r="I520">
        <v>450</v>
      </c>
      <c r="J520" t="s">
        <v>90</v>
      </c>
      <c r="K520" t="s">
        <v>2170</v>
      </c>
      <c r="L520" t="s">
        <v>2171</v>
      </c>
      <c r="M520">
        <v>34398.359775</v>
      </c>
      <c r="N520">
        <v>137.5934391</v>
      </c>
      <c r="O520">
        <v>35730.2529</v>
      </c>
      <c r="P520">
        <v>464500.39113</v>
      </c>
      <c r="Q520">
        <v>0.96272365805168991</v>
      </c>
      <c r="R520">
        <v>8848.77856959</v>
      </c>
      <c r="S520" t="s">
        <v>2165</v>
      </c>
      <c r="T520" t="s">
        <v>93</v>
      </c>
      <c r="U520">
        <v>15</v>
      </c>
      <c r="V520" t="s">
        <v>408</v>
      </c>
      <c r="W520" t="s">
        <v>95</v>
      </c>
      <c r="X520" t="s">
        <v>96</v>
      </c>
      <c r="Y520" s="23" t="s">
        <v>97</v>
      </c>
      <c r="AA520">
        <v>67</v>
      </c>
      <c r="AB520" t="s">
        <v>2172</v>
      </c>
      <c r="AC520" t="s">
        <v>2167</v>
      </c>
      <c r="AD520" s="2">
        <v>4</v>
      </c>
      <c r="AE520" s="2" t="s">
        <v>70</v>
      </c>
      <c r="AF520" t="str">
        <f>_xlfn.CONCAT(FINI_grouping_for_wheel[[#This Row],[SEFI/Plant]],"/",IF(FINI_grouping_for_wheel[[#This Row],[RESET recipe combination]]&lt;&gt;"",FINI_grouping_for_wheel[[#This Row],[RESET recipe combination]],FINI_grouping_for_wheel[[#This Row],[Recipe Combination]]),"/",FINI_grouping_for_wheel[[#This Row],[Subgroup]])</f>
        <v>4465094/THDP/x/4</v>
      </c>
      <c r="AG5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0.9316979316979317</v>
      </c>
      <c r="AH520">
        <f>_xlfn.LET(_xlpm.pct, FINI_grouping_for_wheel[[#This Row],[% forecast within subgroup]], _xlpm.lote, FINI_grouping_for_wheel[[#This Row],[Lot size considered]], _xlpm.pct*_xlpm.lote)</f>
        <v>8563.60869745921</v>
      </c>
      <c r="AI520" cm="1">
        <f t="array" aca="1" ref="AI520" ca="1">IFERROR(INDIRECT("FINI_grouping_for_wheel[@["&amp;FINI_grouping_for_wheel[[#This Row],[Selected PV]]&amp;"]]"),"")</f>
        <v>51</v>
      </c>
      <c r="AJ52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18.4</v>
      </c>
      <c r="AL520" s="4"/>
      <c r="AM52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51</v>
      </c>
      <c r="AN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2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20" t="str">
        <f>_xlfn.CONCAT(FINI_grouping_for_wheel[[#This Row],[Recipe Combination]],FINI_grouping_for_wheel[[#This Row],[Subgroup]])</f>
        <v>-4</v>
      </c>
    </row>
    <row r="521" spans="1:55" hidden="1">
      <c r="A521" t="s">
        <v>10</v>
      </c>
      <c r="B521">
        <v>4465094</v>
      </c>
      <c r="C521" t="s">
        <v>2162</v>
      </c>
      <c r="D521">
        <v>9191.4003521</v>
      </c>
      <c r="E521">
        <v>51</v>
      </c>
      <c r="F521">
        <v>1.02</v>
      </c>
      <c r="G521" t="s">
        <v>2173</v>
      </c>
      <c r="H521" t="s">
        <v>2174</v>
      </c>
      <c r="I521">
        <v>220</v>
      </c>
      <c r="J521" t="s">
        <v>90</v>
      </c>
      <c r="K521" t="s">
        <v>602</v>
      </c>
      <c r="L521" t="s">
        <v>603</v>
      </c>
      <c r="M521">
        <v>1764.01845</v>
      </c>
      <c r="N521">
        <v>7.0560738</v>
      </c>
      <c r="O521">
        <v>2843.73981</v>
      </c>
      <c r="P521">
        <v>464500.39113</v>
      </c>
      <c r="Q521">
        <v>0.62031640299750213</v>
      </c>
      <c r="R521">
        <v>5701.57640493</v>
      </c>
      <c r="S521" t="s">
        <v>104</v>
      </c>
      <c r="T521" t="s">
        <v>93</v>
      </c>
      <c r="U521">
        <v>2.5</v>
      </c>
      <c r="V521" t="s">
        <v>604</v>
      </c>
      <c r="W521" t="s">
        <v>142</v>
      </c>
      <c r="X521" t="s">
        <v>128</v>
      </c>
      <c r="Y521" s="23" t="s">
        <v>136</v>
      </c>
      <c r="AA521">
        <v>1303</v>
      </c>
      <c r="AB521" t="s">
        <v>2175</v>
      </c>
      <c r="AC521" t="s">
        <v>2167</v>
      </c>
      <c r="AD521" s="2">
        <v>9</v>
      </c>
      <c r="AE521" s="2" t="s">
        <v>70</v>
      </c>
      <c r="AF521" t="str">
        <f>_xlfn.CONCAT(FINI_grouping_for_wheel[[#This Row],[SEFI/Plant]],"/",IF(FINI_grouping_for_wheel[[#This Row],[RESET recipe combination]]&lt;&gt;"",FINI_grouping_for_wheel[[#This Row],[RESET recipe combination]],FINI_grouping_for_wheel[[#This Row],[Recipe Combination]]),"/",FINI_grouping_for_wheel[[#This Row],[Subgroup]])</f>
        <v>4465094/THDP/x/9</v>
      </c>
      <c r="AG5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0.0675277588941763</v>
      </c>
      <c r="AH521">
        <f>_xlfn.LET(_xlpm.pct, FINI_grouping_for_wheel[[#This Row],[% forecast within subgroup]], _xlpm.lote, FINI_grouping_for_wheel[[#This Row],[Lot size considered]], _xlpm.pct*_xlpm.lote)</f>
        <v>620.6746668764558</v>
      </c>
      <c r="AI521" cm="1">
        <f t="array" aca="1" ref="AI521" ca="1">IFERROR(INDIRECT("FINI_grouping_for_wheel[@["&amp;FINI_grouping_for_wheel[[#This Row],[Selected PV]]&amp;"]]"),"")</f>
        <v>72</v>
      </c>
      <c r="AJ52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v>
      </c>
      <c r="AL521" s="4"/>
      <c r="AM52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v>
      </c>
      <c r="AN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2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21" t="str">
        <f>_xlfn.CONCAT(FINI_grouping_for_wheel[[#This Row],[Recipe Combination]],FINI_grouping_for_wheel[[#This Row],[Subgroup]])</f>
        <v>09</v>
      </c>
    </row>
    <row r="522" spans="1:55" hidden="1">
      <c r="A522" t="s">
        <v>10</v>
      </c>
      <c r="B522">
        <v>4465094</v>
      </c>
      <c r="C522" t="s">
        <v>2162</v>
      </c>
      <c r="D522">
        <v>9191.4003521</v>
      </c>
      <c r="E522">
        <v>51</v>
      </c>
      <c r="F522">
        <v>1.02</v>
      </c>
      <c r="G522" t="s">
        <v>2176</v>
      </c>
      <c r="H522" t="s">
        <v>2177</v>
      </c>
      <c r="I522">
        <v>360</v>
      </c>
      <c r="J522" t="s">
        <v>90</v>
      </c>
      <c r="K522" t="s">
        <v>946</v>
      </c>
      <c r="L522" t="s">
        <v>947</v>
      </c>
      <c r="M522">
        <v>1079.72136</v>
      </c>
      <c r="N522">
        <v>4.31888544</v>
      </c>
      <c r="O522">
        <v>2843.73981</v>
      </c>
      <c r="P522">
        <v>464500.39113</v>
      </c>
      <c r="Q522">
        <v>0.37968359700249793</v>
      </c>
      <c r="R522">
        <v>3489.82394718</v>
      </c>
      <c r="S522" t="s">
        <v>104</v>
      </c>
      <c r="T522" t="s">
        <v>93</v>
      </c>
      <c r="U522">
        <v>2.5</v>
      </c>
      <c r="V522" t="s">
        <v>166</v>
      </c>
      <c r="W522" t="s">
        <v>95</v>
      </c>
      <c r="X522" t="s">
        <v>96</v>
      </c>
      <c r="Y522" s="23" t="s">
        <v>167</v>
      </c>
      <c r="AA522">
        <v>2128</v>
      </c>
      <c r="AB522" t="s">
        <v>2178</v>
      </c>
      <c r="AC522" t="s">
        <v>2167</v>
      </c>
      <c r="AD522" s="2">
        <v>8</v>
      </c>
      <c r="AE522" s="2" t="s">
        <v>70</v>
      </c>
      <c r="AF522" t="str">
        <f>_xlfn.CONCAT(FINI_grouping_for_wheel[[#This Row],[SEFI/Plant]],"/",IF(FINI_grouping_for_wheel[[#This Row],[RESET recipe combination]]&lt;&gt;"",FINI_grouping_for_wheel[[#This Row],[RESET recipe combination]],FINI_grouping_for_wheel[[#This Row],[Recipe Combination]]),"/",FINI_grouping_for_wheel[[#This Row],[Subgroup]])</f>
        <v>4465094/THDP/x/8</v>
      </c>
      <c r="AG5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0.04266267483744211</v>
      </c>
      <c r="AH522">
        <f>_xlfn.LET(_xlpm.pct, FINI_grouping_for_wheel[[#This Row],[% forecast within subgroup]], _xlpm.lote, FINI_grouping_for_wheel[[#This Row],[Lot size considered]], _xlpm.pct*_xlpm.lote)</f>
        <v>392.12972452239325</v>
      </c>
      <c r="AI522" cm="1">
        <f t="array" aca="1" ref="AI522" ca="1">IFERROR(INDIRECT("FINI_grouping_for_wheel[@["&amp;FINI_grouping_for_wheel[[#This Row],[Selected PV]]&amp;"]]"),"")</f>
        <v>75</v>
      </c>
      <c r="AJ52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v>
      </c>
      <c r="AL522" s="4"/>
      <c r="AM52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75</v>
      </c>
      <c r="AN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2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22" t="str">
        <f>_xlfn.CONCAT(FINI_grouping_for_wheel[[#This Row],[Recipe Combination]],FINI_grouping_for_wheel[[#This Row],[Subgroup]])</f>
        <v>08</v>
      </c>
    </row>
    <row r="523" spans="1:55" hidden="1">
      <c r="A523" t="s">
        <v>10</v>
      </c>
      <c r="B523">
        <v>4465094</v>
      </c>
      <c r="C523" t="s">
        <v>2162</v>
      </c>
      <c r="D523">
        <v>9191.4003521</v>
      </c>
      <c r="E523">
        <v>51</v>
      </c>
      <c r="F523">
        <v>1.02</v>
      </c>
      <c r="G523" t="s">
        <v>2179</v>
      </c>
      <c r="H523" t="s">
        <v>2180</v>
      </c>
      <c r="I523">
        <v>487.5</v>
      </c>
      <c r="J523" t="s">
        <v>90</v>
      </c>
      <c r="K523" t="s">
        <v>264</v>
      </c>
      <c r="L523" t="s">
        <v>265</v>
      </c>
      <c r="M523">
        <v>5267.193345</v>
      </c>
      <c r="N523">
        <v>21.06877338</v>
      </c>
      <c r="O523">
        <v>5563.169595</v>
      </c>
      <c r="P523">
        <v>464500.39113</v>
      </c>
      <c r="Q523">
        <v>0.94679719089167913</v>
      </c>
      <c r="R523">
        <v>8702.39203373</v>
      </c>
      <c r="S523" t="s">
        <v>594</v>
      </c>
      <c r="T523" t="s">
        <v>93</v>
      </c>
      <c r="U523">
        <v>2.5</v>
      </c>
      <c r="V523" t="s">
        <v>267</v>
      </c>
      <c r="W523" t="s">
        <v>142</v>
      </c>
      <c r="X523" t="s">
        <v>150</v>
      </c>
      <c r="Y523" s="23" t="s">
        <v>151</v>
      </c>
      <c r="AA523">
        <v>436</v>
      </c>
      <c r="AB523" t="s">
        <v>2181</v>
      </c>
      <c r="AC523" t="s">
        <v>2167</v>
      </c>
      <c r="AD523" s="2">
        <v>6</v>
      </c>
      <c r="AE523" s="2" t="s">
        <v>70</v>
      </c>
      <c r="AF523" t="str">
        <f>_xlfn.CONCAT(FINI_grouping_for_wheel[[#This Row],[SEFI/Plant]],"/",IF(FINI_grouping_for_wheel[[#This Row],[RESET recipe combination]]&lt;&gt;"",FINI_grouping_for_wheel[[#This Row],[RESET recipe combination]],FINI_grouping_for_wheel[[#This Row],[Recipe Combination]]),"/",FINI_grouping_for_wheel[[#This Row],[Subgroup]])</f>
        <v>4465094/THDP/x/6</v>
      </c>
      <c r="AG5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0.6253865617093055</v>
      </c>
      <c r="AH523">
        <f>_xlfn.LET(_xlpm.pct, FINI_grouping_for_wheel[[#This Row],[% forecast within subgroup]], _xlpm.lote, FINI_grouping_for_wheel[[#This Row],[Lot size considered]], _xlpm.pct*_xlpm.lote)</f>
        <v>5748.178263493519</v>
      </c>
      <c r="AI523" cm="1">
        <f t="array" aca="1" ref="AI523" ca="1">IFERROR(INDIRECT("FINI_grouping_for_wheel[@["&amp;FINI_grouping_for_wheel[[#This Row],[Selected PV]]&amp;"]]"),"")</f>
        <v>224</v>
      </c>
      <c r="AJ52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11.4</v>
      </c>
      <c r="AL523" s="4"/>
      <c r="AM52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224</v>
      </c>
      <c r="AN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2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23" t="str">
        <f>_xlfn.CONCAT(FINI_grouping_for_wheel[[#This Row],[Recipe Combination]],FINI_grouping_for_wheel[[#This Row],[Subgroup]])</f>
        <v>46</v>
      </c>
    </row>
    <row r="524" spans="1:55" hidden="1">
      <c r="A524" t="s">
        <v>10</v>
      </c>
      <c r="B524">
        <v>4465094</v>
      </c>
      <c r="C524" t="s">
        <v>2162</v>
      </c>
      <c r="D524">
        <v>9191.4003521</v>
      </c>
      <c r="E524">
        <v>51</v>
      </c>
      <c r="F524">
        <v>1.02</v>
      </c>
      <c r="G524" t="s">
        <v>2182</v>
      </c>
      <c r="H524" t="s">
        <v>2183</v>
      </c>
      <c r="J524" t="s">
        <v>90</v>
      </c>
      <c r="K524" t="s">
        <v>515</v>
      </c>
      <c r="L524" t="s">
        <v>516</v>
      </c>
      <c r="M524">
        <v>295.97625</v>
      </c>
      <c r="N524">
        <v>1.183905</v>
      </c>
      <c r="O524">
        <v>5563.169595</v>
      </c>
      <c r="P524">
        <v>464500.39113</v>
      </c>
      <c r="Q524">
        <v>5.3202809108320918E-2</v>
      </c>
      <c r="R524">
        <v>489.008318371</v>
      </c>
      <c r="S524" t="s">
        <v>594</v>
      </c>
      <c r="T524" t="s">
        <v>93</v>
      </c>
      <c r="U524">
        <v>5</v>
      </c>
      <c r="V524" t="s">
        <v>518</v>
      </c>
      <c r="W524" t="s">
        <v>142</v>
      </c>
      <c r="X524" t="s">
        <v>150</v>
      </c>
      <c r="Y524" s="23" t="s">
        <v>151</v>
      </c>
      <c r="AA524">
        <v>7764</v>
      </c>
      <c r="AB524" t="s">
        <v>2184</v>
      </c>
      <c r="AC524" t="s">
        <v>2167</v>
      </c>
      <c r="AD524" s="2">
        <v>6</v>
      </c>
      <c r="AE524" s="2" t="s">
        <v>70</v>
      </c>
      <c r="AF524" t="str">
        <f>_xlfn.CONCAT(FINI_grouping_for_wheel[[#This Row],[SEFI/Plant]],"/",IF(FINI_grouping_for_wheel[[#This Row],[RESET recipe combination]]&lt;&gt;"",FINI_grouping_for_wheel[[#This Row],[RESET recipe combination]],FINI_grouping_for_wheel[[#This Row],[Recipe Combination]]),"/",FINI_grouping_for_wheel[[#This Row],[Subgroup]])</f>
        <v>4465094/THDP/x/6</v>
      </c>
      <c r="AG5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0.03514197357323587</v>
      </c>
      <c r="AH524">
        <f>_xlfn.LET(_xlpm.pct, FINI_grouping_for_wheel[[#This Row],[% forecast within subgroup]], _xlpm.lote, FINI_grouping_for_wheel[[#This Row],[Lot size considered]], _xlpm.pct*_xlpm.lote)</f>
        <v>323.003948274529</v>
      </c>
      <c r="AI524" cm="1">
        <f t="array" aca="1" ref="AI524" ca="1">IFERROR(INDIRECT("FINI_grouping_for_wheel[@["&amp;FINI_grouping_for_wheel[[#This Row],[Selected PV]]&amp;"]]"),"")</f>
        <v>224</v>
      </c>
      <c r="AJ52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2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524" s="4"/>
      <c r="AM52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224</v>
      </c>
      <c r="AN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2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24" t="str">
        <f>_xlfn.CONCAT(FINI_grouping_for_wheel[[#This Row],[Recipe Combination]],FINI_grouping_for_wheel[[#This Row],[Subgroup]])</f>
        <v>46</v>
      </c>
    </row>
    <row r="525" spans="1:55" hidden="1">
      <c r="A525" t="s">
        <v>10</v>
      </c>
      <c r="B525">
        <v>4465094</v>
      </c>
      <c r="C525" t="s">
        <v>2162</v>
      </c>
      <c r="D525">
        <v>9191.4003521</v>
      </c>
      <c r="E525">
        <v>51</v>
      </c>
      <c r="F525">
        <v>1.02</v>
      </c>
      <c r="G525" t="s">
        <v>2185</v>
      </c>
      <c r="H525" t="s">
        <v>2186</v>
      </c>
      <c r="I525">
        <v>360</v>
      </c>
      <c r="J525" t="s">
        <v>90</v>
      </c>
      <c r="K525" t="s">
        <v>1838</v>
      </c>
      <c r="L525" t="s">
        <v>1839</v>
      </c>
      <c r="M525">
        <v>19043.111925</v>
      </c>
      <c r="N525">
        <v>76.1724477</v>
      </c>
      <c r="O525">
        <v>19043.111925</v>
      </c>
      <c r="P525">
        <v>464500.39113</v>
      </c>
      <c r="Q525">
        <v>1</v>
      </c>
      <c r="R525">
        <v>9191.4003521</v>
      </c>
      <c r="S525" t="s">
        <v>2187</v>
      </c>
      <c r="T525" t="s">
        <v>93</v>
      </c>
      <c r="U525">
        <v>5</v>
      </c>
      <c r="V525" t="s">
        <v>1840</v>
      </c>
      <c r="W525" t="s">
        <v>142</v>
      </c>
      <c r="X525" t="s">
        <v>106</v>
      </c>
      <c r="Y525" s="23" t="s">
        <v>483</v>
      </c>
      <c r="AA525">
        <v>121</v>
      </c>
      <c r="AB525" t="s">
        <v>2188</v>
      </c>
      <c r="AC525" t="s">
        <v>2167</v>
      </c>
      <c r="AD525" s="2">
        <v>9</v>
      </c>
      <c r="AE525" s="2" t="s">
        <v>70</v>
      </c>
      <c r="AF525" t="str">
        <f>_xlfn.CONCAT(FINI_grouping_for_wheel[[#This Row],[SEFI/Plant]],"/",IF(FINI_grouping_for_wheel[[#This Row],[RESET recipe combination]]&lt;&gt;"",FINI_grouping_for_wheel[[#This Row],[RESET recipe combination]],FINI_grouping_for_wheel[[#This Row],[Recipe Combination]]),"/",FINI_grouping_for_wheel[[#This Row],[Subgroup]])</f>
        <v>4465094/THDP/x/9</v>
      </c>
      <c r="AG5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0.7289825515522321</v>
      </c>
      <c r="AH525">
        <f>_xlfn.LET(_xlpm.pct, FINI_grouping_for_wheel[[#This Row],[% forecast within subgroup]], _xlpm.lote, FINI_grouping_for_wheel[[#This Row],[Lot size considered]], _xlpm.pct*_xlpm.lote)</f>
        <v>6700.3704810119425</v>
      </c>
      <c r="AI525" cm="1">
        <f t="array" aca="1" ref="AI525" ca="1">IFERROR(INDIRECT("FINI_grouping_for_wheel[@["&amp;FINI_grouping_for_wheel[[#This Row],[Selected PV]]&amp;"]]"),"")</f>
        <v>72</v>
      </c>
      <c r="AJ52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v>
      </c>
      <c r="AL525" s="4"/>
      <c r="AM52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v>
      </c>
      <c r="AN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2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25" t="str">
        <f>_xlfn.CONCAT(FINI_grouping_for_wheel[[#This Row],[Recipe Combination]],FINI_grouping_for_wheel[[#This Row],[Subgroup]])</f>
        <v>:9</v>
      </c>
    </row>
    <row r="526" spans="1:55" hidden="1">
      <c r="A526" t="s">
        <v>10</v>
      </c>
      <c r="B526">
        <v>4465094</v>
      </c>
      <c r="C526" t="s">
        <v>2162</v>
      </c>
      <c r="D526">
        <v>9191.4003521</v>
      </c>
      <c r="E526">
        <v>51</v>
      </c>
      <c r="F526">
        <v>1.02</v>
      </c>
      <c r="G526" t="s">
        <v>2189</v>
      </c>
      <c r="H526" t="s">
        <v>2190</v>
      </c>
      <c r="I526">
        <v>450</v>
      </c>
      <c r="J526" t="s">
        <v>90</v>
      </c>
      <c r="K526" t="s">
        <v>406</v>
      </c>
      <c r="L526" t="s">
        <v>407</v>
      </c>
      <c r="M526">
        <v>1189.824525</v>
      </c>
      <c r="N526">
        <v>4.7592981</v>
      </c>
      <c r="O526">
        <v>12569.519385</v>
      </c>
      <c r="P526">
        <v>464500.39113</v>
      </c>
      <c r="Q526">
        <v>9.465950833568805E-2</v>
      </c>
      <c r="R526">
        <v>870.053438246</v>
      </c>
      <c r="S526" t="s">
        <v>118</v>
      </c>
      <c r="T526" t="s">
        <v>93</v>
      </c>
      <c r="U526">
        <v>15</v>
      </c>
      <c r="V526" t="s">
        <v>408</v>
      </c>
      <c r="W526" t="s">
        <v>142</v>
      </c>
      <c r="X526" t="s">
        <v>96</v>
      </c>
      <c r="Y526" s="23" t="s">
        <v>97</v>
      </c>
      <c r="AA526">
        <v>1931</v>
      </c>
      <c r="AB526" t="s">
        <v>2191</v>
      </c>
      <c r="AC526" t="s">
        <v>2167</v>
      </c>
      <c r="AD526" s="2">
        <v>4</v>
      </c>
      <c r="AE526" s="2" t="s">
        <v>70</v>
      </c>
      <c r="AF526" t="str">
        <f>_xlfn.CONCAT(FINI_grouping_for_wheel[[#This Row],[SEFI/Plant]],"/",IF(FINI_grouping_for_wheel[[#This Row],[RESET recipe combination]]&lt;&gt;"",FINI_grouping_for_wheel[[#This Row],[RESET recipe combination]],FINI_grouping_for_wheel[[#This Row],[Recipe Combination]]),"/",FINI_grouping_for_wheel[[#This Row],[Subgroup]])</f>
        <v>4465094/THDP/x/4</v>
      </c>
      <c r="AG5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0.03222703222703223</v>
      </c>
      <c r="AH526">
        <f>_xlfn.LET(_xlpm.pct, FINI_grouping_for_wheel[[#This Row],[% forecast within subgroup]], _xlpm.lote, FINI_grouping_for_wheel[[#This Row],[Lot size considered]], _xlpm.pct*_xlpm.lote)</f>
        <v>296.21155535868206</v>
      </c>
      <c r="AI526" cm="1">
        <f t="array" aca="1" ref="AI526" ca="1">IFERROR(INDIRECT("FINI_grouping_for_wheel[@["&amp;FINI_grouping_for_wheel[[#This Row],[Selected PV]]&amp;"]]"),"")</f>
        <v>51</v>
      </c>
      <c r="AJ52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526" s="4"/>
      <c r="AM52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51</v>
      </c>
      <c r="AN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2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26" t="str">
        <f>_xlfn.CONCAT(FINI_grouping_for_wheel[[#This Row],[Recipe Combination]],FINI_grouping_for_wheel[[#This Row],[Subgroup]])</f>
        <v>A4</v>
      </c>
    </row>
    <row r="527" spans="1:55" hidden="1">
      <c r="A527" t="s">
        <v>10</v>
      </c>
      <c r="B527">
        <v>4465094</v>
      </c>
      <c r="C527" t="s">
        <v>2162</v>
      </c>
      <c r="D527">
        <v>9191.4003521</v>
      </c>
      <c r="E527">
        <v>51</v>
      </c>
      <c r="F527">
        <v>1.02</v>
      </c>
      <c r="G527" t="s">
        <v>2192</v>
      </c>
      <c r="H527" t="s">
        <v>2193</v>
      </c>
      <c r="I527">
        <v>385</v>
      </c>
      <c r="J527" t="s">
        <v>90</v>
      </c>
      <c r="K527" t="s">
        <v>666</v>
      </c>
      <c r="L527" t="s">
        <v>667</v>
      </c>
      <c r="M527">
        <v>10418.364</v>
      </c>
      <c r="N527">
        <v>41.673456</v>
      </c>
      <c r="O527">
        <v>12569.519385</v>
      </c>
      <c r="P527">
        <v>464500.39113</v>
      </c>
      <c r="Q527">
        <v>0.82885937647169639</v>
      </c>
      <c r="R527">
        <v>7618.37836474</v>
      </c>
      <c r="S527" t="s">
        <v>118</v>
      </c>
      <c r="T527" t="s">
        <v>93</v>
      </c>
      <c r="U527">
        <v>10</v>
      </c>
      <c r="V527" t="s">
        <v>94</v>
      </c>
      <c r="W527" t="s">
        <v>95</v>
      </c>
      <c r="X527" t="s">
        <v>96</v>
      </c>
      <c r="Y527" s="23" t="s">
        <v>97</v>
      </c>
      <c r="AA527">
        <v>221</v>
      </c>
      <c r="AB527" t="s">
        <v>2194</v>
      </c>
      <c r="AC527" t="s">
        <v>2167</v>
      </c>
      <c r="AD527" s="2">
        <v>5</v>
      </c>
      <c r="AE527" s="2" t="s">
        <v>70</v>
      </c>
      <c r="AF527" t="str">
        <f>_xlfn.CONCAT(FINI_grouping_for_wheel[[#This Row],[SEFI/Plant]],"/",IF(FINI_grouping_for_wheel[[#This Row],[RESET recipe combination]]&lt;&gt;"",FINI_grouping_for_wheel[[#This Row],[RESET recipe combination]],FINI_grouping_for_wheel[[#This Row],[Recipe Combination]]),"/",FINI_grouping_for_wheel[[#This Row],[Subgroup]])</f>
        <v>4465094/THDP/x/5</v>
      </c>
      <c r="AG5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0.634920634920635</v>
      </c>
      <c r="AH527">
        <f>_xlfn.LET(_xlpm.pct, FINI_grouping_for_wheel[[#This Row],[% forecast within subgroup]], _xlpm.lote, FINI_grouping_for_wheel[[#This Row],[Lot size considered]], _xlpm.pct*_xlpm.lote)</f>
        <v>5835.80974736508</v>
      </c>
      <c r="AI527" cm="1">
        <f t="array" aca="1" ref="AI527" ca="1">IFERROR(INDIRECT("FINI_grouping_for_wheel[@["&amp;FINI_grouping_for_wheel[[#This Row],[Selected PV]]&amp;"]]"),"")</f>
        <v>115</v>
      </c>
      <c r="AJ52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14.6</v>
      </c>
      <c r="AL527" s="4"/>
      <c r="AM52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115</v>
      </c>
      <c r="AN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2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27" t="str">
        <f>_xlfn.CONCAT(FINI_grouping_for_wheel[[#This Row],[Recipe Combination]],FINI_grouping_for_wheel[[#This Row],[Subgroup]])</f>
        <v>A5</v>
      </c>
    </row>
    <row r="528" spans="1:55" hidden="1">
      <c r="A528" t="s">
        <v>10</v>
      </c>
      <c r="B528">
        <v>4465094</v>
      </c>
      <c r="C528" t="s">
        <v>2162</v>
      </c>
      <c r="D528">
        <v>9191.4003521</v>
      </c>
      <c r="E528">
        <v>51</v>
      </c>
      <c r="F528">
        <v>1.02</v>
      </c>
      <c r="G528" t="s">
        <v>2195</v>
      </c>
      <c r="H528" t="s">
        <v>2196</v>
      </c>
      <c r="I528">
        <v>360</v>
      </c>
      <c r="J528" t="s">
        <v>90</v>
      </c>
      <c r="K528" t="s">
        <v>360</v>
      </c>
      <c r="L528" t="s">
        <v>361</v>
      </c>
      <c r="M528">
        <v>961.33086</v>
      </c>
      <c r="N528">
        <v>3.84532344</v>
      </c>
      <c r="O528">
        <v>12569.519385</v>
      </c>
      <c r="P528">
        <v>464500.39113</v>
      </c>
      <c r="Q528">
        <v>7.648111519261562E-2</v>
      </c>
      <c r="R528">
        <v>702.968549111</v>
      </c>
      <c r="S528" t="s">
        <v>118</v>
      </c>
      <c r="T528" t="s">
        <v>93</v>
      </c>
      <c r="U528">
        <v>0.5</v>
      </c>
      <c r="V528" t="s">
        <v>149</v>
      </c>
      <c r="W528" t="s">
        <v>142</v>
      </c>
      <c r="X528" t="s">
        <v>150</v>
      </c>
      <c r="Y528" s="23" t="s">
        <v>151</v>
      </c>
      <c r="AA528">
        <v>2390</v>
      </c>
      <c r="AB528" t="s">
        <v>2197</v>
      </c>
      <c r="AC528" t="s">
        <v>2167</v>
      </c>
      <c r="AD528" s="2">
        <v>6</v>
      </c>
      <c r="AE528" s="2" t="s">
        <v>70</v>
      </c>
      <c r="AF528" t="str">
        <f>_xlfn.CONCAT(FINI_grouping_for_wheel[[#This Row],[SEFI/Plant]],"/",IF(FINI_grouping_for_wheel[[#This Row],[RESET recipe combination]]&lt;&gt;"",FINI_grouping_for_wheel[[#This Row],[RESET recipe combination]],FINI_grouping_for_wheel[[#This Row],[Recipe Combination]]),"/",FINI_grouping_for_wheel[[#This Row],[Subgroup]])</f>
        <v>4465094/THDP/x/6</v>
      </c>
      <c r="AG5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0.11414113016587012</v>
      </c>
      <c r="AH528">
        <f>_xlfn.LET(_xlpm.pct, FINI_grouping_for_wheel[[#This Row],[% forecast within subgroup]], _xlpm.lote, FINI_grouping_for_wheel[[#This Row],[Lot size considered]], _xlpm.pct*_xlpm.lote)</f>
        <v>1049.1168239956705</v>
      </c>
      <c r="AI528" cm="1">
        <f t="array" aca="1" ref="AI528" ca="1">IFERROR(INDIRECT("FINI_grouping_for_wheel[@["&amp;FINI_grouping_for_wheel[[#This Row],[Selected PV]]&amp;"]]"),"")</f>
        <v>224</v>
      </c>
      <c r="AJ52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v>
      </c>
      <c r="AL528" s="4"/>
      <c r="AM52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224</v>
      </c>
      <c r="AN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2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28" t="str">
        <f>_xlfn.CONCAT(FINI_grouping_for_wheel[[#This Row],[Recipe Combination]],FINI_grouping_for_wheel[[#This Row],[Subgroup]])</f>
        <v>A6</v>
      </c>
    </row>
    <row r="529" spans="1:55" hidden="1">
      <c r="A529" t="s">
        <v>10</v>
      </c>
      <c r="B529">
        <v>4465094</v>
      </c>
      <c r="C529" t="s">
        <v>2162</v>
      </c>
      <c r="D529">
        <v>9191.4003521</v>
      </c>
      <c r="E529">
        <v>51</v>
      </c>
      <c r="F529">
        <v>1.02</v>
      </c>
      <c r="G529" t="s">
        <v>2198</v>
      </c>
      <c r="H529" t="s">
        <v>2199</v>
      </c>
      <c r="I529">
        <v>315</v>
      </c>
      <c r="J529" t="s">
        <v>90</v>
      </c>
      <c r="K529" t="s">
        <v>140</v>
      </c>
      <c r="L529" t="s">
        <v>141</v>
      </c>
      <c r="M529">
        <v>5315.73345</v>
      </c>
      <c r="N529">
        <v>21.2629338</v>
      </c>
      <c r="O529">
        <v>5315.73345</v>
      </c>
      <c r="P529">
        <v>464500.39113</v>
      </c>
      <c r="Q529">
        <v>1</v>
      </c>
      <c r="R529">
        <v>9191.4003521</v>
      </c>
      <c r="S529" t="s">
        <v>126</v>
      </c>
      <c r="T529" t="s">
        <v>93</v>
      </c>
      <c r="U529">
        <v>5</v>
      </c>
      <c r="V529" t="s">
        <v>135</v>
      </c>
      <c r="W529" t="s">
        <v>142</v>
      </c>
      <c r="X529" t="s">
        <v>128</v>
      </c>
      <c r="Y529" s="23" t="s">
        <v>136</v>
      </c>
      <c r="AA529">
        <v>432</v>
      </c>
      <c r="AB529" t="s">
        <v>2200</v>
      </c>
      <c r="AC529" t="s">
        <v>2167</v>
      </c>
      <c r="AD529" s="2">
        <v>9</v>
      </c>
      <c r="AE529" s="2" t="s">
        <v>70</v>
      </c>
      <c r="AF529" t="str">
        <f>_xlfn.CONCAT(FINI_grouping_for_wheel[[#This Row],[SEFI/Plant]],"/",IF(FINI_grouping_for_wheel[[#This Row],[RESET recipe combination]]&lt;&gt;"",FINI_grouping_for_wheel[[#This Row],[RESET recipe combination]],FINI_grouping_for_wheel[[#This Row],[Recipe Combination]]),"/",FINI_grouping_for_wheel[[#This Row],[Subgroup]])</f>
        <v>4465094/THDP/x/9</v>
      </c>
      <c r="AG5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0.20348968955359165</v>
      </c>
      <c r="AH529">
        <f>_xlfn.LET(_xlpm.pct, FINI_grouping_for_wheel[[#This Row],[% forecast within subgroup]], _xlpm.lote, FINI_grouping_for_wheel[[#This Row],[Lot size considered]], _xlpm.pct*_xlpm.lote)</f>
        <v>1870.3552042116019</v>
      </c>
      <c r="AI529" cm="1">
        <f t="array" aca="1" ref="AI529" ca="1">IFERROR(INDIRECT("FINI_grouping_for_wheel[@["&amp;FINI_grouping_for_wheel[[#This Row],[Selected PV]]&amp;"]]"),"")</f>
        <v>72</v>
      </c>
      <c r="AJ52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5.7</v>
      </c>
      <c r="AL529" s="4"/>
      <c r="AM52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v>
      </c>
      <c r="AN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2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29" t="str">
        <f>_xlfn.CONCAT(FINI_grouping_for_wheel[[#This Row],[Recipe Combination]],FINI_grouping_for_wheel[[#This Row],[Subgroup]])</f>
        <v>E9</v>
      </c>
    </row>
    <row r="530" spans="1:55" hidden="1">
      <c r="A530" t="s">
        <v>10</v>
      </c>
      <c r="B530">
        <v>4465094</v>
      </c>
      <c r="C530" t="s">
        <v>2162</v>
      </c>
      <c r="D530">
        <v>9191.4003521</v>
      </c>
      <c r="E530">
        <v>51</v>
      </c>
      <c r="F530">
        <v>1.02</v>
      </c>
      <c r="G530" t="s">
        <v>2201</v>
      </c>
      <c r="H530" t="s">
        <v>2202</v>
      </c>
      <c r="I530">
        <v>462</v>
      </c>
      <c r="J530" t="s">
        <v>90</v>
      </c>
      <c r="M530">
        <v>1599.455655</v>
      </c>
      <c r="N530">
        <v>6.39782262</v>
      </c>
      <c r="O530">
        <v>1897.799715</v>
      </c>
      <c r="P530">
        <v>464500.39113</v>
      </c>
      <c r="Q530">
        <v>0.84279475982532748</v>
      </c>
      <c r="R530">
        <v>7746.46405221</v>
      </c>
      <c r="S530" t="s">
        <v>314</v>
      </c>
      <c r="T530" t="s">
        <v>93</v>
      </c>
      <c r="U530">
        <v>1</v>
      </c>
      <c r="AA530">
        <v>1437</v>
      </c>
      <c r="AB530" t="s">
        <v>2203</v>
      </c>
      <c r="AC530" t="s">
        <v>2167</v>
      </c>
      <c r="AD530" s="2">
        <v>6</v>
      </c>
      <c r="AE530" s="2" t="s">
        <v>70</v>
      </c>
      <c r="AF530" t="str">
        <f>_xlfn.CONCAT(FINI_grouping_for_wheel[[#This Row],[SEFI/Plant]],"/",IF(FINI_grouping_for_wheel[[#This Row],[RESET recipe combination]]&lt;&gt;"",FINI_grouping_for_wheel[[#This Row],[RESET recipe combination]],FINI_grouping_for_wheel[[#This Row],[Recipe Combination]]),"/",FINI_grouping_for_wheel[[#This Row],[Subgroup]])</f>
        <v>4465094/THDP/x/6</v>
      </c>
      <c r="AG5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0.18990722518976663</v>
      </c>
      <c r="AH530">
        <f>_xlfn.LET(_xlpm.pct, FINI_grouping_for_wheel[[#This Row],[% forecast within subgroup]], _xlpm.lote, FINI_grouping_for_wheel[[#This Row],[Lot size considered]], _xlpm.pct*_xlpm.lote)</f>
        <v>1745.513336475555</v>
      </c>
      <c r="AI530" cm="1">
        <f t="array" aca="1" ref="AI530" ca="1">IFERROR(INDIRECT("FINI_grouping_for_wheel[@["&amp;FINI_grouping_for_wheel[[#This Row],[Selected PV]]&amp;"]]"),"")</f>
        <v>224</v>
      </c>
      <c r="AJ53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3.6</v>
      </c>
      <c r="AL530" s="4"/>
      <c r="AM53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224</v>
      </c>
      <c r="AN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3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30" t="str">
        <f>_xlfn.CONCAT(FINI_grouping_for_wheel[[#This Row],[Recipe Combination]],FINI_grouping_for_wheel[[#This Row],[Subgroup]])</f>
        <v>K6</v>
      </c>
    </row>
    <row r="531" spans="1:55" hidden="1">
      <c r="A531" t="s">
        <v>10</v>
      </c>
      <c r="B531">
        <v>4465094</v>
      </c>
      <c r="C531" t="s">
        <v>2162</v>
      </c>
      <c r="D531">
        <v>9191.4003521</v>
      </c>
      <c r="E531">
        <v>51</v>
      </c>
      <c r="F531">
        <v>1.02</v>
      </c>
      <c r="G531" t="s">
        <v>2204</v>
      </c>
      <c r="H531" t="s">
        <v>2205</v>
      </c>
      <c r="I531">
        <v>495</v>
      </c>
      <c r="J531" t="s">
        <v>90</v>
      </c>
      <c r="K531" t="s">
        <v>312</v>
      </c>
      <c r="L531" t="s">
        <v>313</v>
      </c>
      <c r="M531">
        <v>18.94248</v>
      </c>
      <c r="N531">
        <v>0.07576992</v>
      </c>
      <c r="O531">
        <v>1897.799715</v>
      </c>
      <c r="P531">
        <v>464500.39113</v>
      </c>
      <c r="Q531">
        <v>9.9812850904553961E-3</v>
      </c>
      <c r="R531">
        <v>91.7419872948</v>
      </c>
      <c r="S531" t="s">
        <v>314</v>
      </c>
      <c r="T531" t="s">
        <v>93</v>
      </c>
      <c r="U531">
        <v>1</v>
      </c>
      <c r="V531" t="s">
        <v>315</v>
      </c>
      <c r="W531" t="s">
        <v>142</v>
      </c>
      <c r="X531" t="s">
        <v>150</v>
      </c>
      <c r="Y531" s="23" t="s">
        <v>151</v>
      </c>
      <c r="AA531">
        <v>121307</v>
      </c>
      <c r="AB531" t="s">
        <v>2206</v>
      </c>
      <c r="AC531" t="s">
        <v>2167</v>
      </c>
      <c r="AD531" s="2">
        <v>6</v>
      </c>
      <c r="AE531" s="2" t="s">
        <v>70</v>
      </c>
      <c r="AF531" t="str">
        <f>_xlfn.CONCAT(FINI_grouping_for_wheel[[#This Row],[SEFI/Plant]],"/",IF(FINI_grouping_for_wheel[[#This Row],[RESET recipe combination]]&lt;&gt;"",FINI_grouping_for_wheel[[#This Row],[RESET recipe combination]],FINI_grouping_for_wheel[[#This Row],[Recipe Combination]]),"/",FINI_grouping_for_wheel[[#This Row],[Subgroup]])</f>
        <v>4465094/THDP/x/6</v>
      </c>
      <c r="AG5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0.002249086308687096</v>
      </c>
      <c r="AH531">
        <f>_xlfn.LET(_xlpm.pct, FINI_grouping_for_wheel[[#This Row],[% forecast within subgroup]], _xlpm.lote, FINI_grouping_for_wheel[[#This Row],[Lot size considered]], _xlpm.pct*_xlpm.lote)</f>
        <v>20.67225268956986</v>
      </c>
      <c r="AI531" cm="1">
        <f t="array" aca="1" ref="AI531" ca="1">IFERROR(INDIRECT("FINI_grouping_for_wheel[@["&amp;FINI_grouping_for_wheel[[#This Row],[Selected PV]]&amp;"]]"),"")</f>
        <v>224</v>
      </c>
      <c r="AJ53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v>
      </c>
      <c r="AL531" s="4"/>
      <c r="AM53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224</v>
      </c>
      <c r="AN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3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31" t="str">
        <f>_xlfn.CONCAT(FINI_grouping_for_wheel[[#This Row],[Recipe Combination]],FINI_grouping_for_wheel[[#This Row],[Subgroup]])</f>
        <v>K6</v>
      </c>
    </row>
    <row r="532" spans="1:55" hidden="1">
      <c r="A532" t="s">
        <v>10</v>
      </c>
      <c r="B532">
        <v>4465094</v>
      </c>
      <c r="C532" t="s">
        <v>2162</v>
      </c>
      <c r="D532">
        <v>9191.4003521</v>
      </c>
      <c r="E532">
        <v>51</v>
      </c>
      <c r="F532">
        <v>1.02</v>
      </c>
      <c r="G532" t="s">
        <v>2207</v>
      </c>
      <c r="H532" t="s">
        <v>2208</v>
      </c>
      <c r="I532">
        <v>396</v>
      </c>
      <c r="J532" t="s">
        <v>90</v>
      </c>
      <c r="K532" t="s">
        <v>1558</v>
      </c>
      <c r="L532" t="s">
        <v>1559</v>
      </c>
      <c r="M532">
        <v>279.40158</v>
      </c>
      <c r="N532">
        <v>1.11760632</v>
      </c>
      <c r="O532">
        <v>1897.799715</v>
      </c>
      <c r="P532">
        <v>464500.39113</v>
      </c>
      <c r="Q532">
        <v>0.1472239550842171</v>
      </c>
      <c r="R532">
        <v>1353.1943126</v>
      </c>
      <c r="S532" t="s">
        <v>314</v>
      </c>
      <c r="T532" t="s">
        <v>93</v>
      </c>
      <c r="U532">
        <v>1</v>
      </c>
      <c r="V532" t="s">
        <v>315</v>
      </c>
      <c r="W532" t="s">
        <v>142</v>
      </c>
      <c r="X532" t="s">
        <v>150</v>
      </c>
      <c r="Y532" s="23" t="s">
        <v>151</v>
      </c>
      <c r="AA532">
        <v>8224</v>
      </c>
      <c r="AB532" t="s">
        <v>2209</v>
      </c>
      <c r="AC532" t="s">
        <v>2167</v>
      </c>
      <c r="AD532" s="2">
        <v>6</v>
      </c>
      <c r="AE532" s="2" t="s">
        <v>70</v>
      </c>
      <c r="AF532" t="str">
        <f>_xlfn.CONCAT(FINI_grouping_for_wheel[[#This Row],[SEFI/Plant]],"/",IF(FINI_grouping_for_wheel[[#This Row],[RESET recipe combination]]&lt;&gt;"",FINI_grouping_for_wheel[[#This Row],[RESET recipe combination]],FINI_grouping_for_wheel[[#This Row],[Recipe Combination]]),"/",FINI_grouping_for_wheel[[#This Row],[Subgroup]])</f>
        <v>4465094/THDP/x/6</v>
      </c>
      <c r="AG5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0.03317402305313467</v>
      </c>
      <c r="AH532">
        <f>_xlfn.LET(_xlpm.pct, FINI_grouping_for_wheel[[#This Row],[% forecast within subgroup]], _xlpm.lote, FINI_grouping_for_wheel[[#This Row],[Lot size considered]], _xlpm.pct*_xlpm.lote)</f>
        <v>304.9157271711555</v>
      </c>
      <c r="AI532" cm="1">
        <f t="array" aca="1" ref="AI532" ca="1">IFERROR(INDIRECT("FINI_grouping_for_wheel[@["&amp;FINI_grouping_for_wheel[[#This Row],[Selected PV]]&amp;"]]"),"")</f>
        <v>224</v>
      </c>
      <c r="AJ53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0.7</v>
      </c>
      <c r="AL532" s="4"/>
      <c r="AM53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224</v>
      </c>
      <c r="AN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3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32" t="str">
        <f>_xlfn.CONCAT(FINI_grouping_for_wheel[[#This Row],[Recipe Combination]],FINI_grouping_for_wheel[[#This Row],[Subgroup]])</f>
        <v>K6</v>
      </c>
    </row>
    <row r="533" spans="1:55" hidden="1">
      <c r="A533" t="s">
        <v>10</v>
      </c>
      <c r="B533">
        <v>4465094</v>
      </c>
      <c r="C533" t="s">
        <v>2162</v>
      </c>
      <c r="D533">
        <v>9191.4003521</v>
      </c>
      <c r="E533">
        <v>51</v>
      </c>
      <c r="F533">
        <v>1.02</v>
      </c>
      <c r="G533" t="s">
        <v>2210</v>
      </c>
      <c r="H533" t="s">
        <v>2211</v>
      </c>
      <c r="I533">
        <v>270</v>
      </c>
      <c r="J533" t="s">
        <v>90</v>
      </c>
      <c r="K533" t="s">
        <v>1805</v>
      </c>
      <c r="L533" t="s">
        <v>1806</v>
      </c>
      <c r="M533">
        <v>1621.94985</v>
      </c>
      <c r="N533">
        <v>6.4877994</v>
      </c>
      <c r="O533">
        <v>5990.5593</v>
      </c>
      <c r="P533">
        <v>464500.39113</v>
      </c>
      <c r="Q533">
        <v>0.27075098814229248</v>
      </c>
      <c r="R533">
        <v>2488.58072774</v>
      </c>
      <c r="S533" t="s">
        <v>157</v>
      </c>
      <c r="T533" t="s">
        <v>93</v>
      </c>
      <c r="U533">
        <v>10</v>
      </c>
      <c r="V533" t="s">
        <v>158</v>
      </c>
      <c r="W533" t="s">
        <v>159</v>
      </c>
      <c r="X533" t="s">
        <v>96</v>
      </c>
      <c r="Y533" s="23" t="s">
        <v>97</v>
      </c>
      <c r="AA533">
        <v>1417</v>
      </c>
      <c r="AB533" t="s">
        <v>2212</v>
      </c>
      <c r="AC533" t="s">
        <v>2167</v>
      </c>
      <c r="AD533" s="2">
        <v>5</v>
      </c>
      <c r="AE533" s="2" t="s">
        <v>70</v>
      </c>
      <c r="AF533" t="str">
        <f>_xlfn.CONCAT(FINI_grouping_for_wheel[[#This Row],[SEFI/Plant]],"/",IF(FINI_grouping_for_wheel[[#This Row],[RESET recipe combination]]&lt;&gt;"",FINI_grouping_for_wheel[[#This Row],[RESET recipe combination]],FINI_grouping_for_wheel[[#This Row],[Recipe Combination]]),"/",FINI_grouping_for_wheel[[#This Row],[Subgroup]])</f>
        <v>4465094/THDP/x/5</v>
      </c>
      <c r="AG5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0.09884559884559885</v>
      </c>
      <c r="AH533">
        <f>_xlfn.LET(_xlpm.pct, FINI_grouping_for_wheel[[#This Row],[% forecast within subgroup]], _xlpm.lote, FINI_grouping_for_wheel[[#This Row],[Lot size considered]], _xlpm.pct*_xlpm.lote)</f>
        <v>908.5294720329725</v>
      </c>
      <c r="AI533" cm="1">
        <f t="array" aca="1" ref="AI533" ca="1">IFERROR(INDIRECT("FINI_grouping_for_wheel[@["&amp;FINI_grouping_for_wheel[[#This Row],[Selected PV]]&amp;"]]"),"")</f>
        <v>115</v>
      </c>
      <c r="AJ53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3.3</v>
      </c>
      <c r="AL533" s="4"/>
      <c r="AM53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115</v>
      </c>
      <c r="AN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3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33" t="str">
        <f>_xlfn.CONCAT(FINI_grouping_for_wheel[[#This Row],[Recipe Combination]],FINI_grouping_for_wheel[[#This Row],[Subgroup]])</f>
        <v>M5</v>
      </c>
    </row>
    <row r="534" spans="1:55" hidden="1">
      <c r="A534" t="s">
        <v>10</v>
      </c>
      <c r="B534">
        <v>4465094</v>
      </c>
      <c r="C534" t="s">
        <v>2162</v>
      </c>
      <c r="D534">
        <v>9191.4003521</v>
      </c>
      <c r="E534">
        <v>51</v>
      </c>
      <c r="F534">
        <v>1.02</v>
      </c>
      <c r="G534" t="s">
        <v>2213</v>
      </c>
      <c r="H534" t="s">
        <v>2214</v>
      </c>
      <c r="I534">
        <v>440</v>
      </c>
      <c r="J534" t="s">
        <v>90</v>
      </c>
      <c r="K534" t="s">
        <v>2215</v>
      </c>
      <c r="L534" t="s">
        <v>2216</v>
      </c>
      <c r="M534">
        <v>4368.60945</v>
      </c>
      <c r="N534">
        <v>17.4744378</v>
      </c>
      <c r="O534">
        <v>5990.5593</v>
      </c>
      <c r="P534">
        <v>464500.39113</v>
      </c>
      <c r="Q534">
        <v>0.72924901185770752</v>
      </c>
      <c r="R534">
        <v>6702.81962436</v>
      </c>
      <c r="S534" t="s">
        <v>157</v>
      </c>
      <c r="T534" t="s">
        <v>93</v>
      </c>
      <c r="U534">
        <v>10</v>
      </c>
      <c r="V534" t="s">
        <v>94</v>
      </c>
      <c r="W534" t="s">
        <v>95</v>
      </c>
      <c r="X534" t="s">
        <v>96</v>
      </c>
      <c r="Y534" s="23" t="s">
        <v>97</v>
      </c>
      <c r="AA534">
        <v>526</v>
      </c>
      <c r="AB534" t="s">
        <v>2217</v>
      </c>
      <c r="AC534" t="s">
        <v>2167</v>
      </c>
      <c r="AD534" s="2">
        <v>5</v>
      </c>
      <c r="AE534" s="2" t="s">
        <v>70</v>
      </c>
      <c r="AF534" t="str">
        <f>_xlfn.CONCAT(FINI_grouping_for_wheel[[#This Row],[SEFI/Plant]],"/",IF(FINI_grouping_for_wheel[[#This Row],[RESET recipe combination]]&lt;&gt;"",FINI_grouping_for_wheel[[#This Row],[RESET recipe combination]],FINI_grouping_for_wheel[[#This Row],[Recipe Combination]]),"/",FINI_grouping_for_wheel[[#This Row],[Subgroup]])</f>
        <v>4465094/THDP/x/5</v>
      </c>
      <c r="AG5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0.26623376623376627</v>
      </c>
      <c r="AH534">
        <f>_xlfn.LET(_xlpm.pct, FINI_grouping_for_wheel[[#This Row],[% forecast within subgroup]], _xlpm.lote, FINI_grouping_for_wheel[[#This Row],[Lot size considered]], _xlpm.pct*_xlpm.lote)</f>
        <v>2447.0611327019483</v>
      </c>
      <c r="AI534" cm="1">
        <f t="array" aca="1" ref="AI534" ca="1">IFERROR(INDIRECT("FINI_grouping_for_wheel[@["&amp;FINI_grouping_for_wheel[[#This Row],[Selected PV]]&amp;"]]"),"")</f>
        <v>115</v>
      </c>
      <c r="AJ53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5.4</v>
      </c>
      <c r="AL534" s="4"/>
      <c r="AM53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115</v>
      </c>
      <c r="AN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3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34" t="str">
        <f>_xlfn.CONCAT(FINI_grouping_for_wheel[[#This Row],[Recipe Combination]],FINI_grouping_for_wheel[[#This Row],[Subgroup]])</f>
        <v>M5</v>
      </c>
    </row>
    <row r="535" spans="1:55" hidden="1">
      <c r="A535" t="s">
        <v>10</v>
      </c>
      <c r="B535">
        <v>4465094</v>
      </c>
      <c r="C535" t="s">
        <v>2162</v>
      </c>
      <c r="D535">
        <v>9191.4003521</v>
      </c>
      <c r="E535">
        <v>51</v>
      </c>
      <c r="F535">
        <v>1.02</v>
      </c>
      <c r="G535" t="s">
        <v>2218</v>
      </c>
      <c r="H535" t="s">
        <v>2219</v>
      </c>
      <c r="I535">
        <v>300</v>
      </c>
      <c r="J535" t="s">
        <v>90</v>
      </c>
      <c r="K535" t="s">
        <v>440</v>
      </c>
      <c r="L535" t="s">
        <v>441</v>
      </c>
      <c r="M535">
        <v>2320.4538</v>
      </c>
      <c r="N535">
        <v>9.2818152</v>
      </c>
      <c r="O535">
        <v>9453.481425</v>
      </c>
      <c r="P535">
        <v>464500.39113</v>
      </c>
      <c r="Q535">
        <v>0.24546023794614902</v>
      </c>
      <c r="R535">
        <v>2256.12331749</v>
      </c>
      <c r="S535" t="s">
        <v>173</v>
      </c>
      <c r="T535" t="s">
        <v>93</v>
      </c>
      <c r="U535">
        <v>5</v>
      </c>
      <c r="V535" t="s">
        <v>119</v>
      </c>
      <c r="W535" t="s">
        <v>95</v>
      </c>
      <c r="X535" t="s">
        <v>96</v>
      </c>
      <c r="Y535" s="23" t="s">
        <v>120</v>
      </c>
      <c r="AA535">
        <v>990</v>
      </c>
      <c r="AB535" t="s">
        <v>2220</v>
      </c>
      <c r="AC535" t="s">
        <v>2167</v>
      </c>
      <c r="AD535" s="2">
        <v>11</v>
      </c>
      <c r="AE535" s="2" t="s">
        <v>70</v>
      </c>
      <c r="AF535" t="str">
        <f>_xlfn.CONCAT(FINI_grouping_for_wheel[[#This Row],[SEFI/Plant]],"/",IF(FINI_grouping_for_wheel[[#This Row],[RESET recipe combination]]&lt;&gt;"",FINI_grouping_for_wheel[[#This Row],[RESET recipe combination]],FINI_grouping_for_wheel[[#This Row],[Recipe Combination]]),"/",FINI_grouping_for_wheel[[#This Row],[Subgroup]])</f>
        <v>4465094/THDP/x/11</v>
      </c>
      <c r="AG5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0.17368187859991135</v>
      </c>
      <c r="AH535">
        <f>_xlfn.LET(_xlpm.pct, FINI_grouping_for_wheel[[#This Row],[% forecast within subgroup]], _xlpm.lote, FINI_grouping_for_wheel[[#This Row],[Lot size considered]], _xlpm.pct*_xlpm.lote)</f>
        <v>1596.3796801166145</v>
      </c>
      <c r="AI535" cm="1">
        <f t="array" aca="1" ref="AI535" ca="1">IFERROR(INDIRECT("FINI_grouping_for_wheel[@["&amp;FINI_grouping_for_wheel[[#This Row],[Selected PV]]&amp;"]]"),"")</f>
        <v>141</v>
      </c>
      <c r="AJ53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5.1</v>
      </c>
      <c r="AL535" s="4"/>
      <c r="AM53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141</v>
      </c>
      <c r="AN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3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35" t="str">
        <f>_xlfn.CONCAT(FINI_grouping_for_wheel[[#This Row],[Recipe Combination]],FINI_grouping_for_wheel[[#This Row],[Subgroup]])</f>
        <v>P11</v>
      </c>
    </row>
    <row r="536" spans="1:55" hidden="1">
      <c r="A536" t="s">
        <v>10</v>
      </c>
      <c r="B536">
        <v>4465094</v>
      </c>
      <c r="C536" t="s">
        <v>2162</v>
      </c>
      <c r="D536">
        <v>9191.4003521</v>
      </c>
      <c r="E536">
        <v>51</v>
      </c>
      <c r="F536">
        <v>1.02</v>
      </c>
      <c r="G536" t="s">
        <v>2221</v>
      </c>
      <c r="H536" t="s">
        <v>2222</v>
      </c>
      <c r="I536">
        <v>300</v>
      </c>
      <c r="J536" t="s">
        <v>90</v>
      </c>
      <c r="K536" t="s">
        <v>188</v>
      </c>
      <c r="L536" t="s">
        <v>189</v>
      </c>
      <c r="M536">
        <v>1071.434025</v>
      </c>
      <c r="N536">
        <v>4.2857361</v>
      </c>
      <c r="O536">
        <v>9453.481425</v>
      </c>
      <c r="P536">
        <v>464500.39113</v>
      </c>
      <c r="Q536">
        <v>0.11333750782717596</v>
      </c>
      <c r="R536">
        <v>1041.73040935</v>
      </c>
      <c r="S536" t="s">
        <v>173</v>
      </c>
      <c r="T536" t="s">
        <v>93</v>
      </c>
      <c r="U536">
        <v>5</v>
      </c>
      <c r="V536" t="s">
        <v>119</v>
      </c>
      <c r="W536" t="s">
        <v>142</v>
      </c>
      <c r="X536" t="s">
        <v>96</v>
      </c>
      <c r="Y536" s="23" t="s">
        <v>120</v>
      </c>
      <c r="AA536">
        <v>2145</v>
      </c>
      <c r="AB536" t="s">
        <v>2223</v>
      </c>
      <c r="AC536" t="s">
        <v>2167</v>
      </c>
      <c r="AD536" s="2">
        <v>10</v>
      </c>
      <c r="AE536" s="2" t="s">
        <v>70</v>
      </c>
      <c r="AF536" t="str">
        <f>_xlfn.CONCAT(FINI_grouping_for_wheel[[#This Row],[SEFI/Plant]],"/",IF(FINI_grouping_for_wheel[[#This Row],[RESET recipe combination]]&lt;&gt;"",FINI_grouping_for_wheel[[#This Row],[RESET recipe combination]],FINI_grouping_for_wheel[[#This Row],[Recipe Combination]]),"/",FINI_grouping_for_wheel[[#This Row],[Subgroup]])</f>
        <v>4465094/THDP/x/10</v>
      </c>
      <c r="AG5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0.056141439205955344</v>
      </c>
      <c r="AH536">
        <f>_xlfn.LET(_xlpm.pct, FINI_grouping_for_wheel[[#This Row],[% forecast within subgroup]], _xlpm.lote, FINI_grouping_for_wheel[[#This Row],[Lot size considered]], _xlpm.pct*_xlpm.lote)</f>
        <v>516.0184440850187</v>
      </c>
      <c r="AI536" cm="1">
        <f t="array" aca="1" ref="AI536" ca="1">IFERROR(INDIRECT("FINI_grouping_for_wheel[@["&amp;FINI_grouping_for_wheel[[#This Row],[Selected PV]]&amp;"]]"),"")</f>
        <v>99</v>
      </c>
      <c r="AJ53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v>
      </c>
      <c r="AL536" s="4"/>
      <c r="AM53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99</v>
      </c>
      <c r="AN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3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36" t="str">
        <f>_xlfn.CONCAT(FINI_grouping_for_wheel[[#This Row],[Recipe Combination]],FINI_grouping_for_wheel[[#This Row],[Subgroup]])</f>
        <v>P10</v>
      </c>
    </row>
    <row r="537" spans="1:55" hidden="1">
      <c r="A537" t="s">
        <v>10</v>
      </c>
      <c r="B537">
        <v>4465094</v>
      </c>
      <c r="C537" t="s">
        <v>2162</v>
      </c>
      <c r="D537">
        <v>9191.4003521</v>
      </c>
      <c r="E537">
        <v>51</v>
      </c>
      <c r="F537">
        <v>1.02</v>
      </c>
      <c r="G537" t="s">
        <v>2224</v>
      </c>
      <c r="H537" t="s">
        <v>2225</v>
      </c>
      <c r="I537">
        <v>480</v>
      </c>
      <c r="J537" t="s">
        <v>90</v>
      </c>
      <c r="M537">
        <v>6061.5936</v>
      </c>
      <c r="N537">
        <v>24.2463744</v>
      </c>
      <c r="O537">
        <v>9453.481425</v>
      </c>
      <c r="P537">
        <v>464500.39113</v>
      </c>
      <c r="Q537">
        <v>0.64120225422667498</v>
      </c>
      <c r="R537">
        <v>5893.54662527</v>
      </c>
      <c r="S537" t="s">
        <v>173</v>
      </c>
      <c r="T537" t="s">
        <v>93</v>
      </c>
      <c r="U537">
        <v>5</v>
      </c>
      <c r="AA537">
        <v>379</v>
      </c>
      <c r="AB537" t="s">
        <v>2226</v>
      </c>
      <c r="AC537" t="s">
        <v>2167</v>
      </c>
      <c r="AD537" s="2">
        <v>11</v>
      </c>
      <c r="AE537" s="2" t="s">
        <v>70</v>
      </c>
      <c r="AF537" t="str">
        <f>_xlfn.CONCAT(FINI_grouping_for_wheel[[#This Row],[SEFI/Plant]],"/",IF(FINI_grouping_for_wheel[[#This Row],[RESET recipe combination]]&lt;&gt;"",FINI_grouping_for_wheel[[#This Row],[RESET recipe combination]],FINI_grouping_for_wheel[[#This Row],[Recipe Combination]]),"/",FINI_grouping_for_wheel[[#This Row],[Subgroup]])</f>
        <v>4465094/THDP/x/11</v>
      </c>
      <c r="AG5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0.45369960124058484</v>
      </c>
      <c r="AH537">
        <f>_xlfn.LET(_xlpm.pct, FINI_grouping_for_wheel[[#This Row],[% forecast within subgroup]], _xlpm.lote, FINI_grouping_for_wheel[[#This Row],[Lot size considered]], _xlpm.pct*_xlpm.lote)</f>
        <v>4170.134674590341</v>
      </c>
      <c r="AI537" cm="1">
        <f t="array" aca="1" ref="AI537" ca="1">IFERROR(INDIRECT("FINI_grouping_for_wheel[@["&amp;FINI_grouping_for_wheel[[#This Row],[Selected PV]]&amp;"]]"),"")</f>
        <v>141</v>
      </c>
      <c r="AJ53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8.4</v>
      </c>
      <c r="AL537" s="4"/>
      <c r="AM53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141</v>
      </c>
      <c r="AN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3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37" t="str">
        <f>_xlfn.CONCAT(FINI_grouping_for_wheel[[#This Row],[Recipe Combination]],FINI_grouping_for_wheel[[#This Row],[Subgroup]])</f>
        <v>P11</v>
      </c>
    </row>
    <row r="538" spans="1:55" hidden="1">
      <c r="A538" t="s">
        <v>10</v>
      </c>
      <c r="B538">
        <v>4465094</v>
      </c>
      <c r="C538" t="s">
        <v>2162</v>
      </c>
      <c r="D538">
        <v>9191.4003521</v>
      </c>
      <c r="E538">
        <v>51</v>
      </c>
      <c r="F538">
        <v>1.02</v>
      </c>
      <c r="G538" t="s">
        <v>2227</v>
      </c>
      <c r="H538" t="s">
        <v>2228</v>
      </c>
      <c r="I538">
        <v>320</v>
      </c>
      <c r="J538" t="s">
        <v>90</v>
      </c>
      <c r="K538" t="s">
        <v>2229</v>
      </c>
      <c r="L538" t="s">
        <v>2230</v>
      </c>
      <c r="M538">
        <v>4978.320525</v>
      </c>
      <c r="N538">
        <v>19.9132821</v>
      </c>
      <c r="O538">
        <v>4978.320525</v>
      </c>
      <c r="P538">
        <v>464500.39113</v>
      </c>
      <c r="Q538">
        <v>1</v>
      </c>
      <c r="R538">
        <v>9191.4003521</v>
      </c>
      <c r="S538" t="s">
        <v>195</v>
      </c>
      <c r="T538" t="s">
        <v>93</v>
      </c>
      <c r="U538">
        <v>5</v>
      </c>
      <c r="V538" t="s">
        <v>657</v>
      </c>
      <c r="W538" t="s">
        <v>95</v>
      </c>
      <c r="X538" t="s">
        <v>106</v>
      </c>
      <c r="Y538" s="23" t="s">
        <v>107</v>
      </c>
      <c r="AA538">
        <v>462</v>
      </c>
      <c r="AB538" t="s">
        <v>2231</v>
      </c>
      <c r="AC538" t="s">
        <v>2167</v>
      </c>
      <c r="AD538" s="2">
        <v>11</v>
      </c>
      <c r="AE538" s="2" t="s">
        <v>70</v>
      </c>
      <c r="AF538" t="str">
        <f>_xlfn.CONCAT(FINI_grouping_for_wheel[[#This Row],[SEFI/Plant]],"/",IF(FINI_grouping_for_wheel[[#This Row],[RESET recipe combination]]&lt;&gt;"",FINI_grouping_for_wheel[[#This Row],[RESET recipe combination]],FINI_grouping_for_wheel[[#This Row],[Recipe Combination]]),"/",FINI_grouping_for_wheel[[#This Row],[Subgroup]])</f>
        <v>4465094/THDP/x/11</v>
      </c>
      <c r="AG5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0.37261852015950375</v>
      </c>
      <c r="AH538">
        <f>_xlfn.LET(_xlpm.pct, FINI_grouping_for_wheel[[#This Row],[% forecast within subgroup]], _xlpm.lote, FINI_grouping_for_wheel[[#This Row],[Lot size considered]], _xlpm.pct*_xlpm.lote)</f>
        <v>3424.8859973930435</v>
      </c>
      <c r="AI538" cm="1">
        <f t="array" aca="1" ref="AI538" ca="1">IFERROR(INDIRECT("FINI_grouping_for_wheel[@["&amp;FINI_grouping_for_wheel[[#This Row],[Selected PV]]&amp;"]]"),"")</f>
        <v>141</v>
      </c>
      <c r="AJ53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10.3</v>
      </c>
      <c r="AL538" s="4"/>
      <c r="AM53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141</v>
      </c>
      <c r="AN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3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38" t="str">
        <f>_xlfn.CONCAT(FINI_grouping_for_wheel[[#This Row],[Recipe Combination]],FINI_grouping_for_wheel[[#This Row],[Subgroup]])</f>
        <v>S11</v>
      </c>
    </row>
    <row r="539" spans="1:55" hidden="1">
      <c r="A539" t="s">
        <v>10</v>
      </c>
      <c r="B539">
        <v>4465094</v>
      </c>
      <c r="C539" t="s">
        <v>2162</v>
      </c>
      <c r="D539">
        <v>9191.4003521</v>
      </c>
      <c r="E539">
        <v>51</v>
      </c>
      <c r="F539">
        <v>1.02</v>
      </c>
      <c r="G539" t="s">
        <v>2232</v>
      </c>
      <c r="H539" t="s">
        <v>2233</v>
      </c>
      <c r="I539">
        <v>240</v>
      </c>
      <c r="J539" t="s">
        <v>90</v>
      </c>
      <c r="K539" t="s">
        <v>2234</v>
      </c>
      <c r="L539" t="s">
        <v>2235</v>
      </c>
      <c r="M539">
        <v>18013.114575</v>
      </c>
      <c r="N539">
        <v>72.0524583</v>
      </c>
      <c r="O539">
        <v>42241.7304</v>
      </c>
      <c r="P539">
        <v>464500.39113</v>
      </c>
      <c r="Q539">
        <v>0.42642937219730942</v>
      </c>
      <c r="R539">
        <v>3919.48308176</v>
      </c>
      <c r="S539" t="s">
        <v>207</v>
      </c>
      <c r="T539" t="s">
        <v>93</v>
      </c>
      <c r="U539">
        <v>5</v>
      </c>
      <c r="V539" t="s">
        <v>196</v>
      </c>
      <c r="W539" t="s">
        <v>95</v>
      </c>
      <c r="X539" t="s">
        <v>106</v>
      </c>
      <c r="Y539" s="23" t="s">
        <v>107</v>
      </c>
      <c r="AA539">
        <v>128</v>
      </c>
      <c r="AB539" t="s">
        <v>2236</v>
      </c>
      <c r="AC539" t="s">
        <v>2167</v>
      </c>
      <c r="AD539" s="2">
        <v>10</v>
      </c>
      <c r="AE539" s="2" t="s">
        <v>70</v>
      </c>
      <c r="AF539" t="str">
        <f>_xlfn.CONCAT(FINI_grouping_for_wheel[[#This Row],[SEFI/Plant]],"/",IF(FINI_grouping_for_wheel[[#This Row],[RESET recipe combination]]&lt;&gt;"",FINI_grouping_for_wheel[[#This Row],[RESET recipe combination]],FINI_grouping_for_wheel[[#This Row],[Recipe Combination]]),"/",FINI_grouping_for_wheel[[#This Row],[Subgroup]])</f>
        <v>4465094/THDP/x/10</v>
      </c>
      <c r="AG5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0.9438585607940447</v>
      </c>
      <c r="AH539">
        <f>_xlfn.LET(_xlpm.pct, FINI_grouping_for_wheel[[#This Row],[% forecast within subgroup]], _xlpm.lote, FINI_grouping_for_wheel[[#This Row],[Lot size considered]], _xlpm.pct*_xlpm.lote)</f>
        <v>8675.381908014982</v>
      </c>
      <c r="AI539" cm="1">
        <f t="array" aca="1" ref="AI539" ca="1">IFERROR(INDIRECT("FINI_grouping_for_wheel[@["&amp;FINI_grouping_for_wheel[[#This Row],[Selected PV]]&amp;"]]"),"")</f>
        <v>99</v>
      </c>
      <c r="AJ53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34.9</v>
      </c>
      <c r="AL539" s="4"/>
      <c r="AM53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99</v>
      </c>
      <c r="AN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3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39" t="str">
        <f>_xlfn.CONCAT(FINI_grouping_for_wheel[[#This Row],[Recipe Combination]],FINI_grouping_for_wheel[[#This Row],[Subgroup]])</f>
        <v>T10</v>
      </c>
    </row>
    <row r="540" spans="1:55" hidden="1">
      <c r="A540" t="s">
        <v>10</v>
      </c>
      <c r="B540">
        <v>4465094</v>
      </c>
      <c r="C540" t="s">
        <v>2162</v>
      </c>
      <c r="D540">
        <v>9191.4003521</v>
      </c>
      <c r="E540">
        <v>51</v>
      </c>
      <c r="F540">
        <v>1.02</v>
      </c>
      <c r="G540" t="s">
        <v>2237</v>
      </c>
      <c r="H540" t="s">
        <v>2238</v>
      </c>
      <c r="I540">
        <v>375</v>
      </c>
      <c r="J540" t="s">
        <v>90</v>
      </c>
      <c r="K540" t="s">
        <v>1216</v>
      </c>
      <c r="L540" t="s">
        <v>1217</v>
      </c>
      <c r="M540">
        <v>9667.76823</v>
      </c>
      <c r="N540">
        <v>38.67107292</v>
      </c>
      <c r="O540">
        <v>42241.7304</v>
      </c>
      <c r="P540">
        <v>464500.39113</v>
      </c>
      <c r="Q540">
        <v>0.2288677130044843</v>
      </c>
      <c r="R540">
        <v>2103.61477789</v>
      </c>
      <c r="S540" t="s">
        <v>207</v>
      </c>
      <c r="T540" t="s">
        <v>93</v>
      </c>
      <c r="U540">
        <v>2.5</v>
      </c>
      <c r="V540" t="s">
        <v>105</v>
      </c>
      <c r="W540" t="s">
        <v>142</v>
      </c>
      <c r="X540" t="s">
        <v>106</v>
      </c>
      <c r="Y540" s="23" t="s">
        <v>107</v>
      </c>
      <c r="AA540">
        <v>238</v>
      </c>
      <c r="AB540" t="s">
        <v>2239</v>
      </c>
      <c r="AC540" t="s">
        <v>2167</v>
      </c>
      <c r="AD540" s="2">
        <v>8</v>
      </c>
      <c r="AE540" s="2" t="s">
        <v>70</v>
      </c>
      <c r="AF540" t="str">
        <f>_xlfn.CONCAT(FINI_grouping_for_wheel[[#This Row],[SEFI/Plant]],"/",IF(FINI_grouping_for_wheel[[#This Row],[RESET recipe combination]]&lt;&gt;"",FINI_grouping_for_wheel[[#This Row],[RESET recipe combination]],FINI_grouping_for_wheel[[#This Row],[Recipe Combination]]),"/",FINI_grouping_for_wheel[[#This Row],[Subgroup]])</f>
        <v>4465094/THDP/x/8</v>
      </c>
      <c r="AG5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0.3819993450905178</v>
      </c>
      <c r="AH540">
        <f>_xlfn.LET(_xlpm.pct, FINI_grouping_for_wheel[[#This Row],[% forecast within subgroup]], _xlpm.lote, FINI_grouping_for_wheel[[#This Row],[Lot size considered]], _xlpm.pct*_xlpm.lote)</f>
        <v>3511.1089149669547</v>
      </c>
      <c r="AI540" cm="1">
        <f t="array" aca="1" ref="AI540" ca="1">IFERROR(INDIRECT("FINI_grouping_for_wheel[@["&amp;FINI_grouping_for_wheel[[#This Row],[Selected PV]]&amp;"]]"),"")</f>
        <v>75</v>
      </c>
      <c r="AJ54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v>
      </c>
      <c r="AL540" s="4"/>
      <c r="AM54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75</v>
      </c>
      <c r="AN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4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40" t="str">
        <f>_xlfn.CONCAT(FINI_grouping_for_wheel[[#This Row],[Recipe Combination]],FINI_grouping_for_wheel[[#This Row],[Subgroup]])</f>
        <v>T8</v>
      </c>
    </row>
    <row r="541" spans="1:55" hidden="1">
      <c r="A541" t="s">
        <v>10</v>
      </c>
      <c r="B541">
        <v>4465094</v>
      </c>
      <c r="C541" t="s">
        <v>2162</v>
      </c>
      <c r="D541">
        <v>9191.4003521</v>
      </c>
      <c r="E541">
        <v>51</v>
      </c>
      <c r="F541">
        <v>1.02</v>
      </c>
      <c r="G541" t="s">
        <v>2240</v>
      </c>
      <c r="H541" t="s">
        <v>2241</v>
      </c>
      <c r="I541">
        <v>375</v>
      </c>
      <c r="J541" t="s">
        <v>90</v>
      </c>
      <c r="K541" t="s">
        <v>2242</v>
      </c>
      <c r="L541" t="s">
        <v>2243</v>
      </c>
      <c r="M541">
        <v>14560.847595</v>
      </c>
      <c r="N541">
        <v>58.24339038</v>
      </c>
      <c r="O541">
        <v>42241.7304</v>
      </c>
      <c r="P541">
        <v>464500.39113</v>
      </c>
      <c r="Q541">
        <v>0.34470291479820631</v>
      </c>
      <c r="R541">
        <v>3168.30249245</v>
      </c>
      <c r="S541" t="s">
        <v>207</v>
      </c>
      <c r="T541" t="s">
        <v>93</v>
      </c>
      <c r="U541">
        <v>2.5</v>
      </c>
      <c r="V541" t="s">
        <v>105</v>
      </c>
      <c r="W541" t="s">
        <v>95</v>
      </c>
      <c r="X541" t="s">
        <v>106</v>
      </c>
      <c r="Y541" s="23" t="s">
        <v>107</v>
      </c>
      <c r="AA541">
        <v>158</v>
      </c>
      <c r="AB541" t="s">
        <v>2244</v>
      </c>
      <c r="AC541" t="s">
        <v>2167</v>
      </c>
      <c r="AD541" s="2">
        <v>8</v>
      </c>
      <c r="AE541" s="2" t="s">
        <v>70</v>
      </c>
      <c r="AF541" t="str">
        <f>_xlfn.CONCAT(FINI_grouping_for_wheel[[#This Row],[SEFI/Plant]],"/",IF(FINI_grouping_for_wheel[[#This Row],[RESET recipe combination]]&lt;&gt;"",FINI_grouping_for_wheel[[#This Row],[RESET recipe combination]],FINI_grouping_for_wheel[[#This Row],[Recipe Combination]]),"/",FINI_grouping_for_wheel[[#This Row],[Subgroup]])</f>
        <v>4465094/THDP/x/8</v>
      </c>
      <c r="AG5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0.57533798007204</v>
      </c>
      <c r="AH541">
        <f>_xlfn.LET(_xlpm.pct, FINI_grouping_for_wheel[[#This Row],[% forecast within subgroup]], _xlpm.lote, FINI_grouping_for_wheel[[#This Row],[Lot size considered]], _xlpm.pct*_xlpm.lote)</f>
        <v>5288.16171261065</v>
      </c>
      <c r="AI541" cm="1">
        <f t="array" aca="1" ref="AI541" ca="1">IFERROR(INDIRECT("FINI_grouping_for_wheel[@["&amp;FINI_grouping_for_wheel[[#This Row],[Selected PV]]&amp;"]]"),"")</f>
        <v>75</v>
      </c>
      <c r="AJ54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13.6</v>
      </c>
      <c r="AL541" s="4"/>
      <c r="AM54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75</v>
      </c>
      <c r="AN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4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41" t="str">
        <f>_xlfn.CONCAT(FINI_grouping_for_wheel[[#This Row],[Recipe Combination]],FINI_grouping_for_wheel[[#This Row],[Subgroup]])</f>
        <v>T8</v>
      </c>
    </row>
    <row r="542" spans="1:55" hidden="1">
      <c r="A542" t="s">
        <v>10</v>
      </c>
      <c r="B542">
        <v>4465094</v>
      </c>
      <c r="C542" t="s">
        <v>2162</v>
      </c>
      <c r="D542">
        <v>9191.4003521</v>
      </c>
      <c r="E542">
        <v>51</v>
      </c>
      <c r="F542">
        <v>1.02</v>
      </c>
      <c r="G542" t="s">
        <v>2245</v>
      </c>
      <c r="H542" t="s">
        <v>2246</v>
      </c>
      <c r="I542">
        <v>300</v>
      </c>
      <c r="J542" t="s">
        <v>90</v>
      </c>
      <c r="K542" t="s">
        <v>2247</v>
      </c>
      <c r="L542" t="s">
        <v>2248</v>
      </c>
      <c r="M542">
        <v>72528.38811</v>
      </c>
      <c r="N542">
        <v>290.11355244</v>
      </c>
      <c r="O542">
        <v>72528.38811</v>
      </c>
      <c r="P542">
        <v>464500.39113</v>
      </c>
      <c r="Q542">
        <v>1</v>
      </c>
      <c r="R542">
        <v>9191.4003521</v>
      </c>
      <c r="S542" t="s">
        <v>218</v>
      </c>
      <c r="T542" t="s">
        <v>93</v>
      </c>
      <c r="U542">
        <v>12.5</v>
      </c>
      <c r="V542" t="s">
        <v>295</v>
      </c>
      <c r="W542" t="s">
        <v>95</v>
      </c>
      <c r="X542" t="s">
        <v>128</v>
      </c>
      <c r="Y542" s="23" t="s">
        <v>120</v>
      </c>
      <c r="AA542">
        <v>32</v>
      </c>
      <c r="AB542" t="s">
        <v>2249</v>
      </c>
      <c r="AC542" t="s">
        <v>2167</v>
      </c>
      <c r="AD542" s="2">
        <v>3</v>
      </c>
      <c r="AE542" s="2" t="s">
        <v>70</v>
      </c>
      <c r="AF542" t="str">
        <f>_xlfn.CONCAT(FINI_grouping_for_wheel[[#This Row],[SEFI/Plant]],"/",IF(FINI_grouping_for_wheel[[#This Row],[RESET recipe combination]]&lt;&gt;"",FINI_grouping_for_wheel[[#This Row],[RESET recipe combination]],FINI_grouping_for_wheel[[#This Row],[Recipe Combination]]),"/",FINI_grouping_for_wheel[[#This Row],[Subgroup]])</f>
        <v>4465094/THDP/x/3</v>
      </c>
      <c r="AG5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42">
        <f>_xlfn.LET(_xlpm.pct, FINI_grouping_for_wheel[[#This Row],[% forecast within subgroup]], _xlpm.lote, FINI_grouping_for_wheel[[#This Row],[Lot size considered]], _xlpm.pct*_xlpm.lote)</f>
        <v>9191.4003521</v>
      </c>
      <c r="AI542" cm="1">
        <f t="array" aca="1" ref="AI542" ca="1">IFERROR(INDIRECT("FINI_grouping_for_wheel[@["&amp;FINI_grouping_for_wheel[[#This Row],[Selected PV]]&amp;"]]"),"")</f>
        <v>26</v>
      </c>
      <c r="AJ54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29.6</v>
      </c>
      <c r="AL542" s="4"/>
      <c r="AM54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v>
      </c>
      <c r="AN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4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42" t="str">
        <f>_xlfn.CONCAT(FINI_grouping_for_wheel[[#This Row],[Recipe Combination]],FINI_grouping_for_wheel[[#This Row],[Subgroup]])</f>
        <v>U3</v>
      </c>
    </row>
    <row r="543" spans="1:55" hidden="1">
      <c r="A543" t="s">
        <v>10</v>
      </c>
      <c r="B543">
        <v>4465094</v>
      </c>
      <c r="C543" t="s">
        <v>2162</v>
      </c>
      <c r="D543">
        <v>9191.4003521</v>
      </c>
      <c r="E543">
        <v>51</v>
      </c>
      <c r="F543">
        <v>1.02</v>
      </c>
      <c r="G543" t="s">
        <v>2250</v>
      </c>
      <c r="H543" t="s">
        <v>2251</v>
      </c>
      <c r="I543">
        <v>324</v>
      </c>
      <c r="J543" t="s">
        <v>90</v>
      </c>
      <c r="K543" t="s">
        <v>2252</v>
      </c>
      <c r="L543" t="s">
        <v>2253</v>
      </c>
      <c r="M543">
        <v>146103.34824</v>
      </c>
      <c r="N543">
        <v>584.41339296</v>
      </c>
      <c r="O543">
        <v>146103.34824</v>
      </c>
      <c r="P543">
        <v>464500.39113</v>
      </c>
      <c r="Q543">
        <v>1</v>
      </c>
      <c r="R543">
        <v>9191.4003521</v>
      </c>
      <c r="S543" t="s">
        <v>230</v>
      </c>
      <c r="T543" t="s">
        <v>93</v>
      </c>
      <c r="U543">
        <v>12</v>
      </c>
      <c r="V543" t="s">
        <v>231</v>
      </c>
      <c r="W543" t="s">
        <v>159</v>
      </c>
      <c r="X543" t="s">
        <v>96</v>
      </c>
      <c r="Y543" s="23" t="s">
        <v>97</v>
      </c>
      <c r="AA543">
        <v>16</v>
      </c>
      <c r="AB543" t="s">
        <v>2254</v>
      </c>
      <c r="AC543" t="s">
        <v>2167</v>
      </c>
      <c r="AD543" s="2">
        <v>1</v>
      </c>
      <c r="AE543" s="2" t="s">
        <v>70</v>
      </c>
      <c r="AF543" t="str">
        <f>_xlfn.CONCAT(FINI_grouping_for_wheel[[#This Row],[SEFI/Plant]],"/",IF(FINI_grouping_for_wheel[[#This Row],[RESET recipe combination]]&lt;&gt;"",FINI_grouping_for_wheel[[#This Row],[RESET recipe combination]],FINI_grouping_for_wheel[[#This Row],[Recipe Combination]]),"/",FINI_grouping_for_wheel[[#This Row],[Subgroup]])</f>
        <v>4465094/THDP/x/1</v>
      </c>
      <c r="AG5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43">
        <f>_xlfn.LET(_xlpm.pct, FINI_grouping_for_wheel[[#This Row],[% forecast within subgroup]], _xlpm.lote, FINI_grouping_for_wheel[[#This Row],[Lot size considered]], _xlpm.pct*_xlpm.lote)</f>
        <v>9191.4003521</v>
      </c>
      <c r="AI543" cm="1">
        <f t="array" aca="1" ref="AI543" ca="1">IFERROR(INDIRECT("FINI_grouping_for_wheel[@["&amp;FINI_grouping_for_wheel[[#This Row],[Selected PV]]&amp;"]]"),"")</f>
        <v>13</v>
      </c>
      <c r="AJ54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27.4</v>
      </c>
      <c r="AL543" s="4"/>
      <c r="AM54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v>
      </c>
      <c r="AN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4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43" t="str">
        <f>_xlfn.CONCAT(FINI_grouping_for_wheel[[#This Row],[Recipe Combination]],FINI_grouping_for_wheel[[#This Row],[Subgroup]])</f>
        <v>W1</v>
      </c>
    </row>
    <row r="544" spans="1:55" hidden="1">
      <c r="A544" t="s">
        <v>10</v>
      </c>
      <c r="B544">
        <v>4465094</v>
      </c>
      <c r="C544" t="s">
        <v>2162</v>
      </c>
      <c r="D544">
        <v>9191.4003521</v>
      </c>
      <c r="E544">
        <v>51</v>
      </c>
      <c r="F544">
        <v>1.02</v>
      </c>
      <c r="G544" t="s">
        <v>2255</v>
      </c>
      <c r="H544" t="s">
        <v>2256</v>
      </c>
      <c r="I544">
        <v>440</v>
      </c>
      <c r="J544" t="s">
        <v>90</v>
      </c>
      <c r="K544" t="s">
        <v>2257</v>
      </c>
      <c r="L544" t="s">
        <v>2258</v>
      </c>
      <c r="M544">
        <v>100241.23635</v>
      </c>
      <c r="N544">
        <v>400.9649454</v>
      </c>
      <c r="O544">
        <v>100241.23635</v>
      </c>
      <c r="P544">
        <v>464500.39113</v>
      </c>
      <c r="Q544">
        <v>1</v>
      </c>
      <c r="R544">
        <v>9191.4003521</v>
      </c>
      <c r="S544" t="s">
        <v>387</v>
      </c>
      <c r="T544" t="s">
        <v>93</v>
      </c>
      <c r="U544">
        <v>10</v>
      </c>
      <c r="V544" t="s">
        <v>94</v>
      </c>
      <c r="W544" t="s">
        <v>95</v>
      </c>
      <c r="X544" t="s">
        <v>96</v>
      </c>
      <c r="Y544" s="23" t="s">
        <v>97</v>
      </c>
      <c r="AA544">
        <v>23</v>
      </c>
      <c r="AB544" t="s">
        <v>2259</v>
      </c>
      <c r="AC544" t="s">
        <v>2167</v>
      </c>
      <c r="AD544" s="2">
        <v>2</v>
      </c>
      <c r="AE544" s="2" t="s">
        <v>70</v>
      </c>
      <c r="AF544" t="str">
        <f>_xlfn.CONCAT(FINI_grouping_for_wheel[[#This Row],[SEFI/Plant]],"/",IF(FINI_grouping_for_wheel[[#This Row],[RESET recipe combination]]&lt;&gt;"",FINI_grouping_for_wheel[[#This Row],[RESET recipe combination]],FINI_grouping_for_wheel[[#This Row],[Recipe Combination]]),"/",FINI_grouping_for_wheel[[#This Row],[Subgroup]])</f>
        <v>4465094/THDP/x/2</v>
      </c>
      <c r="AG5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44">
        <f>_xlfn.LET(_xlpm.pct, FINI_grouping_for_wheel[[#This Row],[% forecast within subgroup]], _xlpm.lote, FINI_grouping_for_wheel[[#This Row],[Lot size considered]], _xlpm.pct*_xlpm.lote)</f>
        <v>9191.4003521</v>
      </c>
      <c r="AI544" cm="1">
        <f t="array" aca="1" ref="AI544" ca="1">IFERROR(INDIRECT("FINI_grouping_for_wheel[@["&amp;FINI_grouping_for_wheel[[#This Row],[Selected PV]]&amp;"]]"),"")</f>
        <v>19</v>
      </c>
      <c r="AJ54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20.2</v>
      </c>
      <c r="AL544" s="4"/>
      <c r="AM54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4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44" t="str">
        <f>_xlfn.CONCAT(FINI_grouping_for_wheel[[#This Row],[Recipe Combination]],FINI_grouping_for_wheel[[#This Row],[Subgroup]])</f>
        <v>X2</v>
      </c>
    </row>
    <row r="545" spans="1:55" hidden="1">
      <c r="A545" t="s">
        <v>10</v>
      </c>
      <c r="B545">
        <v>4856973</v>
      </c>
      <c r="C545" t="s">
        <v>2260</v>
      </c>
      <c r="D545">
        <v>8455.55306975</v>
      </c>
      <c r="E545">
        <v>49</v>
      </c>
      <c r="F545">
        <v>0.98</v>
      </c>
      <c r="G545" t="s">
        <v>2261</v>
      </c>
      <c r="H545" t="s">
        <v>2262</v>
      </c>
      <c r="I545">
        <v>440</v>
      </c>
      <c r="J545" t="s">
        <v>90</v>
      </c>
      <c r="K545" t="s">
        <v>1049</v>
      </c>
      <c r="L545" t="s">
        <v>1050</v>
      </c>
      <c r="M545">
        <v>17616.5064</v>
      </c>
      <c r="N545">
        <v>70.4660256</v>
      </c>
      <c r="O545">
        <v>17616.5064</v>
      </c>
      <c r="P545">
        <v>412969.7421</v>
      </c>
      <c r="Q545">
        <v>1</v>
      </c>
      <c r="R545">
        <v>8455.55306975</v>
      </c>
      <c r="S545" t="s">
        <v>118</v>
      </c>
      <c r="T545" t="s">
        <v>93</v>
      </c>
      <c r="U545">
        <v>10</v>
      </c>
      <c r="V545" t="s">
        <v>94</v>
      </c>
      <c r="W545" t="s">
        <v>95</v>
      </c>
      <c r="X545" t="s">
        <v>96</v>
      </c>
      <c r="Y545" s="23" t="s">
        <v>97</v>
      </c>
      <c r="AA545">
        <v>120</v>
      </c>
      <c r="AB545" t="s">
        <v>2263</v>
      </c>
      <c r="AC545" t="s">
        <v>2264</v>
      </c>
      <c r="AD545" s="2">
        <v>2</v>
      </c>
      <c r="AE545" s="2" t="s">
        <v>70</v>
      </c>
      <c r="AF545" t="str">
        <f>_xlfn.CONCAT(FINI_grouping_for_wheel[[#This Row],[SEFI/Plant]],"/",IF(FINI_grouping_for_wheel[[#This Row],[RESET recipe combination]]&lt;&gt;"",FINI_grouping_for_wheel[[#This Row],[RESET recipe combination]],FINI_grouping_for_wheel[[#This Row],[Recipe Combination]]),"/",FINI_grouping_for_wheel[[#This Row],[Subgroup]])</f>
        <v>4856973/THDP/x/2</v>
      </c>
      <c r="AG5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0.3685905375278672</v>
      </c>
      <c r="AH545">
        <f>_xlfn.LET(_xlpm.pct, FINI_grouping_for_wheel[[#This Row],[% forecast within subgroup]], _xlpm.lote, FINI_grouping_for_wheel[[#This Row],[Lot size considered]], _xlpm.pct*_xlpm.lote)</f>
        <v>3116.63685107456</v>
      </c>
      <c r="AI545" cm="1">
        <f t="array" aca="1" ref="AI545" ca="1">IFERROR(INDIRECT("FINI_grouping_for_wheel[@["&amp;FINI_grouping_for_wheel[[#This Row],[Selected PV]]&amp;"]]"),"")</f>
        <v>39</v>
      </c>
      <c r="AJ54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7.4</v>
      </c>
      <c r="AL545" s="4"/>
      <c r="AM54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4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45" t="str">
        <f>_xlfn.CONCAT(FINI_grouping_for_wheel[[#This Row],[Recipe Combination]],FINI_grouping_for_wheel[[#This Row],[Subgroup]])</f>
        <v>A2</v>
      </c>
    </row>
    <row r="546" spans="1:55" hidden="1">
      <c r="A546" t="s">
        <v>10</v>
      </c>
      <c r="B546">
        <v>4856973</v>
      </c>
      <c r="C546" t="s">
        <v>2260</v>
      </c>
      <c r="D546">
        <v>8455.55306975</v>
      </c>
      <c r="E546">
        <v>49</v>
      </c>
      <c r="F546">
        <v>0.98</v>
      </c>
      <c r="G546" t="s">
        <v>2265</v>
      </c>
      <c r="H546" t="s">
        <v>2266</v>
      </c>
      <c r="I546">
        <v>330</v>
      </c>
      <c r="J546" t="s">
        <v>90</v>
      </c>
      <c r="K546" t="s">
        <v>1038</v>
      </c>
      <c r="L546" t="s">
        <v>1039</v>
      </c>
      <c r="M546">
        <v>26756.253</v>
      </c>
      <c r="N546">
        <v>107.025012</v>
      </c>
      <c r="O546">
        <v>26756.253</v>
      </c>
      <c r="P546">
        <v>412969.7421</v>
      </c>
      <c r="Q546">
        <v>1</v>
      </c>
      <c r="R546">
        <v>8455.55306975</v>
      </c>
      <c r="S546" t="s">
        <v>157</v>
      </c>
      <c r="T546" t="s">
        <v>93</v>
      </c>
      <c r="U546">
        <v>10</v>
      </c>
      <c r="V546" t="s">
        <v>94</v>
      </c>
      <c r="W546" t="s">
        <v>95</v>
      </c>
      <c r="X546" t="s">
        <v>96</v>
      </c>
      <c r="Y546" s="23" t="s">
        <v>97</v>
      </c>
      <c r="AA546">
        <v>79</v>
      </c>
      <c r="AB546" t="s">
        <v>2267</v>
      </c>
      <c r="AC546" t="s">
        <v>2264</v>
      </c>
      <c r="AD546" s="2">
        <v>3</v>
      </c>
      <c r="AE546" s="2" t="s">
        <v>70</v>
      </c>
      <c r="AF546" t="str">
        <f>_xlfn.CONCAT(FINI_grouping_for_wheel[[#This Row],[SEFI/Plant]],"/",IF(FINI_grouping_for_wheel[[#This Row],[RESET recipe combination]]&lt;&gt;"",FINI_grouping_for_wheel[[#This Row],[RESET recipe combination]],FINI_grouping_for_wheel[[#This Row],[Recipe Combination]]),"/",FINI_grouping_for_wheel[[#This Row],[Subgroup]])</f>
        <v>4856973/THDP/x/3</v>
      </c>
      <c r="AG5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0.818840579710145</v>
      </c>
      <c r="AH546">
        <f>_xlfn.LET(_xlpm.pct, FINI_grouping_for_wheel[[#This Row],[% forecast within subgroup]], _xlpm.lote, FINI_grouping_for_wheel[[#This Row],[Lot size considered]], _xlpm.pct*_xlpm.lote)</f>
        <v>6923.749977403986</v>
      </c>
      <c r="AI546" cm="1">
        <f t="array" aca="1" ref="AI546" ca="1">IFERROR(INDIRECT("FINI_grouping_for_wheel[@["&amp;FINI_grouping_for_wheel[[#This Row],[Selected PV]]&amp;"]]"),"")</f>
        <v>58</v>
      </c>
      <c r="AJ54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v>
      </c>
      <c r="AL546" s="4"/>
      <c r="AM54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58</v>
      </c>
      <c r="AN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4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46" t="str">
        <f>_xlfn.CONCAT(FINI_grouping_for_wheel[[#This Row],[Recipe Combination]],FINI_grouping_for_wheel[[#This Row],[Subgroup]])</f>
        <v>M3</v>
      </c>
    </row>
    <row r="547" spans="1:55" hidden="1">
      <c r="A547" t="s">
        <v>10</v>
      </c>
      <c r="B547">
        <v>4856973</v>
      </c>
      <c r="C547" t="s">
        <v>2260</v>
      </c>
      <c r="D547">
        <v>8455.55306975</v>
      </c>
      <c r="E547">
        <v>49</v>
      </c>
      <c r="F547">
        <v>0.98</v>
      </c>
      <c r="G547" t="s">
        <v>2268</v>
      </c>
      <c r="H547" t="s">
        <v>2269</v>
      </c>
      <c r="I547">
        <v>440</v>
      </c>
      <c r="J547" t="s">
        <v>90</v>
      </c>
      <c r="K547" t="s">
        <v>2270</v>
      </c>
      <c r="L547" t="s">
        <v>2271</v>
      </c>
      <c r="M547">
        <v>332499.71925</v>
      </c>
      <c r="N547">
        <v>1329.998877</v>
      </c>
      <c r="O547">
        <v>332499.71925</v>
      </c>
      <c r="P547">
        <v>412969.7421</v>
      </c>
      <c r="Q547">
        <v>1</v>
      </c>
      <c r="R547">
        <v>8455.55306975</v>
      </c>
      <c r="S547" t="s">
        <v>218</v>
      </c>
      <c r="T547" t="s">
        <v>93</v>
      </c>
      <c r="U547">
        <v>10</v>
      </c>
      <c r="V547" t="s">
        <v>94</v>
      </c>
      <c r="W547" t="s">
        <v>95</v>
      </c>
      <c r="X547" t="s">
        <v>96</v>
      </c>
      <c r="Y547" s="23" t="s">
        <v>97</v>
      </c>
      <c r="AA547">
        <v>6</v>
      </c>
      <c r="AB547" t="s">
        <v>2272</v>
      </c>
      <c r="AC547" t="s">
        <v>2264</v>
      </c>
      <c r="AD547" s="2">
        <v>1</v>
      </c>
      <c r="AE547" s="2" t="s">
        <v>70</v>
      </c>
      <c r="AF547" t="str">
        <f>_xlfn.CONCAT(FINI_grouping_for_wheel[[#This Row],[SEFI/Plant]],"/",IF(FINI_grouping_for_wheel[[#This Row],[RESET recipe combination]]&lt;&gt;"",FINI_grouping_for_wheel[[#This Row],[RESET recipe combination]],FINI_grouping_for_wheel[[#This Row],[Recipe Combination]]),"/",FINI_grouping_for_wheel[[#This Row],[Subgroup]])</f>
        <v>4856973/THDP/x/1</v>
      </c>
      <c r="AG5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47">
        <f>_xlfn.LET(_xlpm.pct, FINI_grouping_for_wheel[[#This Row],[% forecast within subgroup]], _xlpm.lote, FINI_grouping_for_wheel[[#This Row],[Lot size considered]], _xlpm.pct*_xlpm.lote)</f>
        <v>8455.55306975</v>
      </c>
      <c r="AI547" cm="1">
        <f t="array" aca="1" ref="AI547" ca="1">IFERROR(INDIRECT("FINI_grouping_for_wheel[@["&amp;FINI_grouping_for_wheel[[#This Row],[Selected PV]]&amp;"]]"),"")</f>
        <v>6</v>
      </c>
      <c r="AJ54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20.2</v>
      </c>
      <c r="AL547" s="4"/>
      <c r="AM54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v>
      </c>
      <c r="AN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4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47" t="str">
        <f>_xlfn.CONCAT(FINI_grouping_for_wheel[[#This Row],[Recipe Combination]],FINI_grouping_for_wheel[[#This Row],[Subgroup]])</f>
        <v>U1</v>
      </c>
    </row>
    <row r="548" spans="1:55" hidden="1">
      <c r="A548" t="s">
        <v>10</v>
      </c>
      <c r="B548">
        <v>4856973</v>
      </c>
      <c r="C548" t="s">
        <v>2260</v>
      </c>
      <c r="D548">
        <v>8455.55306975</v>
      </c>
      <c r="E548">
        <v>49</v>
      </c>
      <c r="F548">
        <v>0.98</v>
      </c>
      <c r="G548" t="s">
        <v>2273</v>
      </c>
      <c r="H548" t="s">
        <v>2274</v>
      </c>
      <c r="I548">
        <v>440</v>
      </c>
      <c r="J548" t="s">
        <v>90</v>
      </c>
      <c r="K548" t="s">
        <v>385</v>
      </c>
      <c r="L548" t="s">
        <v>386</v>
      </c>
      <c r="M548">
        <v>5919.525</v>
      </c>
      <c r="N548">
        <v>23.6781</v>
      </c>
      <c r="O548">
        <v>36097.26345</v>
      </c>
      <c r="P548">
        <v>412969.7421</v>
      </c>
      <c r="Q548">
        <v>0.16398819285011479</v>
      </c>
      <c r="R548">
        <v>1386.61086746</v>
      </c>
      <c r="S548" t="s">
        <v>387</v>
      </c>
      <c r="T548" t="s">
        <v>93</v>
      </c>
      <c r="U548">
        <v>10</v>
      </c>
      <c r="V548" t="s">
        <v>94</v>
      </c>
      <c r="W548" t="s">
        <v>95</v>
      </c>
      <c r="X548" t="s">
        <v>96</v>
      </c>
      <c r="Y548" s="23" t="s">
        <v>97</v>
      </c>
      <c r="AA548">
        <v>357</v>
      </c>
      <c r="AB548" t="s">
        <v>2275</v>
      </c>
      <c r="AC548" t="s">
        <v>2264</v>
      </c>
      <c r="AD548" s="2">
        <v>3</v>
      </c>
      <c r="AE548" s="2" t="s">
        <v>70</v>
      </c>
      <c r="AF548" t="str">
        <f>_xlfn.CONCAT(FINI_grouping_for_wheel[[#This Row],[SEFI/Plant]],"/",IF(FINI_grouping_for_wheel[[#This Row],[RESET recipe combination]]&lt;&gt;"",FINI_grouping_for_wheel[[#This Row],[RESET recipe combination]],FINI_grouping_for_wheel[[#This Row],[Recipe Combination]]),"/",FINI_grouping_for_wheel[[#This Row],[Subgroup]])</f>
        <v>4856973/THDP/x/3</v>
      </c>
      <c r="AG5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0.18115942028985507</v>
      </c>
      <c r="AH548">
        <f>_xlfn.LET(_xlpm.pct, FINI_grouping_for_wheel[[#This Row],[% forecast within subgroup]], _xlpm.lote, FINI_grouping_for_wheel[[#This Row],[Lot size considered]], _xlpm.pct*_xlpm.lote)</f>
        <v>1531.8030923460144</v>
      </c>
      <c r="AI548" cm="1">
        <f t="array" aca="1" ref="AI548" ca="1">IFERROR(INDIRECT("FINI_grouping_for_wheel[@["&amp;FINI_grouping_for_wheel[[#This Row],[Selected PV]]&amp;"]]"),"")</f>
        <v>58</v>
      </c>
      <c r="AJ54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3.7</v>
      </c>
      <c r="AL548" s="4"/>
      <c r="AM54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58</v>
      </c>
      <c r="AN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4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48" t="str">
        <f>_xlfn.CONCAT(FINI_grouping_for_wheel[[#This Row],[Recipe Combination]],FINI_grouping_for_wheel[[#This Row],[Subgroup]])</f>
        <v>X3</v>
      </c>
    </row>
    <row r="549" spans="1:55" hidden="1">
      <c r="A549" t="s">
        <v>10</v>
      </c>
      <c r="B549">
        <v>4856973</v>
      </c>
      <c r="C549" t="s">
        <v>2260</v>
      </c>
      <c r="D549">
        <v>8455.55306975</v>
      </c>
      <c r="E549">
        <v>49</v>
      </c>
      <c r="F549">
        <v>0.98</v>
      </c>
      <c r="G549" t="s">
        <v>2276</v>
      </c>
      <c r="H549" t="s">
        <v>2277</v>
      </c>
      <c r="I549">
        <v>440</v>
      </c>
      <c r="J549" t="s">
        <v>90</v>
      </c>
      <c r="K549" t="s">
        <v>2278</v>
      </c>
      <c r="L549" t="s">
        <v>2279</v>
      </c>
      <c r="M549">
        <v>30177.73845</v>
      </c>
      <c r="N549">
        <v>120.7109538</v>
      </c>
      <c r="O549">
        <v>36097.26345</v>
      </c>
      <c r="P549">
        <v>412969.7421</v>
      </c>
      <c r="Q549">
        <v>0.83601180714988521</v>
      </c>
      <c r="R549">
        <v>7068.94220229</v>
      </c>
      <c r="S549" t="s">
        <v>387</v>
      </c>
      <c r="T549" t="s">
        <v>93</v>
      </c>
      <c r="U549">
        <v>10</v>
      </c>
      <c r="V549" t="s">
        <v>94</v>
      </c>
      <c r="W549" t="s">
        <v>95</v>
      </c>
      <c r="X549" t="s">
        <v>96</v>
      </c>
      <c r="Y549" s="23" t="s">
        <v>97</v>
      </c>
      <c r="AA549">
        <v>70</v>
      </c>
      <c r="AB549" t="s">
        <v>2280</v>
      </c>
      <c r="AC549" t="s">
        <v>2264</v>
      </c>
      <c r="AD549" s="2">
        <v>2</v>
      </c>
      <c r="AE549" s="2" t="s">
        <v>70</v>
      </c>
      <c r="AF549" t="str">
        <f>_xlfn.CONCAT(FINI_grouping_for_wheel[[#This Row],[SEFI/Plant]],"/",IF(FINI_grouping_for_wheel[[#This Row],[RESET recipe combination]]&lt;&gt;"",FINI_grouping_for_wheel[[#This Row],[RESET recipe combination]],FINI_grouping_for_wheel[[#This Row],[Recipe Combination]]),"/",FINI_grouping_for_wheel[[#This Row],[Subgroup]])</f>
        <v>4856973/THDP/x/2</v>
      </c>
      <c r="AG5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0.6314094624721327</v>
      </c>
      <c r="AH549">
        <f>_xlfn.LET(_xlpm.pct, FINI_grouping_for_wheel[[#This Row],[% forecast within subgroup]], _xlpm.lote, FINI_grouping_for_wheel[[#This Row],[Lot size considered]], _xlpm.pct*_xlpm.lote)</f>
        <v>5338.916218675439</v>
      </c>
      <c r="AI549" cm="1">
        <f t="array" aca="1" ref="AI549" ca="1">IFERROR(INDIRECT("FINI_grouping_for_wheel[@["&amp;FINI_grouping_for_wheel[[#This Row],[Selected PV]]&amp;"]]"),"")</f>
        <v>39</v>
      </c>
      <c r="AJ54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5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12.7</v>
      </c>
      <c r="AL549" s="4"/>
      <c r="AM54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v>
      </c>
      <c r="AN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4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49" t="str">
        <f>_xlfn.CONCAT(FINI_grouping_for_wheel[[#This Row],[Recipe Combination]],FINI_grouping_for_wheel[[#This Row],[Subgroup]])</f>
        <v>X2</v>
      </c>
    </row>
    <row r="550" spans="1:55" hidden="1">
      <c r="A550" t="s">
        <v>10</v>
      </c>
      <c r="B550">
        <v>4714905</v>
      </c>
      <c r="C550" t="s">
        <v>2281</v>
      </c>
      <c r="D550">
        <v>8590.84472494</v>
      </c>
      <c r="E550">
        <v>49</v>
      </c>
      <c r="F550">
        <v>0.98</v>
      </c>
      <c r="G550" t="s">
        <v>2282</v>
      </c>
      <c r="H550" t="s">
        <v>2283</v>
      </c>
      <c r="I550">
        <v>420</v>
      </c>
      <c r="J550" t="s">
        <v>90</v>
      </c>
      <c r="K550" t="s">
        <v>841</v>
      </c>
      <c r="L550" t="s">
        <v>842</v>
      </c>
      <c r="M550">
        <v>2004.351165</v>
      </c>
      <c r="N550">
        <v>8.01740466</v>
      </c>
      <c r="O550">
        <v>3117.221865</v>
      </c>
      <c r="P550">
        <v>416493.04338</v>
      </c>
      <c r="Q550">
        <v>0.64299278389669579</v>
      </c>
      <c r="R550">
        <v>5523.85116571</v>
      </c>
      <c r="S550" t="s">
        <v>266</v>
      </c>
      <c r="T550" t="s">
        <v>93</v>
      </c>
      <c r="U550">
        <v>1</v>
      </c>
      <c r="V550" t="s">
        <v>843</v>
      </c>
      <c r="W550" t="s">
        <v>142</v>
      </c>
      <c r="X550" t="s">
        <v>150</v>
      </c>
      <c r="Y550" s="23" t="s">
        <v>151</v>
      </c>
      <c r="AA550">
        <v>1072</v>
      </c>
      <c r="AB550" t="s">
        <v>2284</v>
      </c>
      <c r="AC550" t="s">
        <v>2285</v>
      </c>
      <c r="AD550" s="28">
        <v>3</v>
      </c>
      <c r="AE550" s="2" t="s">
        <v>71</v>
      </c>
      <c r="AF550" t="str">
        <f>_xlfn.CONCAT(FINI_grouping_for_wheel[[#This Row],[SEFI/Plant]],"/",IF(FINI_grouping_for_wheel[[#This Row],[RESET recipe combination]]&lt;&gt;"",FINI_grouping_for_wheel[[#This Row],[RESET recipe combination]],FINI_grouping_for_wheel[[#This Row],[Recipe Combination]]),"/",FINI_grouping_for_wheel[[#This Row],[Subgroup]])</f>
        <v>4714905/THDP/x/3</v>
      </c>
      <c r="AG5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0.5880514067384509</v>
      </c>
      <c r="AH550">
        <f>_xlfn.LET(_xlpm.pct, FINI_grouping_for_wheel[[#This Row],[% forecast within subgroup]], _xlpm.lote, FINI_grouping_for_wheel[[#This Row],[Lot size considered]], _xlpm.pct*_xlpm.lote)</f>
        <v>5051.858325572567</v>
      </c>
      <c r="AI550" cm="1">
        <f t="array" aca="1" ref="AI550" ca="1">IFERROR(INDIRECT("FINI_grouping_for_wheel[@["&amp;FINI_grouping_for_wheel[[#This Row],[Selected PV]]&amp;"]]"),"")</f>
        <v>581</v>
      </c>
      <c r="AJ55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8807.069295</v>
      </c>
      <c r="AK5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12.3</v>
      </c>
      <c r="AL550" s="4"/>
      <c r="AM55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1072</v>
      </c>
      <c r="AN55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581</v>
      </c>
      <c r="AO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5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50" t="str">
        <f>_xlfn.CONCAT(FINI_grouping_for_wheel[[#This Row],[Recipe Combination]],FINI_grouping_for_wheel[[#This Row],[Subgroup]])</f>
        <v>13</v>
      </c>
    </row>
    <row r="551" spans="1:55" hidden="1">
      <c r="A551" t="s">
        <v>10</v>
      </c>
      <c r="B551">
        <v>4714905</v>
      </c>
      <c r="C551" t="s">
        <v>2281</v>
      </c>
      <c r="D551">
        <v>8590.84472494</v>
      </c>
      <c r="E551">
        <v>49</v>
      </c>
      <c r="F551">
        <v>0.98</v>
      </c>
      <c r="G551" t="s">
        <v>2286</v>
      </c>
      <c r="H551" t="s">
        <v>2287</v>
      </c>
      <c r="I551">
        <v>450</v>
      </c>
      <c r="J551" t="s">
        <v>90</v>
      </c>
      <c r="K551" t="s">
        <v>264</v>
      </c>
      <c r="L551" t="s">
        <v>265</v>
      </c>
      <c r="M551">
        <v>1112.8707</v>
      </c>
      <c r="N551">
        <v>4.4514828</v>
      </c>
      <c r="O551">
        <v>3117.221865</v>
      </c>
      <c r="P551">
        <v>416493.04338</v>
      </c>
      <c r="Q551">
        <v>0.35700721610330421</v>
      </c>
      <c r="R551">
        <v>3066.99355923</v>
      </c>
      <c r="S551" t="s">
        <v>266</v>
      </c>
      <c r="T551" t="s">
        <v>93</v>
      </c>
      <c r="U551">
        <v>2.5</v>
      </c>
      <c r="V551" t="s">
        <v>267</v>
      </c>
      <c r="W551" t="s">
        <v>142</v>
      </c>
      <c r="X551" t="s">
        <v>150</v>
      </c>
      <c r="Y551" s="23" t="s">
        <v>151</v>
      </c>
      <c r="AA551">
        <v>1930</v>
      </c>
      <c r="AB551" t="s">
        <v>2288</v>
      </c>
      <c r="AC551" t="s">
        <v>2285</v>
      </c>
      <c r="AD551" s="28">
        <v>3</v>
      </c>
      <c r="AE551" s="2" t="s">
        <v>71</v>
      </c>
      <c r="AF551" t="str">
        <f>_xlfn.CONCAT(FINI_grouping_for_wheel[[#This Row],[SEFI/Plant]],"/",IF(FINI_grouping_for_wheel[[#This Row],[RESET recipe combination]]&lt;&gt;"",FINI_grouping_for_wheel[[#This Row],[RESET recipe combination]],FINI_grouping_for_wheel[[#This Row],[Recipe Combination]]),"/",FINI_grouping_for_wheel[[#This Row],[Subgroup]])</f>
        <v>4714905/THDP/x/3</v>
      </c>
      <c r="AG5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0.32650225772837793</v>
      </c>
      <c r="AH551">
        <f>_xlfn.LET(_xlpm.pct, FINI_grouping_for_wheel[[#This Row],[% forecast within subgroup]], _xlpm.lote, FINI_grouping_for_wheel[[#This Row],[Lot size considered]], _xlpm.pct*_xlpm.lote)</f>
        <v>2804.9301984868357</v>
      </c>
      <c r="AI551" cm="1">
        <f t="array" aca="1" ref="AI551" ca="1">IFERROR(INDIRECT("FINI_grouping_for_wheel[@["&amp;FINI_grouping_for_wheel[[#This Row],[Selected PV]]&amp;"]]"),"")</f>
        <v>581</v>
      </c>
      <c r="AJ55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8807.069295</v>
      </c>
      <c r="AK5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6.4</v>
      </c>
      <c r="AL551" s="4"/>
      <c r="AM55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1072</v>
      </c>
      <c r="AN55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581</v>
      </c>
      <c r="AO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5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51" t="str">
        <f>_xlfn.CONCAT(FINI_grouping_for_wheel[[#This Row],[Recipe Combination]],FINI_grouping_for_wheel[[#This Row],[Subgroup]])</f>
        <v>13</v>
      </c>
    </row>
    <row r="552" spans="1:55" hidden="1">
      <c r="A552" t="s">
        <v>10</v>
      </c>
      <c r="B552">
        <v>4714905</v>
      </c>
      <c r="C552" t="s">
        <v>2281</v>
      </c>
      <c r="D552">
        <v>8590.84472494</v>
      </c>
      <c r="E552">
        <v>49</v>
      </c>
      <c r="F552">
        <v>0.98</v>
      </c>
      <c r="G552" t="s">
        <v>2289</v>
      </c>
      <c r="H552" t="s">
        <v>2290</v>
      </c>
      <c r="I552">
        <v>440</v>
      </c>
      <c r="J552" t="s">
        <v>90</v>
      </c>
      <c r="K552" t="s">
        <v>2291</v>
      </c>
      <c r="L552" t="s">
        <v>2292</v>
      </c>
      <c r="M552">
        <v>26578.66725</v>
      </c>
      <c r="N552">
        <v>106.314669</v>
      </c>
      <c r="O552">
        <v>26578.66725</v>
      </c>
      <c r="P552">
        <v>416493.04338</v>
      </c>
      <c r="Q552">
        <v>1</v>
      </c>
      <c r="R552">
        <v>8590.84472494</v>
      </c>
      <c r="S552" t="s">
        <v>118</v>
      </c>
      <c r="T552" t="s">
        <v>93</v>
      </c>
      <c r="U552">
        <v>10</v>
      </c>
      <c r="V552" t="s">
        <v>94</v>
      </c>
      <c r="W552" t="s">
        <v>95</v>
      </c>
      <c r="X552" t="s">
        <v>96</v>
      </c>
      <c r="Y552" s="23" t="s">
        <v>97</v>
      </c>
      <c r="AA552">
        <v>81</v>
      </c>
      <c r="AB552" t="s">
        <v>2293</v>
      </c>
      <c r="AC552" t="s">
        <v>2285</v>
      </c>
      <c r="AD552" s="2">
        <v>2</v>
      </c>
      <c r="AE552" s="2" t="s">
        <v>71</v>
      </c>
      <c r="AF552" t="str">
        <f>_xlfn.CONCAT(FINI_grouping_for_wheel[[#This Row],[SEFI/Plant]],"/",IF(FINI_grouping_for_wheel[[#This Row],[RESET recipe combination]]&lt;&gt;"",FINI_grouping_for_wheel[[#This Row],[RESET recipe combination]],FINI_grouping_for_wheel[[#This Row],[Recipe Combination]]),"/",FINI_grouping_for_wheel[[#This Row],[Subgroup]])</f>
        <v>4714905/THDP/x/2</v>
      </c>
      <c r="AG5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0.5950014576873128</v>
      </c>
      <c r="AH552">
        <f>_xlfn.LET(_xlpm.pct, FINI_grouping_for_wheel[[#This Row],[% forecast within subgroup]], _xlpm.lote, FINI_grouping_for_wheel[[#This Row],[Lot size considered]], _xlpm.pct*_xlpm.lote)</f>
        <v>5111.565134104661</v>
      </c>
      <c r="AI552" cm="1">
        <f t="array" aca="1" ref="AI552" ca="1">IFERROR(INDIRECT("FINI_grouping_for_wheel[@["&amp;FINI_grouping_for_wheel[[#This Row],[Selected PV]]&amp;"]]"),"")</f>
        <v>44</v>
      </c>
      <c r="AJ55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8807.069295</v>
      </c>
      <c r="AK5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11.9</v>
      </c>
      <c r="AL552" s="4"/>
      <c r="AM55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82</v>
      </c>
      <c r="AN55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44</v>
      </c>
      <c r="AO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5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52" t="str">
        <f>_xlfn.CONCAT(FINI_grouping_for_wheel[[#This Row],[Recipe Combination]],FINI_grouping_for_wheel[[#This Row],[Subgroup]])</f>
        <v>A2</v>
      </c>
    </row>
    <row r="553" spans="1:55" hidden="1">
      <c r="A553" t="s">
        <v>10</v>
      </c>
      <c r="B553">
        <v>4714905</v>
      </c>
      <c r="C553" t="s">
        <v>2281</v>
      </c>
      <c r="D553">
        <v>8590.84472494</v>
      </c>
      <c r="E553">
        <v>49</v>
      </c>
      <c r="F553">
        <v>0.98</v>
      </c>
      <c r="G553" t="s">
        <v>2294</v>
      </c>
      <c r="H553" t="s">
        <v>2295</v>
      </c>
      <c r="I553">
        <v>300</v>
      </c>
      <c r="J553" t="s">
        <v>90</v>
      </c>
      <c r="K553" t="s">
        <v>2296</v>
      </c>
      <c r="L553" t="s">
        <v>2297</v>
      </c>
      <c r="M553">
        <v>18091.252305</v>
      </c>
      <c r="N553">
        <v>72.36500922</v>
      </c>
      <c r="O553">
        <v>18091.252305</v>
      </c>
      <c r="P553">
        <v>416493.04338</v>
      </c>
      <c r="Q553">
        <v>1</v>
      </c>
      <c r="R553">
        <v>8590.84472494</v>
      </c>
      <c r="S553" t="s">
        <v>294</v>
      </c>
      <c r="T553" t="s">
        <v>93</v>
      </c>
      <c r="U553">
        <v>12.5</v>
      </c>
      <c r="V553" t="s">
        <v>295</v>
      </c>
      <c r="W553" t="s">
        <v>95</v>
      </c>
      <c r="X553" t="s">
        <v>128</v>
      </c>
      <c r="Y553" s="23" t="s">
        <v>120</v>
      </c>
      <c r="AA553">
        <v>119</v>
      </c>
      <c r="AB553" t="s">
        <v>2298</v>
      </c>
      <c r="AC553" t="s">
        <v>2285</v>
      </c>
      <c r="AD553" s="2">
        <v>2</v>
      </c>
      <c r="AE553" s="2" t="s">
        <v>71</v>
      </c>
      <c r="AF553" t="str">
        <f>_xlfn.CONCAT(FINI_grouping_for_wheel[[#This Row],[SEFI/Plant]],"/",IF(FINI_grouping_for_wheel[[#This Row],[RESET recipe combination]]&lt;&gt;"",FINI_grouping_for_wheel[[#This Row],[RESET recipe combination]],FINI_grouping_for_wheel[[#This Row],[Recipe Combination]]),"/",FINI_grouping_for_wheel[[#This Row],[Subgroup]])</f>
        <v>4714905/THDP/x/2</v>
      </c>
      <c r="AG5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0.4049985423126872</v>
      </c>
      <c r="AH553">
        <f>_xlfn.LET(_xlpm.pct, FINI_grouping_for_wheel[[#This Row],[% forecast within subgroup]], _xlpm.lote, FINI_grouping_for_wheel[[#This Row],[Lot size considered]], _xlpm.pct*_xlpm.lote)</f>
        <v>3479.2795908353382</v>
      </c>
      <c r="AI553" cm="1">
        <f t="array" aca="1" ref="AI553" ca="1">IFERROR(INDIRECT("FINI_grouping_for_wheel[@["&amp;FINI_grouping_for_wheel[[#This Row],[Selected PV]]&amp;"]]"),"")</f>
        <v>44</v>
      </c>
      <c r="AJ55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8807.069295</v>
      </c>
      <c r="AK5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11.9</v>
      </c>
      <c r="AL553" s="4"/>
      <c r="AM55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82</v>
      </c>
      <c r="AN55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44</v>
      </c>
      <c r="AO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5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53" t="str">
        <f>_xlfn.CONCAT(FINI_grouping_for_wheel[[#This Row],[Recipe Combination]],FINI_grouping_for_wheel[[#This Row],[Subgroup]])</f>
        <v>C2</v>
      </c>
    </row>
    <row r="554" spans="1:55" hidden="1">
      <c r="A554" t="s">
        <v>10</v>
      </c>
      <c r="B554">
        <v>4714905</v>
      </c>
      <c r="C554" t="s">
        <v>2281</v>
      </c>
      <c r="D554">
        <v>8590.84472494</v>
      </c>
      <c r="E554">
        <v>49</v>
      </c>
      <c r="F554">
        <v>0.98</v>
      </c>
      <c r="G554" t="s">
        <v>2299</v>
      </c>
      <c r="H554" t="s">
        <v>2300</v>
      </c>
      <c r="I554">
        <v>330</v>
      </c>
      <c r="J554" t="s">
        <v>90</v>
      </c>
      <c r="K554" t="s">
        <v>312</v>
      </c>
      <c r="L554" t="s">
        <v>313</v>
      </c>
      <c r="M554">
        <v>291.24063</v>
      </c>
      <c r="N554">
        <v>1.16496252</v>
      </c>
      <c r="O554">
        <v>291.24063</v>
      </c>
      <c r="P554">
        <v>416493.04338</v>
      </c>
      <c r="Q554">
        <v>1</v>
      </c>
      <c r="R554">
        <v>8590.84472494</v>
      </c>
      <c r="S554" t="s">
        <v>314</v>
      </c>
      <c r="T554" t="s">
        <v>93</v>
      </c>
      <c r="U554">
        <v>1</v>
      </c>
      <c r="V554" t="s">
        <v>315</v>
      </c>
      <c r="W554" t="s">
        <v>142</v>
      </c>
      <c r="X554" t="s">
        <v>150</v>
      </c>
      <c r="Y554" s="23" t="s">
        <v>151</v>
      </c>
      <c r="AA554">
        <v>7374</v>
      </c>
      <c r="AB554" t="s">
        <v>2301</v>
      </c>
      <c r="AC554" t="s">
        <v>2285</v>
      </c>
      <c r="AD554" s="28">
        <v>3</v>
      </c>
      <c r="AE554" s="2" t="s">
        <v>71</v>
      </c>
      <c r="AF554" t="str">
        <f>_xlfn.CONCAT(FINI_grouping_for_wheel[[#This Row],[SEFI/Plant]],"/",IF(FINI_grouping_for_wheel[[#This Row],[RESET recipe combination]]&lt;&gt;"",FINI_grouping_for_wheel[[#This Row],[RESET recipe combination]],FINI_grouping_for_wheel[[#This Row],[Recipe Combination]]),"/",FINI_grouping_for_wheel[[#This Row],[Subgroup]])</f>
        <v>4714905/THDP/x/3</v>
      </c>
      <c r="AG5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0.08544633553317126</v>
      </c>
      <c r="AH554">
        <f>_xlfn.LET(_xlpm.pct, FINI_grouping_for_wheel[[#This Row],[% forecast within subgroup]], _xlpm.lote, FINI_grouping_for_wheel[[#This Row],[Lot size considered]], _xlpm.pct*_xlpm.lote)</f>
        <v>734.0562008805975</v>
      </c>
      <c r="AI554" cm="1">
        <f t="array" aca="1" ref="AI554" ca="1">IFERROR(INDIRECT("FINI_grouping_for_wheel[@["&amp;FINI_grouping_for_wheel[[#This Row],[Selected PV]]&amp;"]]"),"")</f>
        <v>581</v>
      </c>
      <c r="AJ55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8807.069295</v>
      </c>
      <c r="AK5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v>
      </c>
      <c r="AL554" s="4"/>
      <c r="AM55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1072</v>
      </c>
      <c r="AN55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581</v>
      </c>
      <c r="AO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5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54" t="str">
        <f>_xlfn.CONCAT(FINI_grouping_for_wheel[[#This Row],[Recipe Combination]],FINI_grouping_for_wheel[[#This Row],[Subgroup]])</f>
        <v>K3</v>
      </c>
    </row>
    <row r="555" spans="1:55" hidden="1">
      <c r="A555" t="s">
        <v>10</v>
      </c>
      <c r="B555">
        <v>4714905</v>
      </c>
      <c r="C555" t="s">
        <v>2281</v>
      </c>
      <c r="D555">
        <v>8590.84472494</v>
      </c>
      <c r="E555">
        <v>49</v>
      </c>
      <c r="F555">
        <v>0.98</v>
      </c>
      <c r="G555" t="s">
        <v>2302</v>
      </c>
      <c r="H555" t="s">
        <v>2303</v>
      </c>
      <c r="I555">
        <v>360</v>
      </c>
      <c r="J555" t="s">
        <v>90</v>
      </c>
      <c r="K555" t="s">
        <v>2304</v>
      </c>
      <c r="L555" t="s">
        <v>2305</v>
      </c>
      <c r="M555">
        <v>65649.90006</v>
      </c>
      <c r="N555">
        <v>262.59960024</v>
      </c>
      <c r="O555">
        <v>73018.52478</v>
      </c>
      <c r="P555">
        <v>416493.04338</v>
      </c>
      <c r="Q555">
        <v>0.89908554380958561</v>
      </c>
      <c r="R555">
        <v>7723.9043013</v>
      </c>
      <c r="S555" t="s">
        <v>165</v>
      </c>
      <c r="T555" t="s">
        <v>93</v>
      </c>
      <c r="U555">
        <v>7.5</v>
      </c>
      <c r="V555" t="s">
        <v>119</v>
      </c>
      <c r="W555" t="s">
        <v>95</v>
      </c>
      <c r="X555" t="s">
        <v>96</v>
      </c>
      <c r="Y555" s="23" t="s">
        <v>120</v>
      </c>
      <c r="AA555">
        <v>33</v>
      </c>
      <c r="AB555" t="s">
        <v>2306</v>
      </c>
      <c r="AC555" t="s">
        <v>2285</v>
      </c>
      <c r="AD555" s="2">
        <v>4</v>
      </c>
      <c r="AE555" s="2" t="s">
        <v>71</v>
      </c>
      <c r="AF555" t="str">
        <f>_xlfn.CONCAT(FINI_grouping_for_wheel[[#This Row],[SEFI/Plant]],"/",IF(FINI_grouping_for_wheel[[#This Row],[RESET recipe combination]]&lt;&gt;"",FINI_grouping_for_wheel[[#This Row],[RESET recipe combination]],FINI_grouping_for_wheel[[#This Row],[Recipe Combination]]),"/",FINI_grouping_for_wheel[[#This Row],[Subgroup]])</f>
        <v>4714905/THDP/x/4</v>
      </c>
      <c r="AG5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55">
        <f>_xlfn.LET(_xlpm.pct, FINI_grouping_for_wheel[[#This Row],[% forecast within subgroup]], _xlpm.lote, FINI_grouping_for_wheel[[#This Row],[Lot size considered]], _xlpm.pct*_xlpm.lote)</f>
        <v>8590.84472494</v>
      </c>
      <c r="AI555" cm="1">
        <f t="array" aca="1" ref="AI555" ca="1">IFERROR(INDIRECT("FINI_grouping_for_wheel[@["&amp;FINI_grouping_for_wheel[[#This Row],[Selected PV]]&amp;"]]"),"")</f>
        <v>30</v>
      </c>
      <c r="AJ55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8807.069295</v>
      </c>
      <c r="AK5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24.5</v>
      </c>
      <c r="AL555" s="4"/>
      <c r="AM55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56</v>
      </c>
      <c r="AN55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30</v>
      </c>
      <c r="AO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5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55" t="str">
        <f>_xlfn.CONCAT(FINI_grouping_for_wheel[[#This Row],[Recipe Combination]],FINI_grouping_for_wheel[[#This Row],[Subgroup]])</f>
        <v>N4</v>
      </c>
    </row>
    <row r="556" spans="1:55" hidden="1">
      <c r="A556" t="s">
        <v>10</v>
      </c>
      <c r="B556">
        <v>4714905</v>
      </c>
      <c r="C556" t="s">
        <v>2281</v>
      </c>
      <c r="D556">
        <v>8590.84472494</v>
      </c>
      <c r="E556">
        <v>49</v>
      </c>
      <c r="F556">
        <v>0.98</v>
      </c>
      <c r="G556" t="s">
        <v>2307</v>
      </c>
      <c r="H556" t="s">
        <v>2308</v>
      </c>
      <c r="I556">
        <v>384</v>
      </c>
      <c r="J556" t="s">
        <v>90</v>
      </c>
      <c r="K556" t="s">
        <v>2309</v>
      </c>
      <c r="L556" t="s">
        <v>2310</v>
      </c>
      <c r="M556">
        <v>7368.62472</v>
      </c>
      <c r="N556">
        <v>29.47449888</v>
      </c>
      <c r="O556">
        <v>73018.52478</v>
      </c>
      <c r="P556">
        <v>416493.04338</v>
      </c>
      <c r="Q556">
        <v>0.10091445619041442</v>
      </c>
      <c r="R556">
        <v>866.940423633</v>
      </c>
      <c r="S556" t="s">
        <v>165</v>
      </c>
      <c r="T556" t="s">
        <v>93</v>
      </c>
      <c r="U556">
        <v>4</v>
      </c>
      <c r="V556" t="s">
        <v>347</v>
      </c>
      <c r="W556" t="s">
        <v>95</v>
      </c>
      <c r="X556" t="s">
        <v>96</v>
      </c>
      <c r="Y556" s="23" t="s">
        <v>107</v>
      </c>
      <c r="AA556">
        <v>291</v>
      </c>
      <c r="AB556" t="s">
        <v>2311</v>
      </c>
      <c r="AC556" t="s">
        <v>2285</v>
      </c>
      <c r="AD556" s="2">
        <v>5</v>
      </c>
      <c r="AE556" s="2" t="s">
        <v>71</v>
      </c>
      <c r="AF556" t="str">
        <f>_xlfn.CONCAT(FINI_grouping_for_wheel[[#This Row],[SEFI/Plant]],"/",IF(FINI_grouping_for_wheel[[#This Row],[RESET recipe combination]]&lt;&gt;"",FINI_grouping_for_wheel[[#This Row],[RESET recipe combination]],FINI_grouping_for_wheel[[#This Row],[Recipe Combination]]),"/",FINI_grouping_for_wheel[[#This Row],[Subgroup]])</f>
        <v>4714905/THDP/x/5</v>
      </c>
      <c r="AG5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0.6943328871039715</v>
      </c>
      <c r="AH556">
        <f>_xlfn.LET(_xlpm.pct, FINI_grouping_for_wheel[[#This Row],[% forecast within subgroup]], _xlpm.lote, FINI_grouping_for_wheel[[#This Row],[Lot size considered]], _xlpm.pct*_xlpm.lote)</f>
        <v>5964.906020529514</v>
      </c>
      <c r="AI556" cm="1">
        <f t="array" aca="1" ref="AI556" ca="1">IFERROR(INDIRECT("FINI_grouping_for_wheel[@["&amp;FINI_grouping_for_wheel[[#This Row],[Selected PV]]&amp;"]]"),"")</f>
        <v>187</v>
      </c>
      <c r="AJ55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8807.069295</v>
      </c>
      <c r="AK5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15.9</v>
      </c>
      <c r="AL556" s="4"/>
      <c r="AM55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344</v>
      </c>
      <c r="AN55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187</v>
      </c>
      <c r="AO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5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56" t="str">
        <f>_xlfn.CONCAT(FINI_grouping_for_wheel[[#This Row],[Recipe Combination]],FINI_grouping_for_wheel[[#This Row],[Subgroup]])</f>
        <v>N5</v>
      </c>
    </row>
    <row r="557" spans="1:55" hidden="1">
      <c r="A557" t="s">
        <v>10</v>
      </c>
      <c r="B557">
        <v>4714905</v>
      </c>
      <c r="C557" t="s">
        <v>2281</v>
      </c>
      <c r="D557">
        <v>8590.84472494</v>
      </c>
      <c r="E557">
        <v>49</v>
      </c>
      <c r="F557">
        <v>0.98</v>
      </c>
      <c r="G557" t="s">
        <v>2312</v>
      </c>
      <c r="H557" t="s">
        <v>2313</v>
      </c>
      <c r="I557">
        <v>300</v>
      </c>
      <c r="J557" t="s">
        <v>90</v>
      </c>
      <c r="K557" t="s">
        <v>2314</v>
      </c>
      <c r="L557" t="s">
        <v>2315</v>
      </c>
      <c r="M557">
        <v>3243.8997</v>
      </c>
      <c r="N557">
        <v>12.9755988</v>
      </c>
      <c r="O557">
        <v>3243.8997</v>
      </c>
      <c r="P557">
        <v>416493.04338</v>
      </c>
      <c r="Q557">
        <v>1</v>
      </c>
      <c r="R557">
        <v>8590.84472494</v>
      </c>
      <c r="S557" t="s">
        <v>173</v>
      </c>
      <c r="T557" t="s">
        <v>93</v>
      </c>
      <c r="U557">
        <v>5</v>
      </c>
      <c r="V557" t="s">
        <v>119</v>
      </c>
      <c r="W557" t="s">
        <v>95</v>
      </c>
      <c r="X557" t="s">
        <v>96</v>
      </c>
      <c r="Y557" s="23" t="s">
        <v>120</v>
      </c>
      <c r="AA557">
        <v>662</v>
      </c>
      <c r="AB557" t="s">
        <v>2316</v>
      </c>
      <c r="AC557" t="s">
        <v>2285</v>
      </c>
      <c r="AD557" s="2">
        <v>5</v>
      </c>
      <c r="AE557" s="2" t="s">
        <v>71</v>
      </c>
      <c r="AF557" t="str">
        <f>_xlfn.CONCAT(FINI_grouping_for_wheel[[#This Row],[SEFI/Plant]],"/",IF(FINI_grouping_for_wheel[[#This Row],[RESET recipe combination]]&lt;&gt;"",FINI_grouping_for_wheel[[#This Row],[RESET recipe combination]],FINI_grouping_for_wheel[[#This Row],[Recipe Combination]]),"/",FINI_grouping_for_wheel[[#This Row],[Subgroup]])</f>
        <v>4714905/THDP/x/5</v>
      </c>
      <c r="AG5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0.30566711289602855</v>
      </c>
      <c r="AH557">
        <f>_xlfn.LET(_xlpm.pct, FINI_grouping_for_wheel[[#This Row],[% forecast within subgroup]], _xlpm.lote, FINI_grouping_for_wheel[[#This Row],[Lot size considered]], _xlpm.pct*_xlpm.lote)</f>
        <v>2625.938704410486</v>
      </c>
      <c r="AI557" cm="1">
        <f t="array" aca="1" ref="AI557" ca="1">IFERROR(INDIRECT("FINI_grouping_for_wheel[@["&amp;FINI_grouping_for_wheel[[#This Row],[Selected PV]]&amp;"]]"),"")</f>
        <v>187</v>
      </c>
      <c r="AJ55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8807.069295</v>
      </c>
      <c r="AK5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v>
      </c>
      <c r="AL557" s="4"/>
      <c r="AM55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344</v>
      </c>
      <c r="AN55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187</v>
      </c>
      <c r="AO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5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57" t="str">
        <f>_xlfn.CONCAT(FINI_grouping_for_wheel[[#This Row],[Recipe Combination]],FINI_grouping_for_wheel[[#This Row],[Subgroup]])</f>
        <v>P5</v>
      </c>
    </row>
    <row r="558" spans="1:55" hidden="1">
      <c r="A558" t="s">
        <v>10</v>
      </c>
      <c r="B558">
        <v>4714905</v>
      </c>
      <c r="C558" t="s">
        <v>2281</v>
      </c>
      <c r="D558">
        <v>8590.84472494</v>
      </c>
      <c r="E558">
        <v>49</v>
      </c>
      <c r="F558">
        <v>0.98</v>
      </c>
      <c r="G558" t="s">
        <v>2317</v>
      </c>
      <c r="H558" t="s">
        <v>2318</v>
      </c>
      <c r="I558">
        <v>440</v>
      </c>
      <c r="J558" t="s">
        <v>90</v>
      </c>
      <c r="K558" t="s">
        <v>2319</v>
      </c>
      <c r="L558" t="s">
        <v>2320</v>
      </c>
      <c r="M558">
        <v>267775.6329</v>
      </c>
      <c r="N558">
        <v>1071.1025316</v>
      </c>
      <c r="O558">
        <v>267775.6329</v>
      </c>
      <c r="P558">
        <v>416493.04338</v>
      </c>
      <c r="Q558">
        <v>1</v>
      </c>
      <c r="R558">
        <v>8590.84472494</v>
      </c>
      <c r="S558" t="s">
        <v>230</v>
      </c>
      <c r="T558" t="s">
        <v>93</v>
      </c>
      <c r="U558">
        <v>10</v>
      </c>
      <c r="V558" t="s">
        <v>94</v>
      </c>
      <c r="W558" t="s">
        <v>95</v>
      </c>
      <c r="X558" t="s">
        <v>96</v>
      </c>
      <c r="Y558" s="23" t="s">
        <v>97</v>
      </c>
      <c r="AA558">
        <v>8</v>
      </c>
      <c r="AB558" t="s">
        <v>2321</v>
      </c>
      <c r="AC558" t="s">
        <v>2285</v>
      </c>
      <c r="AD558" s="2">
        <v>1</v>
      </c>
      <c r="AE558" s="2" t="s">
        <v>70</v>
      </c>
      <c r="AF558" t="str">
        <f>_xlfn.CONCAT(FINI_grouping_for_wheel[[#This Row],[SEFI/Plant]],"/",IF(FINI_grouping_for_wheel[[#This Row],[RESET recipe combination]]&lt;&gt;"",FINI_grouping_for_wheel[[#This Row],[RESET recipe combination]],FINI_grouping_for_wheel[[#This Row],[Recipe Combination]]),"/",FINI_grouping_for_wheel[[#This Row],[Subgroup]])</f>
        <v>4714905/THDP/x/1</v>
      </c>
      <c r="AG5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0.9165619807918304</v>
      </c>
      <c r="AH558">
        <f>_xlfn.LET(_xlpm.pct, FINI_grouping_for_wheel[[#This Row],[% forecast within subgroup]], _xlpm.lote, FINI_grouping_for_wheel[[#This Row],[Lot size considered]], _xlpm.pct*_xlpm.lote)</f>
        <v>7874.0416577660535</v>
      </c>
      <c r="AI558" cm="1">
        <f t="array" aca="1" ref="AI558" ca="1">IFERROR(INDIRECT("FINI_grouping_for_wheel[@["&amp;FINI_grouping_for_wheel[[#This Row],[Selected PV]]&amp;"]]"),"")</f>
        <v>13</v>
      </c>
      <c r="AJ55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17186.748885</v>
      </c>
      <c r="AK5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35.8</v>
      </c>
      <c r="AL558" s="4"/>
      <c r="AM55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v>
      </c>
      <c r="AN55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7</v>
      </c>
      <c r="AO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5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58" t="str">
        <f>_xlfn.CONCAT(FINI_grouping_for_wheel[[#This Row],[Recipe Combination]],FINI_grouping_for_wheel[[#This Row],[Subgroup]])</f>
        <v>W1</v>
      </c>
    </row>
    <row r="559" spans="1:55" hidden="1">
      <c r="A559" t="s">
        <v>10</v>
      </c>
      <c r="B559">
        <v>4714905</v>
      </c>
      <c r="C559" t="s">
        <v>2281</v>
      </c>
      <c r="D559">
        <v>8590.84472494</v>
      </c>
      <c r="E559">
        <v>49</v>
      </c>
      <c r="F559">
        <v>0.98</v>
      </c>
      <c r="G559" t="s">
        <v>2322</v>
      </c>
      <c r="H559" t="s">
        <v>2323</v>
      </c>
      <c r="I559">
        <v>440</v>
      </c>
      <c r="J559" t="s">
        <v>90</v>
      </c>
      <c r="K559" t="s">
        <v>2324</v>
      </c>
      <c r="L559" t="s">
        <v>2325</v>
      </c>
      <c r="M559">
        <v>24376.60395</v>
      </c>
      <c r="N559">
        <v>97.5064158</v>
      </c>
      <c r="O559">
        <v>24376.60395</v>
      </c>
      <c r="P559">
        <v>416493.04338</v>
      </c>
      <c r="Q559">
        <v>1</v>
      </c>
      <c r="R559">
        <v>8590.84472494</v>
      </c>
      <c r="S559" t="s">
        <v>387</v>
      </c>
      <c r="T559" t="s">
        <v>93</v>
      </c>
      <c r="U559">
        <v>10</v>
      </c>
      <c r="V559" t="s">
        <v>94</v>
      </c>
      <c r="W559" t="s">
        <v>95</v>
      </c>
      <c r="X559" t="s">
        <v>96</v>
      </c>
      <c r="Y559" s="23" t="s">
        <v>97</v>
      </c>
      <c r="AA559">
        <v>88</v>
      </c>
      <c r="AB559" t="s">
        <v>2326</v>
      </c>
      <c r="AC559" t="s">
        <v>2285</v>
      </c>
      <c r="AD559" s="2">
        <v>1</v>
      </c>
      <c r="AE559" s="2" t="s">
        <v>70</v>
      </c>
      <c r="AF559" t="str">
        <f>_xlfn.CONCAT(FINI_grouping_for_wheel[[#This Row],[SEFI/Plant]],"/",IF(FINI_grouping_for_wheel[[#This Row],[RESET recipe combination]]&lt;&gt;"",FINI_grouping_for_wheel[[#This Row],[RESET recipe combination]],FINI_grouping_for_wheel[[#This Row],[Recipe Combination]]),"/",FINI_grouping_for_wheel[[#This Row],[Subgroup]])</f>
        <v>4714905/THDP/x/1</v>
      </c>
      <c r="AG5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0.08343801920816954</v>
      </c>
      <c r="AH559">
        <f>_xlfn.LET(_xlpm.pct, FINI_grouping_for_wheel[[#This Row],[% forecast within subgroup]], _xlpm.lote, FINI_grouping_for_wheel[[#This Row],[Lot size considered]], _xlpm.pct*_xlpm.lote)</f>
        <v>716.8030671739457</v>
      </c>
      <c r="AI559" cm="1">
        <f t="array" aca="1" ref="AI559" ca="1">IFERROR(INDIRECT("FINI_grouping_for_wheel[@["&amp;FINI_grouping_for_wheel[[#This Row],[Selected PV]]&amp;"]]"),"")</f>
        <v>13</v>
      </c>
      <c r="AJ55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17186.748885</v>
      </c>
      <c r="AK5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3.3</v>
      </c>
      <c r="AL559" s="4"/>
      <c r="AM55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v>
      </c>
      <c r="AN55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7</v>
      </c>
      <c r="AO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5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59" t="str">
        <f>_xlfn.CONCAT(FINI_grouping_for_wheel[[#This Row],[Recipe Combination]],FINI_grouping_for_wheel[[#This Row],[Subgroup]])</f>
        <v>X1</v>
      </c>
    </row>
    <row r="560" spans="1:55" hidden="1">
      <c r="A560" t="s">
        <v>10</v>
      </c>
      <c r="B560">
        <v>4180927</v>
      </c>
      <c r="C560" t="s">
        <v>2327</v>
      </c>
      <c r="D560">
        <v>8740.60292613</v>
      </c>
      <c r="E560">
        <v>49</v>
      </c>
      <c r="F560">
        <v>0.98</v>
      </c>
      <c r="G560" t="s">
        <v>2328</v>
      </c>
      <c r="H560" t="s">
        <v>2329</v>
      </c>
      <c r="I560">
        <v>480</v>
      </c>
      <c r="J560" t="s">
        <v>90</v>
      </c>
      <c r="K560" t="s">
        <v>515</v>
      </c>
      <c r="L560" t="s">
        <v>516</v>
      </c>
      <c r="M560">
        <v>461.72295</v>
      </c>
      <c r="N560">
        <v>1.8468918</v>
      </c>
      <c r="O560">
        <v>461.72295</v>
      </c>
      <c r="P560">
        <v>420049.494</v>
      </c>
      <c r="Q560">
        <v>1</v>
      </c>
      <c r="R560">
        <v>8740.60292613</v>
      </c>
      <c r="S560" t="s">
        <v>990</v>
      </c>
      <c r="T560" t="s">
        <v>93</v>
      </c>
      <c r="U560">
        <v>5</v>
      </c>
      <c r="V560" t="s">
        <v>518</v>
      </c>
      <c r="W560" t="s">
        <v>142</v>
      </c>
      <c r="X560" t="s">
        <v>150</v>
      </c>
      <c r="Y560" s="23" t="s">
        <v>151</v>
      </c>
      <c r="AA560">
        <v>4733</v>
      </c>
      <c r="AB560" t="s">
        <v>2330</v>
      </c>
      <c r="AC560" t="s">
        <v>2331</v>
      </c>
      <c r="AD560" s="2">
        <v>4</v>
      </c>
      <c r="AE560" s="2" t="s">
        <v>70</v>
      </c>
      <c r="AF560" t="str">
        <f>_xlfn.CONCAT(FINI_grouping_for_wheel[[#This Row],[SEFI/Plant]],"/",IF(FINI_grouping_for_wheel[[#This Row],[RESET recipe combination]]&lt;&gt;"",FINI_grouping_for_wheel[[#This Row],[RESET recipe combination]],FINI_grouping_for_wheel[[#This Row],[Recipe Combination]]),"/",FINI_grouping_for_wheel[[#This Row],[Subgroup]])</f>
        <v>4180927/THDP/x/4</v>
      </c>
      <c r="AG5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0.0717439293598234</v>
      </c>
      <c r="AH560">
        <f>_xlfn.LET(_xlpm.pct, FINI_grouping_for_wheel[[#This Row],[% forecast within subgroup]], _xlpm.lote, FINI_grouping_for_wheel[[#This Row],[Lot size considered]], _xlpm.pct*_xlpm.lote)</f>
        <v>627.0851988945365</v>
      </c>
      <c r="AI560" cm="1">
        <f t="array" aca="1" ref="AI560" ca="1">IFERROR(INDIRECT("FINI_grouping_for_wheel[@["&amp;FINI_grouping_for_wheel[[#This Row],[Selected PV]]&amp;"]]"),"")</f>
        <v>293</v>
      </c>
      <c r="AJ56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5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v>
      </c>
      <c r="AL560" s="4"/>
      <c r="AM56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293</v>
      </c>
      <c r="AN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6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60" t="str">
        <f>_xlfn.CONCAT(FINI_grouping_for_wheel[[#This Row],[Recipe Combination]],FINI_grouping_for_wheel[[#This Row],[Subgroup]])</f>
        <v>24</v>
      </c>
    </row>
    <row r="561" spans="1:55" hidden="1">
      <c r="A561" t="s">
        <v>10</v>
      </c>
      <c r="B561">
        <v>4180927</v>
      </c>
      <c r="C561" t="s">
        <v>2327</v>
      </c>
      <c r="D561">
        <v>8740.60292613</v>
      </c>
      <c r="E561">
        <v>49</v>
      </c>
      <c r="F561">
        <v>0.98</v>
      </c>
      <c r="G561" t="s">
        <v>2332</v>
      </c>
      <c r="H561" t="s">
        <v>2333</v>
      </c>
      <c r="I561">
        <v>360</v>
      </c>
      <c r="J561" t="s">
        <v>90</v>
      </c>
      <c r="K561" t="s">
        <v>360</v>
      </c>
      <c r="L561" t="s">
        <v>361</v>
      </c>
      <c r="M561">
        <v>1691.800245</v>
      </c>
      <c r="N561">
        <v>6.76720098</v>
      </c>
      <c r="O561">
        <v>1691.800245</v>
      </c>
      <c r="P561">
        <v>420049.494</v>
      </c>
      <c r="Q561">
        <v>1</v>
      </c>
      <c r="R561">
        <v>8740.60292613</v>
      </c>
      <c r="S561" t="s">
        <v>118</v>
      </c>
      <c r="T561" t="s">
        <v>93</v>
      </c>
      <c r="U561">
        <v>0.5</v>
      </c>
      <c r="V561" t="s">
        <v>149</v>
      </c>
      <c r="W561" t="s">
        <v>142</v>
      </c>
      <c r="X561" t="s">
        <v>150</v>
      </c>
      <c r="Y561" s="23" t="s">
        <v>151</v>
      </c>
      <c r="AA561">
        <v>1292</v>
      </c>
      <c r="AB561" t="s">
        <v>2334</v>
      </c>
      <c r="AC561" t="s">
        <v>2331</v>
      </c>
      <c r="AD561" s="2">
        <v>4</v>
      </c>
      <c r="AE561" s="2" t="s">
        <v>70</v>
      </c>
      <c r="AF561" t="str">
        <f>_xlfn.CONCAT(FINI_grouping_for_wheel[[#This Row],[SEFI/Plant]],"/",IF(FINI_grouping_for_wheel[[#This Row],[RESET recipe combination]]&lt;&gt;"",FINI_grouping_for_wheel[[#This Row],[RESET recipe combination]],FINI_grouping_for_wheel[[#This Row],[Recipe Combination]]),"/",FINI_grouping_for_wheel[[#This Row],[Subgroup]])</f>
        <v>4180927/THDP/x/4</v>
      </c>
      <c r="AG5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0.26287711552612214</v>
      </c>
      <c r="AH561">
        <f>_xlfn.LET(_xlpm.pct, FINI_grouping_for_wheel[[#This Row],[% forecast within subgroup]], _xlpm.lote, FINI_grouping_for_wheel[[#This Row],[Lot size considered]], _xlpm.pct*_xlpm.lote)</f>
        <v>2297.704485180237</v>
      </c>
      <c r="AI561" cm="1">
        <f t="array" aca="1" ref="AI561" ca="1">IFERROR(INDIRECT("FINI_grouping_for_wheel[@["&amp;FINI_grouping_for_wheel[[#This Row],[Selected PV]]&amp;"]]"),"")</f>
        <v>293</v>
      </c>
      <c r="AJ56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5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6.5</v>
      </c>
      <c r="AL561" s="4"/>
      <c r="AM56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293</v>
      </c>
      <c r="AN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6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61" t="str">
        <f>_xlfn.CONCAT(FINI_grouping_for_wheel[[#This Row],[Recipe Combination]],FINI_grouping_for_wheel[[#This Row],[Subgroup]])</f>
        <v>A4</v>
      </c>
    </row>
    <row r="562" spans="1:55" hidden="1">
      <c r="A562" t="s">
        <v>10</v>
      </c>
      <c r="B562">
        <v>4180927</v>
      </c>
      <c r="C562" t="s">
        <v>2327</v>
      </c>
      <c r="D562">
        <v>8740.60292613</v>
      </c>
      <c r="E562">
        <v>49</v>
      </c>
      <c r="F562">
        <v>0.98</v>
      </c>
      <c r="G562" t="s">
        <v>2335</v>
      </c>
      <c r="H562" t="s">
        <v>2336</v>
      </c>
      <c r="I562">
        <v>450</v>
      </c>
      <c r="J562" t="s">
        <v>90</v>
      </c>
      <c r="K562" t="s">
        <v>1669</v>
      </c>
      <c r="L562" t="s">
        <v>1670</v>
      </c>
      <c r="M562">
        <v>6251.0184</v>
      </c>
      <c r="N562">
        <v>25.0040736</v>
      </c>
      <c r="O562">
        <v>6251.0184</v>
      </c>
      <c r="P562">
        <v>420049.494</v>
      </c>
      <c r="Q562">
        <v>1</v>
      </c>
      <c r="R562">
        <v>8740.60292613</v>
      </c>
      <c r="S562" t="s">
        <v>157</v>
      </c>
      <c r="T562" t="s">
        <v>93</v>
      </c>
      <c r="U562">
        <v>15</v>
      </c>
      <c r="V562" t="s">
        <v>231</v>
      </c>
      <c r="W562" t="s">
        <v>142</v>
      </c>
      <c r="X562" t="s">
        <v>96</v>
      </c>
      <c r="Y562" s="23" t="s">
        <v>97</v>
      </c>
      <c r="AA562">
        <v>350</v>
      </c>
      <c r="AB562" t="s">
        <v>2337</v>
      </c>
      <c r="AC562" t="s">
        <v>2331</v>
      </c>
      <c r="AD562" s="2">
        <v>5</v>
      </c>
      <c r="AE562" s="2" t="s">
        <v>70</v>
      </c>
      <c r="AF562" t="str">
        <f>_xlfn.CONCAT(FINI_grouping_for_wheel[[#This Row],[SEFI/Plant]],"/",IF(FINI_grouping_for_wheel[[#This Row],[RESET recipe combination]]&lt;&gt;"",FINI_grouping_for_wheel[[#This Row],[RESET recipe combination]],FINI_grouping_for_wheel[[#This Row],[Recipe Combination]]),"/",FINI_grouping_for_wheel[[#This Row],[Subgroup]])</f>
        <v>4180927/THDP/x/5</v>
      </c>
      <c r="AG5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0.24923294784045313</v>
      </c>
      <c r="AH562">
        <f>_xlfn.LET(_xlpm.pct, FINI_grouping_for_wheel[[#This Row],[% forecast within subgroup]], _xlpm.lote, FINI_grouping_for_wheel[[#This Row],[Lot size considered]], _xlpm.pct*_xlpm.lote)</f>
        <v>2178.44623318227</v>
      </c>
      <c r="AI562" cm="1">
        <f t="array" aca="1" ref="AI562" ca="1">IFERROR(INDIRECT("FINI_grouping_for_wheel[@["&amp;FINI_grouping_for_wheel[[#This Row],[Selected PV]]&amp;"]]"),"")</f>
        <v>75</v>
      </c>
      <c r="AJ56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5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4.9</v>
      </c>
      <c r="AL562" s="4"/>
      <c r="AM56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75</v>
      </c>
      <c r="AN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6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62" t="str">
        <f>_xlfn.CONCAT(FINI_grouping_for_wheel[[#This Row],[Recipe Combination]],FINI_grouping_for_wheel[[#This Row],[Subgroup]])</f>
        <v>M5</v>
      </c>
    </row>
    <row r="563" spans="1:55" hidden="1">
      <c r="A563" t="s">
        <v>10</v>
      </c>
      <c r="B563">
        <v>4180927</v>
      </c>
      <c r="C563" t="s">
        <v>2327</v>
      </c>
      <c r="D563">
        <v>8740.60292613</v>
      </c>
      <c r="E563">
        <v>49</v>
      </c>
      <c r="F563">
        <v>0.98</v>
      </c>
      <c r="G563" t="s">
        <v>2338</v>
      </c>
      <c r="H563" t="s">
        <v>2339</v>
      </c>
      <c r="I563">
        <v>300</v>
      </c>
      <c r="J563" t="s">
        <v>90</v>
      </c>
      <c r="K563" t="s">
        <v>254</v>
      </c>
      <c r="L563" t="s">
        <v>255</v>
      </c>
      <c r="M563">
        <v>18830.009025</v>
      </c>
      <c r="N563">
        <v>75.3200361</v>
      </c>
      <c r="O563">
        <v>18830.009025</v>
      </c>
      <c r="P563">
        <v>420049.494</v>
      </c>
      <c r="Q563">
        <v>1</v>
      </c>
      <c r="R563">
        <v>8740.60292613</v>
      </c>
      <c r="S563" t="s">
        <v>173</v>
      </c>
      <c r="T563" t="s">
        <v>93</v>
      </c>
      <c r="U563">
        <v>5</v>
      </c>
      <c r="V563" t="s">
        <v>119</v>
      </c>
      <c r="W563" t="s">
        <v>95</v>
      </c>
      <c r="X563" t="s">
        <v>96</v>
      </c>
      <c r="Y563" s="23" t="s">
        <v>120</v>
      </c>
      <c r="AA563">
        <v>116</v>
      </c>
      <c r="AB563" t="s">
        <v>2340</v>
      </c>
      <c r="AC563" t="s">
        <v>2331</v>
      </c>
      <c r="AD563" s="2">
        <v>5</v>
      </c>
      <c r="AE563" s="2" t="s">
        <v>70</v>
      </c>
      <c r="AF563" t="str">
        <f>_xlfn.CONCAT(FINI_grouping_for_wheel[[#This Row],[SEFI/Plant]],"/",IF(FINI_grouping_for_wheel[[#This Row],[RESET recipe combination]]&lt;&gt;"",FINI_grouping_for_wheel[[#This Row],[RESET recipe combination]],FINI_grouping_for_wheel[[#This Row],[Recipe Combination]]),"/",FINI_grouping_for_wheel[[#This Row],[Subgroup]])</f>
        <v>4180927/THDP/x/5</v>
      </c>
      <c r="AG5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0.7507670521595469</v>
      </c>
      <c r="AH563">
        <f>_xlfn.LET(_xlpm.pct, FINI_grouping_for_wheel[[#This Row],[% forecast within subgroup]], _xlpm.lote, FINI_grouping_for_wheel[[#This Row],[Lot size considered]], _xlpm.pct*_xlpm.lote)</f>
        <v>6562.156692947729</v>
      </c>
      <c r="AI563" cm="1">
        <f t="array" aca="1" ref="AI563" ca="1">IFERROR(INDIRECT("FINI_grouping_for_wheel[@["&amp;FINI_grouping_for_wheel[[#This Row],[Selected PV]]&amp;"]]"),"")</f>
        <v>75</v>
      </c>
      <c r="AJ56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5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22.2</v>
      </c>
      <c r="AL563" s="4"/>
      <c r="AM56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75</v>
      </c>
      <c r="AN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6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63" t="str">
        <f>_xlfn.CONCAT(FINI_grouping_for_wheel[[#This Row],[Recipe Combination]],FINI_grouping_for_wheel[[#This Row],[Subgroup]])</f>
        <v>P5</v>
      </c>
    </row>
    <row r="564" spans="1:55" hidden="1">
      <c r="A564" t="s">
        <v>10</v>
      </c>
      <c r="B564">
        <v>4180927</v>
      </c>
      <c r="C564" t="s">
        <v>2327</v>
      </c>
      <c r="D564">
        <v>8740.60292613</v>
      </c>
      <c r="E564">
        <v>49</v>
      </c>
      <c r="F564">
        <v>0.98</v>
      </c>
      <c r="G564" t="s">
        <v>2341</v>
      </c>
      <c r="H564" t="s">
        <v>2342</v>
      </c>
      <c r="I564">
        <v>462</v>
      </c>
      <c r="J564" t="s">
        <v>90</v>
      </c>
      <c r="K564" t="s">
        <v>312</v>
      </c>
      <c r="L564" t="s">
        <v>313</v>
      </c>
      <c r="M564">
        <v>4206.414465</v>
      </c>
      <c r="N564">
        <v>16.82565786</v>
      </c>
      <c r="O564">
        <v>4282.184385</v>
      </c>
      <c r="P564">
        <v>420049.494</v>
      </c>
      <c r="Q564">
        <v>0.98230577826928389</v>
      </c>
      <c r="R564">
        <v>8585.9447599</v>
      </c>
      <c r="S564" t="s">
        <v>356</v>
      </c>
      <c r="T564" t="s">
        <v>93</v>
      </c>
      <c r="U564">
        <v>1</v>
      </c>
      <c r="V564" t="s">
        <v>315</v>
      </c>
      <c r="W564" t="s">
        <v>142</v>
      </c>
      <c r="X564" t="s">
        <v>150</v>
      </c>
      <c r="Y564" s="23" t="s">
        <v>151</v>
      </c>
      <c r="AA564">
        <v>519</v>
      </c>
      <c r="AB564" t="s">
        <v>2343</v>
      </c>
      <c r="AC564" t="s">
        <v>2331</v>
      </c>
      <c r="AD564" s="2">
        <v>4</v>
      </c>
      <c r="AE564" s="2" t="s">
        <v>70</v>
      </c>
      <c r="AF564" t="str">
        <f>_xlfn.CONCAT(FINI_grouping_for_wheel[[#This Row],[SEFI/Plant]],"/",IF(FINI_grouping_for_wheel[[#This Row],[RESET recipe combination]]&lt;&gt;"",FINI_grouping_for_wheel[[#This Row],[RESET recipe combination]],FINI_grouping_for_wheel[[#This Row],[Recipe Combination]]),"/",FINI_grouping_for_wheel[[#This Row],[Subgroup]])</f>
        <v>4180927/THDP/x/4</v>
      </c>
      <c r="AG5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0.6536055923473142</v>
      </c>
      <c r="AH564">
        <f>_xlfn.LET(_xlpm.pct, FINI_grouping_for_wheel[[#This Row],[% forecast within subgroup]], _xlpm.lote, FINI_grouping_for_wheel[[#This Row],[Lot size considered]], _xlpm.pct*_xlpm.lote)</f>
        <v>5712.906953005866</v>
      </c>
      <c r="AI564" cm="1">
        <f t="array" aca="1" ref="AI564" ca="1">IFERROR(INDIRECT("FINI_grouping_for_wheel[@["&amp;FINI_grouping_for_wheel[[#This Row],[Selected PV]]&amp;"]]"),"")</f>
        <v>293</v>
      </c>
      <c r="AJ56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5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12.6</v>
      </c>
      <c r="AL564" s="4"/>
      <c r="AM56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293</v>
      </c>
      <c r="AN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6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64" t="str">
        <f>_xlfn.CONCAT(FINI_grouping_for_wheel[[#This Row],[Recipe Combination]],FINI_grouping_for_wheel[[#This Row],[Subgroup]])</f>
        <v>R4</v>
      </c>
    </row>
    <row r="565" spans="1:55" hidden="1">
      <c r="A565" t="s">
        <v>10</v>
      </c>
      <c r="B565">
        <v>4180927</v>
      </c>
      <c r="C565" t="s">
        <v>2327</v>
      </c>
      <c r="D565">
        <v>8740.60292613</v>
      </c>
      <c r="E565">
        <v>49</v>
      </c>
      <c r="F565">
        <v>0.98</v>
      </c>
      <c r="G565" t="s">
        <v>2344</v>
      </c>
      <c r="H565" t="s">
        <v>2345</v>
      </c>
      <c r="I565">
        <v>462</v>
      </c>
      <c r="J565" t="s">
        <v>90</v>
      </c>
      <c r="K565" t="s">
        <v>312</v>
      </c>
      <c r="L565" t="s">
        <v>313</v>
      </c>
      <c r="M565">
        <v>75.76992</v>
      </c>
      <c r="N565">
        <v>0.30307968</v>
      </c>
      <c r="O565">
        <v>4282.184385</v>
      </c>
      <c r="P565">
        <v>420049.494</v>
      </c>
      <c r="Q565">
        <v>1.7694221730716064E-2</v>
      </c>
      <c r="R565">
        <v>154.658166235</v>
      </c>
      <c r="S565" t="s">
        <v>356</v>
      </c>
      <c r="T565" t="s">
        <v>93</v>
      </c>
      <c r="U565">
        <v>1</v>
      </c>
      <c r="V565" t="s">
        <v>315</v>
      </c>
      <c r="W565" t="s">
        <v>142</v>
      </c>
      <c r="X565" t="s">
        <v>150</v>
      </c>
      <c r="Y565" s="23" t="s">
        <v>151</v>
      </c>
      <c r="AA565">
        <v>28839</v>
      </c>
      <c r="AB565" t="s">
        <v>2346</v>
      </c>
      <c r="AC565" t="s">
        <v>2331</v>
      </c>
      <c r="AD565" s="2">
        <v>4</v>
      </c>
      <c r="AE565" s="2" t="s">
        <v>70</v>
      </c>
      <c r="AF565" t="str">
        <f>_xlfn.CONCAT(FINI_grouping_for_wheel[[#This Row],[SEFI/Plant]],"/",IF(FINI_grouping_for_wheel[[#This Row],[RESET recipe combination]]&lt;&gt;"",FINI_grouping_for_wheel[[#This Row],[RESET recipe combination]],FINI_grouping_for_wheel[[#This Row],[Recipe Combination]]),"/",FINI_grouping_for_wheel[[#This Row],[Subgroup]])</f>
        <v>4180927/THDP/x/4</v>
      </c>
      <c r="AG5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0.011773362766740252</v>
      </c>
      <c r="AH565">
        <f>_xlfn.LET(_xlpm.pct, FINI_grouping_for_wheel[[#This Row],[% forecast within subgroup]], _xlpm.lote, FINI_grouping_for_wheel[[#This Row],[Lot size considered]], _xlpm.pct*_xlpm.lote)</f>
        <v>102.90628904935983</v>
      </c>
      <c r="AI565" cm="1">
        <f t="array" aca="1" ref="AI565" ca="1">IFERROR(INDIRECT("FINI_grouping_for_wheel[@["&amp;FINI_grouping_for_wheel[[#This Row],[Selected PV]]&amp;"]]"),"")</f>
        <v>293</v>
      </c>
      <c r="AJ56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5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565" s="4"/>
      <c r="AM56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293</v>
      </c>
      <c r="AN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6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65" t="str">
        <f>_xlfn.CONCAT(FINI_grouping_for_wheel[[#This Row],[Recipe Combination]],FINI_grouping_for_wheel[[#This Row],[Subgroup]])</f>
        <v>R4</v>
      </c>
    </row>
    <row r="566" spans="1:55" hidden="1">
      <c r="A566" t="s">
        <v>10</v>
      </c>
      <c r="B566">
        <v>4180927</v>
      </c>
      <c r="C566" t="s">
        <v>2327</v>
      </c>
      <c r="D566">
        <v>8740.60292613</v>
      </c>
      <c r="E566">
        <v>49</v>
      </c>
      <c r="F566">
        <v>0.98</v>
      </c>
      <c r="G566" t="s">
        <v>2347</v>
      </c>
      <c r="H566" t="s">
        <v>2348</v>
      </c>
      <c r="I566">
        <v>240</v>
      </c>
      <c r="J566" t="s">
        <v>90</v>
      </c>
      <c r="K566" t="s">
        <v>2349</v>
      </c>
      <c r="L566" t="s">
        <v>2350</v>
      </c>
      <c r="M566">
        <v>20623.6251</v>
      </c>
      <c r="N566">
        <v>82.4945004</v>
      </c>
      <c r="O566">
        <v>42074.799795</v>
      </c>
      <c r="P566">
        <v>420049.494</v>
      </c>
      <c r="Q566">
        <v>0.49016573341962349</v>
      </c>
      <c r="R566">
        <v>4284.34404382</v>
      </c>
      <c r="S566" t="s">
        <v>207</v>
      </c>
      <c r="T566" t="s">
        <v>93</v>
      </c>
      <c r="U566">
        <v>5</v>
      </c>
      <c r="V566" t="s">
        <v>196</v>
      </c>
      <c r="W566" t="s">
        <v>95</v>
      </c>
      <c r="X566" t="s">
        <v>106</v>
      </c>
      <c r="Y566" s="23" t="s">
        <v>107</v>
      </c>
      <c r="AA566">
        <v>106</v>
      </c>
      <c r="AB566" t="s">
        <v>2351</v>
      </c>
      <c r="AC566" t="s">
        <v>2331</v>
      </c>
      <c r="AD566" s="2">
        <v>3</v>
      </c>
      <c r="AE566" s="2" t="s">
        <v>70</v>
      </c>
      <c r="AF566" t="str">
        <f>_xlfn.CONCAT(FINI_grouping_for_wheel[[#This Row],[SEFI/Plant]],"/",IF(FINI_grouping_for_wheel[[#This Row],[RESET recipe combination]]&lt;&gt;"",FINI_grouping_for_wheel[[#This Row],[RESET recipe combination]],FINI_grouping_for_wheel[[#This Row],[Recipe Combination]]),"/",FINI_grouping_for_wheel[[#This Row],[Subgroup]])</f>
        <v>4180927/THDP/x/3</v>
      </c>
      <c r="AG5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0.49016573341962355</v>
      </c>
      <c r="AH566">
        <f>_xlfn.LET(_xlpm.pct, FINI_grouping_for_wheel[[#This Row],[% forecast within subgroup]], _xlpm.lote, FINI_grouping_for_wheel[[#This Row],[Lot size considered]], _xlpm.pct*_xlpm.lote)</f>
        <v>4284.344043816219</v>
      </c>
      <c r="AI566" cm="1">
        <f t="array" aca="1" ref="AI566" ca="1">IFERROR(INDIRECT("FINI_grouping_for_wheel[@["&amp;FINI_grouping_for_wheel[[#This Row],[Selected PV]]&amp;"]]"),"")</f>
        <v>45</v>
      </c>
      <c r="AJ56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5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18.1</v>
      </c>
      <c r="AL566" s="4"/>
      <c r="AM56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45</v>
      </c>
      <c r="AN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6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66" t="str">
        <f>_xlfn.CONCAT(FINI_grouping_for_wheel[[#This Row],[Recipe Combination]],FINI_grouping_for_wheel[[#This Row],[Subgroup]])</f>
        <v>T3</v>
      </c>
    </row>
    <row r="567" spans="1:55" hidden="1">
      <c r="A567" t="s">
        <v>10</v>
      </c>
      <c r="B567">
        <v>4180927</v>
      </c>
      <c r="C567" t="s">
        <v>2327</v>
      </c>
      <c r="D567">
        <v>8740.60292613</v>
      </c>
      <c r="E567">
        <v>49</v>
      </c>
      <c r="F567">
        <v>0.98</v>
      </c>
      <c r="G567" t="s">
        <v>2352</v>
      </c>
      <c r="H567" t="s">
        <v>2353</v>
      </c>
      <c r="I567">
        <v>375</v>
      </c>
      <c r="J567" t="s">
        <v>90</v>
      </c>
      <c r="K567" t="s">
        <v>2354</v>
      </c>
      <c r="L567" t="s">
        <v>2355</v>
      </c>
      <c r="M567">
        <v>21451.174695</v>
      </c>
      <c r="N567">
        <v>85.80469878</v>
      </c>
      <c r="O567">
        <v>42074.799795</v>
      </c>
      <c r="P567">
        <v>420049.494</v>
      </c>
      <c r="Q567">
        <v>0.50983426658037645</v>
      </c>
      <c r="R567">
        <v>4456.25888232</v>
      </c>
      <c r="S567" t="s">
        <v>207</v>
      </c>
      <c r="T567" t="s">
        <v>93</v>
      </c>
      <c r="U567">
        <v>2.5</v>
      </c>
      <c r="V567" t="s">
        <v>105</v>
      </c>
      <c r="W567" t="s">
        <v>95</v>
      </c>
      <c r="X567" t="s">
        <v>106</v>
      </c>
      <c r="Y567" s="23" t="s">
        <v>107</v>
      </c>
      <c r="AA567">
        <v>102</v>
      </c>
      <c r="AB567" t="s">
        <v>2356</v>
      </c>
      <c r="AC567" t="s">
        <v>2331</v>
      </c>
      <c r="AD567" s="2">
        <v>3</v>
      </c>
      <c r="AE567" s="2" t="s">
        <v>70</v>
      </c>
      <c r="AF567" t="str">
        <f>_xlfn.CONCAT(FINI_grouping_for_wheel[[#This Row],[SEFI/Plant]],"/",IF(FINI_grouping_for_wheel[[#This Row],[RESET recipe combination]]&lt;&gt;"",FINI_grouping_for_wheel[[#This Row],[RESET recipe combination]],FINI_grouping_for_wheel[[#This Row],[Recipe Combination]]),"/",FINI_grouping_for_wheel[[#This Row],[Subgroup]])</f>
        <v>4180927/THDP/x/3</v>
      </c>
      <c r="AG5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0.5098342665803766</v>
      </c>
      <c r="AH567">
        <f>_xlfn.LET(_xlpm.pct, FINI_grouping_for_wheel[[#This Row],[% forecast within subgroup]], _xlpm.lote, FINI_grouping_for_wheel[[#This Row],[Lot size considered]], _xlpm.pct*_xlpm.lote)</f>
        <v>4456.258882313781</v>
      </c>
      <c r="AI567" cm="1">
        <f t="array" aca="1" ref="AI567" ca="1">IFERROR(INDIRECT("FINI_grouping_for_wheel[@["&amp;FINI_grouping_for_wheel[[#This Row],[Selected PV]]&amp;"]]"),"")</f>
        <v>45</v>
      </c>
      <c r="AJ56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5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12.1</v>
      </c>
      <c r="AL567" s="4"/>
      <c r="AM56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45</v>
      </c>
      <c r="AN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6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67" t="str">
        <f>_xlfn.CONCAT(FINI_grouping_for_wheel[[#This Row],[Recipe Combination]],FINI_grouping_for_wheel[[#This Row],[Subgroup]])</f>
        <v>T3</v>
      </c>
    </row>
    <row r="568" spans="1:55" hidden="1">
      <c r="A568" t="s">
        <v>10</v>
      </c>
      <c r="B568">
        <v>4180927</v>
      </c>
      <c r="C568" t="s">
        <v>2327</v>
      </c>
      <c r="D568">
        <v>8740.60292613</v>
      </c>
      <c r="E568">
        <v>49</v>
      </c>
      <c r="F568">
        <v>0.98</v>
      </c>
      <c r="G568" t="s">
        <v>2357</v>
      </c>
      <c r="H568" t="s">
        <v>2358</v>
      </c>
      <c r="I568">
        <v>495</v>
      </c>
      <c r="J568" t="s">
        <v>90</v>
      </c>
      <c r="K568" t="s">
        <v>412</v>
      </c>
      <c r="L568" t="s">
        <v>413</v>
      </c>
      <c r="M568">
        <v>251461.422</v>
      </c>
      <c r="N568">
        <v>1005.845688</v>
      </c>
      <c r="O568">
        <v>251461.422</v>
      </c>
      <c r="P568">
        <v>420049.494</v>
      </c>
      <c r="Q568">
        <v>1</v>
      </c>
      <c r="R568">
        <v>8740.60292613</v>
      </c>
      <c r="S568" t="s">
        <v>230</v>
      </c>
      <c r="T568" t="s">
        <v>93</v>
      </c>
      <c r="U568">
        <v>15</v>
      </c>
      <c r="V568" t="s">
        <v>408</v>
      </c>
      <c r="W568" t="s">
        <v>95</v>
      </c>
      <c r="X568" t="s">
        <v>96</v>
      </c>
      <c r="Y568" s="23" t="s">
        <v>97</v>
      </c>
      <c r="AA568">
        <v>9</v>
      </c>
      <c r="AB568" t="s">
        <v>2359</v>
      </c>
      <c r="AC568" t="s">
        <v>2331</v>
      </c>
      <c r="AD568" s="2">
        <v>1</v>
      </c>
      <c r="AE568" s="2" t="s">
        <v>70</v>
      </c>
      <c r="AF568" t="str">
        <f>_xlfn.CONCAT(FINI_grouping_for_wheel[[#This Row],[SEFI/Plant]],"/",IF(FINI_grouping_for_wheel[[#This Row],[RESET recipe combination]]&lt;&gt;"",FINI_grouping_for_wheel[[#This Row],[RESET recipe combination]],FINI_grouping_for_wheel[[#This Row],[Recipe Combination]]),"/",FINI_grouping_for_wheel[[#This Row],[Subgroup]])</f>
        <v>4180927/THDP/x/1</v>
      </c>
      <c r="AG5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68">
        <f>_xlfn.LET(_xlpm.pct, FINI_grouping_for_wheel[[#This Row],[% forecast within subgroup]], _xlpm.lote, FINI_grouping_for_wheel[[#This Row],[Lot size considered]], _xlpm.pct*_xlpm.lote)</f>
        <v>8740.60292613</v>
      </c>
      <c r="AI568" cm="1">
        <f t="array" aca="1" ref="AI568" ca="1">IFERROR(INDIRECT("FINI_grouping_for_wheel[@["&amp;FINI_grouping_for_wheel[[#This Row],[Selected PV]]&amp;"]]"),"")</f>
        <v>8</v>
      </c>
      <c r="AJ56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5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17.9</v>
      </c>
      <c r="AL568" s="4"/>
      <c r="AM56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v>
      </c>
      <c r="AN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6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68" t="str">
        <f>_xlfn.CONCAT(FINI_grouping_for_wheel[[#This Row],[Recipe Combination]],FINI_grouping_for_wheel[[#This Row],[Subgroup]])</f>
        <v>W1</v>
      </c>
    </row>
    <row r="569" spans="1:55" hidden="1">
      <c r="A569" t="s">
        <v>10</v>
      </c>
      <c r="B569">
        <v>4180927</v>
      </c>
      <c r="C569" t="s">
        <v>2327</v>
      </c>
      <c r="D569">
        <v>8740.60292613</v>
      </c>
      <c r="E569">
        <v>49</v>
      </c>
      <c r="F569">
        <v>0.98</v>
      </c>
      <c r="G569" t="s">
        <v>2360</v>
      </c>
      <c r="H569" t="s">
        <v>2361</v>
      </c>
      <c r="I569">
        <v>385</v>
      </c>
      <c r="J569" t="s">
        <v>90</v>
      </c>
      <c r="K569" t="s">
        <v>2362</v>
      </c>
      <c r="L569" t="s">
        <v>2363</v>
      </c>
      <c r="M569">
        <v>94996.5372</v>
      </c>
      <c r="N569">
        <v>379.9861488</v>
      </c>
      <c r="O569">
        <v>94996.5372</v>
      </c>
      <c r="P569">
        <v>420049.494</v>
      </c>
      <c r="Q569">
        <v>1</v>
      </c>
      <c r="R569">
        <v>8740.60292613</v>
      </c>
      <c r="S569" t="s">
        <v>387</v>
      </c>
      <c r="T569" t="s">
        <v>93</v>
      </c>
      <c r="U569">
        <v>10</v>
      </c>
      <c r="V569" t="s">
        <v>94</v>
      </c>
      <c r="W569" t="s">
        <v>95</v>
      </c>
      <c r="X569" t="s">
        <v>96</v>
      </c>
      <c r="Y569" s="23" t="s">
        <v>97</v>
      </c>
      <c r="AA569">
        <v>23</v>
      </c>
      <c r="AB569" t="s">
        <v>2364</v>
      </c>
      <c r="AC569" t="s">
        <v>2331</v>
      </c>
      <c r="AD569" s="2">
        <v>2</v>
      </c>
      <c r="AE569" s="2" t="s">
        <v>70</v>
      </c>
      <c r="AF569" t="str">
        <f>_xlfn.CONCAT(FINI_grouping_for_wheel[[#This Row],[SEFI/Plant]],"/",IF(FINI_grouping_for_wheel[[#This Row],[RESET recipe combination]]&lt;&gt;"",FINI_grouping_for_wheel[[#This Row],[RESET recipe combination]],FINI_grouping_for_wheel[[#This Row],[Recipe Combination]]),"/",FINI_grouping_for_wheel[[#This Row],[Subgroup]])</f>
        <v>4180927/THDP/x/2</v>
      </c>
      <c r="AG5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69">
        <f>_xlfn.LET(_xlpm.pct, FINI_grouping_for_wheel[[#This Row],[% forecast within subgroup]], _xlpm.lote, FINI_grouping_for_wheel[[#This Row],[Lot size considered]], _xlpm.pct*_xlpm.lote)</f>
        <v>8740.60292613</v>
      </c>
      <c r="AI569" cm="1">
        <f t="array" aca="1" ref="AI569" ca="1">IFERROR(INDIRECT("FINI_grouping_for_wheel[@["&amp;FINI_grouping_for_wheel[[#This Row],[Selected PV]]&amp;"]]"),"")</f>
        <v>20</v>
      </c>
      <c r="AJ56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5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23.1</v>
      </c>
      <c r="AL569" s="4"/>
      <c r="AM56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v>
      </c>
      <c r="AN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6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69" t="str">
        <f>_xlfn.CONCAT(FINI_grouping_for_wheel[[#This Row],[Recipe Combination]],FINI_grouping_for_wheel[[#This Row],[Subgroup]])</f>
        <v>X2</v>
      </c>
    </row>
    <row r="570" spans="1:55" hidden="1">
      <c r="A570" t="s">
        <v>10</v>
      </c>
      <c r="B570">
        <v>4549916</v>
      </c>
      <c r="C570" t="s">
        <v>2365</v>
      </c>
      <c r="D570">
        <v>8544.3736613</v>
      </c>
      <c r="E570">
        <v>46</v>
      </c>
      <c r="F570">
        <v>0.92</v>
      </c>
      <c r="G570" t="s">
        <v>2366</v>
      </c>
      <c r="H570" t="s">
        <v>2367</v>
      </c>
      <c r="I570">
        <v>350</v>
      </c>
      <c r="J570" t="s">
        <v>90</v>
      </c>
      <c r="K570" t="s">
        <v>140</v>
      </c>
      <c r="L570" t="s">
        <v>141</v>
      </c>
      <c r="M570">
        <v>1592.352225</v>
      </c>
      <c r="N570">
        <v>6.3694089</v>
      </c>
      <c r="O570">
        <v>11326.419135</v>
      </c>
      <c r="P570">
        <v>387416.33658</v>
      </c>
      <c r="Q570">
        <v>0.14058743597784049</v>
      </c>
      <c r="R570">
        <v>1201.23158508</v>
      </c>
      <c r="S570" t="s">
        <v>471</v>
      </c>
      <c r="T570" t="s">
        <v>93</v>
      </c>
      <c r="U570">
        <v>5</v>
      </c>
      <c r="V570" t="s">
        <v>135</v>
      </c>
      <c r="W570" t="s">
        <v>142</v>
      </c>
      <c r="X570" t="s">
        <v>128</v>
      </c>
      <c r="Y570" s="23" t="s">
        <v>136</v>
      </c>
      <c r="AA570">
        <v>1341</v>
      </c>
      <c r="AB570" t="s">
        <v>2368</v>
      </c>
      <c r="AC570" t="s">
        <v>2369</v>
      </c>
      <c r="AD570" s="2">
        <v>7</v>
      </c>
      <c r="AE570" s="2" t="s">
        <v>70</v>
      </c>
      <c r="AF570" t="str">
        <f>_xlfn.CONCAT(FINI_grouping_for_wheel[[#This Row],[SEFI/Plant]],"/",IF(FINI_grouping_for_wheel[[#This Row],[RESET recipe combination]]&lt;&gt;"",FINI_grouping_for_wheel[[#This Row],[RESET recipe combination]],FINI_grouping_for_wheel[[#This Row],[Recipe Combination]]),"/",FINI_grouping_for_wheel[[#This Row],[Subgroup]])</f>
        <v>4549916/THDP/x/7</v>
      </c>
      <c r="AG5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0.1449041154923508</v>
      </c>
      <c r="AH570">
        <f>_xlfn.LET(_xlpm.pct, FINI_grouping_for_wheel[[#This Row],[% forecast within subgroup]], _xlpm.lote, FINI_grouping_for_wheel[[#This Row],[Lot size considered]], _xlpm.pct*_xlpm.lote)</f>
        <v>1238.1149078268154</v>
      </c>
      <c r="AI570" cm="1">
        <f t="array" aca="1" ref="AI570" ca="1">IFERROR(INDIRECT("FINI_grouping_for_wheel[@["&amp;FINI_grouping_for_wheel[[#This Row],[Selected PV]]&amp;"]]"),"")</f>
        <v>175</v>
      </c>
      <c r="AJ57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3.7</v>
      </c>
      <c r="AL570" s="4"/>
      <c r="AM57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175</v>
      </c>
      <c r="AN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7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70" t="str">
        <f>_xlfn.CONCAT(FINI_grouping_for_wheel[[#This Row],[Recipe Combination]],FINI_grouping_for_wheel[[#This Row],[Subgroup]])</f>
        <v>7</v>
      </c>
    </row>
    <row r="571" spans="1:55" hidden="1">
      <c r="A571" t="s">
        <v>10</v>
      </c>
      <c r="B571">
        <v>4549916</v>
      </c>
      <c r="C571" t="s">
        <v>2365</v>
      </c>
      <c r="D571">
        <v>8544.3736613</v>
      </c>
      <c r="E571">
        <v>46</v>
      </c>
      <c r="F571">
        <v>0.92</v>
      </c>
      <c r="G571" t="s">
        <v>2370</v>
      </c>
      <c r="H571" t="s">
        <v>2371</v>
      </c>
      <c r="I571">
        <v>400</v>
      </c>
      <c r="J571" t="s">
        <v>90</v>
      </c>
      <c r="K571" t="s">
        <v>873</v>
      </c>
      <c r="L571" t="s">
        <v>874</v>
      </c>
      <c r="M571">
        <v>2427.00525</v>
      </c>
      <c r="N571">
        <v>9.708021</v>
      </c>
      <c r="O571">
        <v>11326.419135</v>
      </c>
      <c r="P571">
        <v>387416.33658</v>
      </c>
      <c r="Q571">
        <v>0.21427824814466395</v>
      </c>
      <c r="R571">
        <v>1830.87341964</v>
      </c>
      <c r="S571" t="s">
        <v>471</v>
      </c>
      <c r="T571" t="s">
        <v>93</v>
      </c>
      <c r="U571">
        <v>10</v>
      </c>
      <c r="V571" t="s">
        <v>127</v>
      </c>
      <c r="W571" t="s">
        <v>142</v>
      </c>
      <c r="X571" t="s">
        <v>128</v>
      </c>
      <c r="Y571" s="23" t="s">
        <v>129</v>
      </c>
      <c r="AA571">
        <v>880</v>
      </c>
      <c r="AB571" t="s">
        <v>2372</v>
      </c>
      <c r="AC571" t="s">
        <v>2369</v>
      </c>
      <c r="AD571" s="2">
        <v>3</v>
      </c>
      <c r="AE571" s="2" t="s">
        <v>70</v>
      </c>
      <c r="AF571" t="str">
        <f>_xlfn.CONCAT(FINI_grouping_for_wheel[[#This Row],[SEFI/Plant]],"/",IF(FINI_grouping_for_wheel[[#This Row],[RESET recipe combination]]&lt;&gt;"",FINI_grouping_for_wheel[[#This Row],[RESET recipe combination]],FINI_grouping_for_wheel[[#This Row],[Recipe Combination]]),"/",FINI_grouping_for_wheel[[#This Row],[Subgroup]])</f>
        <v>4549916/THDP/x/3</v>
      </c>
      <c r="AG5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0.1694214876033058</v>
      </c>
      <c r="AH571">
        <f>_xlfn.LET(_xlpm.pct, FINI_grouping_for_wheel[[#This Row],[% forecast within subgroup]], _xlpm.lote, FINI_grouping_for_wheel[[#This Row],[Lot size considered]], _xlpm.pct*_xlpm.lote)</f>
        <v>1447.6004963359505</v>
      </c>
      <c r="AI571" cm="1">
        <f t="array" aca="1" ref="AI571" ca="1">IFERROR(INDIRECT("FINI_grouping_for_wheel[@["&amp;FINI_grouping_for_wheel[[#This Row],[Selected PV]]&amp;"]]"),"")</f>
        <v>134</v>
      </c>
      <c r="AJ57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3.8</v>
      </c>
      <c r="AL571" s="4"/>
      <c r="AM57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134</v>
      </c>
      <c r="AN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7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71" t="str">
        <f>_xlfn.CONCAT(FINI_grouping_for_wheel[[#This Row],[Recipe Combination]],FINI_grouping_for_wheel[[#This Row],[Subgroup]])</f>
        <v>3</v>
      </c>
    </row>
    <row r="572" spans="1:55" hidden="1">
      <c r="A572" t="s">
        <v>10</v>
      </c>
      <c r="B572">
        <v>4549916</v>
      </c>
      <c r="C572" t="s">
        <v>2365</v>
      </c>
      <c r="D572">
        <v>8544.3736613</v>
      </c>
      <c r="E572">
        <v>46</v>
      </c>
      <c r="F572">
        <v>0.92</v>
      </c>
      <c r="G572" t="s">
        <v>2373</v>
      </c>
      <c r="H572" t="s">
        <v>2374</v>
      </c>
      <c r="I572">
        <v>350</v>
      </c>
      <c r="J572" t="s">
        <v>90</v>
      </c>
      <c r="K572" t="s">
        <v>140</v>
      </c>
      <c r="L572" t="s">
        <v>141</v>
      </c>
      <c r="M572">
        <v>331.4934</v>
      </c>
      <c r="N572">
        <v>1.3259736</v>
      </c>
      <c r="O572">
        <v>11326.419135</v>
      </c>
      <c r="P572">
        <v>387416.33658</v>
      </c>
      <c r="Q572">
        <v>2.9267272917319953E-2</v>
      </c>
      <c r="R572">
        <v>250.070515853</v>
      </c>
      <c r="S572" t="s">
        <v>471</v>
      </c>
      <c r="T572" t="s">
        <v>93</v>
      </c>
      <c r="U572">
        <v>5</v>
      </c>
      <c r="V572" t="s">
        <v>135</v>
      </c>
      <c r="W572" t="s">
        <v>142</v>
      </c>
      <c r="X572" t="s">
        <v>128</v>
      </c>
      <c r="Y572" s="23" t="s">
        <v>136</v>
      </c>
      <c r="AA572">
        <v>6444</v>
      </c>
      <c r="AB572" t="s">
        <v>2375</v>
      </c>
      <c r="AC572" t="s">
        <v>2369</v>
      </c>
      <c r="AD572" s="2">
        <v>7</v>
      </c>
      <c r="AE572" s="2" t="s">
        <v>70</v>
      </c>
      <c r="AF572" t="str">
        <f>_xlfn.CONCAT(FINI_grouping_for_wheel[[#This Row],[SEFI/Plant]],"/",IF(FINI_grouping_for_wheel[[#This Row],[RESET recipe combination]]&lt;&gt;"",FINI_grouping_for_wheel[[#This Row],[RESET recipe combination]],FINI_grouping_for_wheel[[#This Row],[Recipe Combination]]),"/",FINI_grouping_for_wheel[[#This Row],[Subgroup]])</f>
        <v>4549916/THDP/x/7</v>
      </c>
      <c r="AG5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0.030165912518853696</v>
      </c>
      <c r="AH572">
        <f>_xlfn.LET(_xlpm.pct, FINI_grouping_for_wheel[[#This Row],[% forecast within subgroup]], _xlpm.lote, FINI_grouping_for_wheel[[#This Row],[Lot size considered]], _xlpm.pct*_xlpm.lote)</f>
        <v>257.74882839517346</v>
      </c>
      <c r="AI572" cm="1">
        <f t="array" aca="1" ref="AI572" ca="1">IFERROR(INDIRECT("FINI_grouping_for_wheel[@["&amp;FINI_grouping_for_wheel[[#This Row],[Selected PV]]&amp;"]]"),"")</f>
        <v>175</v>
      </c>
      <c r="AJ57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0.8</v>
      </c>
      <c r="AL572" s="4"/>
      <c r="AM57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175</v>
      </c>
      <c r="AN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7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72" t="str">
        <f>_xlfn.CONCAT(FINI_grouping_for_wheel[[#This Row],[Recipe Combination]],FINI_grouping_for_wheel[[#This Row],[Subgroup]])</f>
        <v>7</v>
      </c>
    </row>
    <row r="573" spans="1:55" hidden="1">
      <c r="A573" t="s">
        <v>10</v>
      </c>
      <c r="B573">
        <v>4549916</v>
      </c>
      <c r="C573" t="s">
        <v>2365</v>
      </c>
      <c r="D573">
        <v>8544.3736613</v>
      </c>
      <c r="E573">
        <v>46</v>
      </c>
      <c r="F573">
        <v>0.92</v>
      </c>
      <c r="G573" t="s">
        <v>2376</v>
      </c>
      <c r="H573" t="s">
        <v>2377</v>
      </c>
      <c r="I573">
        <v>400</v>
      </c>
      <c r="J573" t="s">
        <v>90</v>
      </c>
      <c r="K573" t="s">
        <v>873</v>
      </c>
      <c r="L573" t="s">
        <v>874</v>
      </c>
      <c r="M573">
        <v>5848.4907</v>
      </c>
      <c r="N573">
        <v>23.3939628</v>
      </c>
      <c r="O573">
        <v>11326.419135</v>
      </c>
      <c r="P573">
        <v>387416.33658</v>
      </c>
      <c r="Q573">
        <v>0.51635831504128771</v>
      </c>
      <c r="R573">
        <v>4411.95838683</v>
      </c>
      <c r="S573" t="s">
        <v>471</v>
      </c>
      <c r="T573" t="s">
        <v>93</v>
      </c>
      <c r="U573">
        <v>10</v>
      </c>
      <c r="V573" t="s">
        <v>127</v>
      </c>
      <c r="W573" t="s">
        <v>142</v>
      </c>
      <c r="X573" t="s">
        <v>128</v>
      </c>
      <c r="Y573" s="23" t="s">
        <v>129</v>
      </c>
      <c r="AA573">
        <v>365</v>
      </c>
      <c r="AB573" t="s">
        <v>2378</v>
      </c>
      <c r="AC573" t="s">
        <v>2369</v>
      </c>
      <c r="AD573" s="2">
        <v>3</v>
      </c>
      <c r="AE573" s="2" t="s">
        <v>70</v>
      </c>
      <c r="AF573" t="str">
        <f>_xlfn.CONCAT(FINI_grouping_for_wheel[[#This Row],[SEFI/Plant]],"/",IF(FINI_grouping_for_wheel[[#This Row],[RESET recipe combination]]&lt;&gt;"",FINI_grouping_for_wheel[[#This Row],[RESET recipe combination]],FINI_grouping_for_wheel[[#This Row],[Recipe Combination]]),"/",FINI_grouping_for_wheel[[#This Row],[Subgroup]])</f>
        <v>4549916/THDP/x/3</v>
      </c>
      <c r="AG5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0.40826446280991735</v>
      </c>
      <c r="AH573">
        <f>_xlfn.LET(_xlpm.pct, FINI_grouping_for_wheel[[#This Row],[% forecast within subgroup]], _xlpm.lote, FINI_grouping_for_wheel[[#This Row],[Lot size considered]], _xlpm.pct*_xlpm.lote)</f>
        <v>3488.364122877851</v>
      </c>
      <c r="AI573" cm="1">
        <f t="array" aca="1" ref="AI573" ca="1">IFERROR(INDIRECT("FINI_grouping_for_wheel[@["&amp;FINI_grouping_for_wheel[[#This Row],[Selected PV]]&amp;"]]"),"")</f>
        <v>134</v>
      </c>
      <c r="AJ57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9.2</v>
      </c>
      <c r="AL573" s="4"/>
      <c r="AM57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134</v>
      </c>
      <c r="AN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7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73" t="str">
        <f>_xlfn.CONCAT(FINI_grouping_for_wheel[[#This Row],[Recipe Combination]],FINI_grouping_for_wheel[[#This Row],[Subgroup]])</f>
        <v>3</v>
      </c>
    </row>
    <row r="574" spans="1:55" hidden="1">
      <c r="A574" t="s">
        <v>10</v>
      </c>
      <c r="B574">
        <v>4549916</v>
      </c>
      <c r="C574" t="s">
        <v>2365</v>
      </c>
      <c r="D574">
        <v>8544.3736613</v>
      </c>
      <c r="E574">
        <v>46</v>
      </c>
      <c r="F574">
        <v>0.92</v>
      </c>
      <c r="G574" t="s">
        <v>2379</v>
      </c>
      <c r="H574" t="s">
        <v>2380</v>
      </c>
      <c r="I574">
        <v>237.5</v>
      </c>
      <c r="J574" t="s">
        <v>90</v>
      </c>
      <c r="K574" t="s">
        <v>602</v>
      </c>
      <c r="L574" t="s">
        <v>603</v>
      </c>
      <c r="M574">
        <v>1127.07756</v>
      </c>
      <c r="N574">
        <v>4.50831024</v>
      </c>
      <c r="O574">
        <v>11326.419135</v>
      </c>
      <c r="P574">
        <v>387416.33658</v>
      </c>
      <c r="Q574">
        <v>9.9508727918887846E-2</v>
      </c>
      <c r="R574">
        <v>850.239753899</v>
      </c>
      <c r="S574" t="s">
        <v>471</v>
      </c>
      <c r="T574" t="s">
        <v>93</v>
      </c>
      <c r="U574">
        <v>2.5</v>
      </c>
      <c r="V574" t="s">
        <v>604</v>
      </c>
      <c r="W574" t="s">
        <v>142</v>
      </c>
      <c r="X574" t="s">
        <v>128</v>
      </c>
      <c r="Y574" s="23" t="s">
        <v>136</v>
      </c>
      <c r="AA574">
        <v>1895</v>
      </c>
      <c r="AB574" t="s">
        <v>2381</v>
      </c>
      <c r="AC574" t="s">
        <v>2369</v>
      </c>
      <c r="AD574" s="2">
        <v>7</v>
      </c>
      <c r="AE574" s="2" t="s">
        <v>70</v>
      </c>
      <c r="AF574" t="str">
        <f>_xlfn.CONCAT(FINI_grouping_for_wheel[[#This Row],[SEFI/Plant]],"/",IF(FINI_grouping_for_wheel[[#This Row],[RESET recipe combination]]&lt;&gt;"",FINI_grouping_for_wheel[[#This Row],[RESET recipe combination]],FINI_grouping_for_wheel[[#This Row],[Recipe Combination]]),"/",FINI_grouping_for_wheel[[#This Row],[Subgroup]])</f>
        <v>4549916/THDP/x/7</v>
      </c>
      <c r="AG5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0.10256410256410256</v>
      </c>
      <c r="AH574">
        <f>_xlfn.LET(_xlpm.pct, FINI_grouping_for_wheel[[#This Row],[% forecast within subgroup]], _xlpm.lote, FINI_grouping_for_wheel[[#This Row],[Lot size considered]], _xlpm.pct*_xlpm.lote)</f>
        <v>876.3460165435897</v>
      </c>
      <c r="AI574" cm="1">
        <f t="array" aca="1" ref="AI574" ca="1">IFERROR(INDIRECT("FINI_grouping_for_wheel[@["&amp;FINI_grouping_for_wheel[[#This Row],[Selected PV]]&amp;"]]"),"")</f>
        <v>175</v>
      </c>
      <c r="AJ57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3.9</v>
      </c>
      <c r="AL574" s="4"/>
      <c r="AM57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175</v>
      </c>
      <c r="AN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7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74" t="str">
        <f>_xlfn.CONCAT(FINI_grouping_for_wheel[[#This Row],[Recipe Combination]],FINI_grouping_for_wheel[[#This Row],[Subgroup]])</f>
        <v>7</v>
      </c>
    </row>
    <row r="575" spans="1:55" hidden="1">
      <c r="A575" t="s">
        <v>10</v>
      </c>
      <c r="B575">
        <v>4549916</v>
      </c>
      <c r="C575" t="s">
        <v>2365</v>
      </c>
      <c r="D575">
        <v>8544.3736613</v>
      </c>
      <c r="E575">
        <v>46</v>
      </c>
      <c r="F575">
        <v>0.92</v>
      </c>
      <c r="G575" t="s">
        <v>2382</v>
      </c>
      <c r="H575" t="s">
        <v>2383</v>
      </c>
      <c r="I575">
        <v>300</v>
      </c>
      <c r="J575" t="s">
        <v>90</v>
      </c>
      <c r="K575" t="s">
        <v>440</v>
      </c>
      <c r="L575" t="s">
        <v>441</v>
      </c>
      <c r="M575">
        <v>3895.04745</v>
      </c>
      <c r="N575">
        <v>15.5801898</v>
      </c>
      <c r="O575">
        <v>164908.49526</v>
      </c>
      <c r="P575">
        <v>387416.33658</v>
      </c>
      <c r="Q575">
        <v>2.3619446917267323E-2</v>
      </c>
      <c r="R575">
        <v>201.813380134</v>
      </c>
      <c r="S575" t="s">
        <v>266</v>
      </c>
      <c r="T575" t="s">
        <v>93</v>
      </c>
      <c r="U575">
        <v>5</v>
      </c>
      <c r="V575" t="s">
        <v>119</v>
      </c>
      <c r="W575" t="s">
        <v>95</v>
      </c>
      <c r="X575" t="s">
        <v>96</v>
      </c>
      <c r="Y575" s="23" t="s">
        <v>120</v>
      </c>
      <c r="AA575">
        <v>548</v>
      </c>
      <c r="AB575" t="s">
        <v>2384</v>
      </c>
      <c r="AC575" t="s">
        <v>2369</v>
      </c>
      <c r="AD575" s="2">
        <v>7</v>
      </c>
      <c r="AE575" s="2" t="s">
        <v>70</v>
      </c>
      <c r="AF575" t="str">
        <f>_xlfn.CONCAT(FINI_grouping_for_wheel[[#This Row],[SEFI/Plant]],"/",IF(FINI_grouping_for_wheel[[#This Row],[RESET recipe combination]]&lt;&gt;"",FINI_grouping_for_wheel[[#This Row],[RESET recipe combination]],FINI_grouping_for_wheel[[#This Row],[Recipe Combination]]),"/",FINI_grouping_for_wheel[[#This Row],[Subgroup]])</f>
        <v>4549916/THDP/x/7</v>
      </c>
      <c r="AG5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0.35444947209653094</v>
      </c>
      <c r="AH575">
        <f>_xlfn.LET(_xlpm.pct, FINI_grouping_for_wheel[[#This Row],[% forecast within subgroup]], _xlpm.lote, FINI_grouping_for_wheel[[#This Row],[Lot size considered]], _xlpm.pct*_xlpm.lote)</f>
        <v>3028.5487336432884</v>
      </c>
      <c r="AI575" cm="1">
        <f t="array" aca="1" ref="AI575" ca="1">IFERROR(INDIRECT("FINI_grouping_for_wheel[@["&amp;FINI_grouping_for_wheel[[#This Row],[Selected PV]]&amp;"]]"),"")</f>
        <v>175</v>
      </c>
      <c r="AJ57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10.7</v>
      </c>
      <c r="AL575" s="4"/>
      <c r="AM57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175</v>
      </c>
      <c r="AN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7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75" t="str">
        <f>_xlfn.CONCAT(FINI_grouping_for_wheel[[#This Row],[Recipe Combination]],FINI_grouping_for_wheel[[#This Row],[Subgroup]])</f>
        <v>17</v>
      </c>
    </row>
    <row r="576" spans="1:55" hidden="1">
      <c r="A576" t="s">
        <v>10</v>
      </c>
      <c r="B576">
        <v>4549916</v>
      </c>
      <c r="C576" t="s">
        <v>2365</v>
      </c>
      <c r="D576">
        <v>8544.3736613</v>
      </c>
      <c r="E576">
        <v>46</v>
      </c>
      <c r="F576">
        <v>0.92</v>
      </c>
      <c r="G576" t="s">
        <v>2385</v>
      </c>
      <c r="H576" t="s">
        <v>2386</v>
      </c>
      <c r="I576">
        <v>384</v>
      </c>
      <c r="J576" t="s">
        <v>90</v>
      </c>
      <c r="K576" t="s">
        <v>2387</v>
      </c>
      <c r="L576" t="s">
        <v>2388</v>
      </c>
      <c r="M576">
        <v>8538.32286</v>
      </c>
      <c r="N576">
        <v>34.15329144</v>
      </c>
      <c r="O576">
        <v>164908.49526</v>
      </c>
      <c r="P576">
        <v>387416.33658</v>
      </c>
      <c r="Q576">
        <v>5.1776124974872932E-2</v>
      </c>
      <c r="R576">
        <v>442.394558519</v>
      </c>
      <c r="S576" t="s">
        <v>266</v>
      </c>
      <c r="T576" t="s">
        <v>93</v>
      </c>
      <c r="U576">
        <v>6</v>
      </c>
      <c r="V576" t="s">
        <v>657</v>
      </c>
      <c r="W576" t="s">
        <v>95</v>
      </c>
      <c r="X576" t="s">
        <v>106</v>
      </c>
      <c r="Y576" s="23" t="s">
        <v>107</v>
      </c>
      <c r="AA576">
        <v>250</v>
      </c>
      <c r="AB576" t="s">
        <v>2389</v>
      </c>
      <c r="AC576" t="s">
        <v>2369</v>
      </c>
      <c r="AD576" s="2">
        <v>5</v>
      </c>
      <c r="AE576" s="2" t="s">
        <v>70</v>
      </c>
      <c r="AF576" t="str">
        <f>_xlfn.CONCAT(FINI_grouping_for_wheel[[#This Row],[SEFI/Plant]],"/",IF(FINI_grouping_for_wheel[[#This Row],[RESET recipe combination]]&lt;&gt;"",FINI_grouping_for_wheel[[#This Row],[RESET recipe combination]],FINI_grouping_for_wheel[[#This Row],[Recipe Combination]]),"/",FINI_grouping_for_wheel[[#This Row],[Subgroup]])</f>
        <v>4549916/THDP/x/5</v>
      </c>
      <c r="AG5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0.5351339318839504</v>
      </c>
      <c r="AH576">
        <f>_xlfn.LET(_xlpm.pct, FINI_grouping_for_wheel[[#This Row],[% forecast within subgroup]], _xlpm.lote, FINI_grouping_for_wheel[[#This Row],[Lot size considered]], _xlpm.pct*_xlpm.lote)</f>
        <v>4572.384272857134</v>
      </c>
      <c r="AI576" cm="1">
        <f t="array" aca="1" ref="AI576" ca="1">IFERROR(INDIRECT("FINI_grouping_for_wheel[@["&amp;FINI_grouping_for_wheel[[#This Row],[Selected PV]]&amp;"]]"),"")</f>
        <v>120</v>
      </c>
      <c r="AJ57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12.6</v>
      </c>
      <c r="AL576" s="4"/>
      <c r="AM57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120</v>
      </c>
      <c r="AN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7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76" t="str">
        <f>_xlfn.CONCAT(FINI_grouping_for_wheel[[#This Row],[Recipe Combination]],FINI_grouping_for_wheel[[#This Row],[Subgroup]])</f>
        <v>15</v>
      </c>
    </row>
    <row r="577" spans="1:55" hidden="1">
      <c r="A577" t="s">
        <v>10</v>
      </c>
      <c r="B577">
        <v>4549916</v>
      </c>
      <c r="C577" t="s">
        <v>2365</v>
      </c>
      <c r="D577">
        <v>8544.3736613</v>
      </c>
      <c r="E577">
        <v>46</v>
      </c>
      <c r="F577">
        <v>0.92</v>
      </c>
      <c r="G577" t="s">
        <v>2390</v>
      </c>
      <c r="H577" t="s">
        <v>2391</v>
      </c>
      <c r="I577">
        <v>396</v>
      </c>
      <c r="J577" t="s">
        <v>90</v>
      </c>
      <c r="K577" t="s">
        <v>2392</v>
      </c>
      <c r="L577" t="s">
        <v>2393</v>
      </c>
      <c r="M577">
        <v>7330.73976</v>
      </c>
      <c r="N577">
        <v>29.32295904</v>
      </c>
      <c r="O577">
        <v>164908.49526</v>
      </c>
      <c r="P577">
        <v>387416.33658</v>
      </c>
      <c r="Q577">
        <v>4.4453378514200385E-2</v>
      </c>
      <c r="R577">
        <v>379.826276532</v>
      </c>
      <c r="S577" t="s">
        <v>266</v>
      </c>
      <c r="T577" t="s">
        <v>93</v>
      </c>
      <c r="U577">
        <v>12</v>
      </c>
      <c r="V577" t="s">
        <v>238</v>
      </c>
      <c r="W577" t="s">
        <v>95</v>
      </c>
      <c r="X577" t="s">
        <v>96</v>
      </c>
      <c r="Y577" s="23" t="s">
        <v>97</v>
      </c>
      <c r="AA577">
        <v>291</v>
      </c>
      <c r="AB577" t="s">
        <v>2394</v>
      </c>
      <c r="AC577" t="s">
        <v>2369</v>
      </c>
      <c r="AD577" s="2">
        <v>4</v>
      </c>
      <c r="AE577" s="2" t="s">
        <v>70</v>
      </c>
      <c r="AF577" t="str">
        <f>_xlfn.CONCAT(FINI_grouping_for_wheel[[#This Row],[SEFI/Plant]],"/",IF(FINI_grouping_for_wheel[[#This Row],[RESET recipe combination]]&lt;&gt;"",FINI_grouping_for_wheel[[#This Row],[RESET recipe combination]],FINI_grouping_for_wheel[[#This Row],[Recipe Combination]]),"/",FINI_grouping_for_wheel[[#This Row],[Subgroup]])</f>
        <v>4549916/THDP/x/4</v>
      </c>
      <c r="AG5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0.5180722891566265</v>
      </c>
      <c r="AH577">
        <f>_xlfn.LET(_xlpm.pct, FINI_grouping_for_wheel[[#This Row],[% forecast within subgroup]], _xlpm.lote, FINI_grouping_for_wheel[[#This Row],[Lot size considered]], _xlpm.pct*_xlpm.lote)</f>
        <v>4426.603222119277</v>
      </c>
      <c r="AI577" cm="1">
        <f t="array" aca="1" ref="AI577" ca="1">IFERROR(INDIRECT("FINI_grouping_for_wheel[@["&amp;FINI_grouping_for_wheel[[#This Row],[Selected PV]]&amp;"]]"),"")</f>
        <v>136</v>
      </c>
      <c r="AJ57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11.8</v>
      </c>
      <c r="AL577" s="4"/>
      <c r="AM57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136</v>
      </c>
      <c r="AN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7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77" t="str">
        <f>_xlfn.CONCAT(FINI_grouping_for_wheel[[#This Row],[Recipe Combination]],FINI_grouping_for_wheel[[#This Row],[Subgroup]])</f>
        <v>14</v>
      </c>
    </row>
    <row r="578" spans="1:55" hidden="1">
      <c r="A578" t="s">
        <v>10</v>
      </c>
      <c r="B578">
        <v>4549916</v>
      </c>
      <c r="C578" t="s">
        <v>2365</v>
      </c>
      <c r="D578">
        <v>8544.3736613</v>
      </c>
      <c r="E578">
        <v>46</v>
      </c>
      <c r="F578">
        <v>0.92</v>
      </c>
      <c r="G578" t="s">
        <v>2395</v>
      </c>
      <c r="H578" t="s">
        <v>2396</v>
      </c>
      <c r="J578" t="s">
        <v>90</v>
      </c>
      <c r="K578" t="s">
        <v>292</v>
      </c>
      <c r="L578" t="s">
        <v>293</v>
      </c>
      <c r="M578">
        <v>2971.60155</v>
      </c>
      <c r="N578">
        <v>11.8864062</v>
      </c>
      <c r="O578">
        <v>164908.49526</v>
      </c>
      <c r="P578">
        <v>387416.33658</v>
      </c>
      <c r="Q578">
        <v>1.801969962381185E-2</v>
      </c>
      <c r="R578">
        <v>153.96704685</v>
      </c>
      <c r="S578" t="s">
        <v>266</v>
      </c>
      <c r="T578" t="s">
        <v>93</v>
      </c>
      <c r="U578">
        <v>12.5</v>
      </c>
      <c r="V578" t="s">
        <v>295</v>
      </c>
      <c r="W578" t="s">
        <v>142</v>
      </c>
      <c r="X578" t="s">
        <v>128</v>
      </c>
      <c r="Y578" s="23" t="s">
        <v>120</v>
      </c>
      <c r="AA578">
        <v>719</v>
      </c>
      <c r="AB578" t="s">
        <v>2397</v>
      </c>
      <c r="AC578" t="s">
        <v>2369</v>
      </c>
      <c r="AD578" s="2">
        <v>2</v>
      </c>
      <c r="AE578" s="2" t="s">
        <v>70</v>
      </c>
      <c r="AF578" t="str">
        <f>_xlfn.CONCAT(FINI_grouping_for_wheel[[#This Row],[SEFI/Plant]],"/",IF(FINI_grouping_for_wheel[[#This Row],[RESET recipe combination]]&lt;&gt;"",FINI_grouping_for_wheel[[#This Row],[RESET recipe combination]],FINI_grouping_for_wheel[[#This Row],[Recipe Combination]]),"/",FINI_grouping_for_wheel[[#This Row],[Subgroup]])</f>
        <v>4549916/THDP/x/2</v>
      </c>
      <c r="AG5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0.2936702936702936</v>
      </c>
      <c r="AH578">
        <f>_xlfn.LET(_xlpm.pct, FINI_grouping_for_wheel[[#This Row],[% forecast within subgroup]], _xlpm.lote, FINI_grouping_for_wheel[[#This Row],[Lot size considered]], _xlpm.pct*_xlpm.lote)</f>
        <v>2509.228722342693</v>
      </c>
      <c r="AI578" cm="1">
        <f t="array" aca="1" ref="AI578" ca="1">IFERROR(INDIRECT("FINI_grouping_for_wheel[@["&amp;FINI_grouping_for_wheel[[#This Row],[Selected PV]]&amp;"]]"),"")</f>
        <v>190</v>
      </c>
      <c r="AJ57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7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578" s="4"/>
      <c r="AM57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190</v>
      </c>
      <c r="AN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7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78" t="str">
        <f>_xlfn.CONCAT(FINI_grouping_for_wheel[[#This Row],[Recipe Combination]],FINI_grouping_for_wheel[[#This Row],[Subgroup]])</f>
        <v>12</v>
      </c>
    </row>
    <row r="579" spans="1:55" hidden="1">
      <c r="A579" t="s">
        <v>10</v>
      </c>
      <c r="B579">
        <v>4549916</v>
      </c>
      <c r="C579" t="s">
        <v>2365</v>
      </c>
      <c r="D579">
        <v>8544.3736613</v>
      </c>
      <c r="E579">
        <v>46</v>
      </c>
      <c r="F579">
        <v>0.92</v>
      </c>
      <c r="G579" t="s">
        <v>2398</v>
      </c>
      <c r="H579" t="s">
        <v>2399</v>
      </c>
      <c r="I579">
        <v>300</v>
      </c>
      <c r="J579" t="s">
        <v>90</v>
      </c>
      <c r="K579" t="s">
        <v>440</v>
      </c>
      <c r="L579" t="s">
        <v>441</v>
      </c>
      <c r="M579">
        <v>21718.737225</v>
      </c>
      <c r="N579">
        <v>86.8749489</v>
      </c>
      <c r="O579">
        <v>164908.49526</v>
      </c>
      <c r="P579">
        <v>387416.33658</v>
      </c>
      <c r="Q579">
        <v>0.13170174884415473</v>
      </c>
      <c r="R579">
        <v>1125.30895397</v>
      </c>
      <c r="S579" t="s">
        <v>266</v>
      </c>
      <c r="T579" t="s">
        <v>93</v>
      </c>
      <c r="U579">
        <v>5</v>
      </c>
      <c r="V579" t="s">
        <v>119</v>
      </c>
      <c r="W579" t="s">
        <v>95</v>
      </c>
      <c r="X579" t="s">
        <v>96</v>
      </c>
      <c r="Y579" s="23" t="s">
        <v>120</v>
      </c>
      <c r="AA579">
        <v>98</v>
      </c>
      <c r="AB579" t="s">
        <v>2400</v>
      </c>
      <c r="AC579" t="s">
        <v>2369</v>
      </c>
      <c r="AD579" s="2">
        <v>6</v>
      </c>
      <c r="AE579" s="2" t="s">
        <v>70</v>
      </c>
      <c r="AF579" t="str">
        <f>_xlfn.CONCAT(FINI_grouping_for_wheel[[#This Row],[SEFI/Plant]],"/",IF(FINI_grouping_for_wheel[[#This Row],[RESET recipe combination]]&lt;&gt;"",FINI_grouping_for_wheel[[#This Row],[RESET recipe combination]],FINI_grouping_for_wheel[[#This Row],[Recipe Combination]]),"/",FINI_grouping_for_wheel[[#This Row],[Subgroup]])</f>
        <v>4549916/THDP/x/6</v>
      </c>
      <c r="AG5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0.9052553663952627</v>
      </c>
      <c r="AH579">
        <f>_xlfn.LET(_xlpm.pct, FINI_grouping_for_wheel[[#This Row],[% forecast within subgroup]], _xlpm.lote, FINI_grouping_for_wheel[[#This Row],[Lot size considered]], _xlpm.pct*_xlpm.lote)</f>
        <v>7734.840109378164</v>
      </c>
      <c r="AI579" cm="1">
        <f t="array" aca="1" ref="AI579" ca="1">IFERROR(INDIRECT("FINI_grouping_for_wheel[@["&amp;FINI_grouping_for_wheel[[#This Row],[Selected PV]]&amp;"]]"),"")</f>
        <v>80</v>
      </c>
      <c r="AJ57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27.2</v>
      </c>
      <c r="AL579" s="4"/>
      <c r="AM57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80</v>
      </c>
      <c r="AN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7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79" t="str">
        <f>_xlfn.CONCAT(FINI_grouping_for_wheel[[#This Row],[Recipe Combination]],FINI_grouping_for_wheel[[#This Row],[Subgroup]])</f>
        <v>16</v>
      </c>
    </row>
    <row r="580" spans="1:55" hidden="1">
      <c r="A580" t="s">
        <v>10</v>
      </c>
      <c r="B580">
        <v>4549916</v>
      </c>
      <c r="C580" t="s">
        <v>2365</v>
      </c>
      <c r="D580">
        <v>8544.3736613</v>
      </c>
      <c r="E580">
        <v>46</v>
      </c>
      <c r="F580">
        <v>0.92</v>
      </c>
      <c r="G580" t="s">
        <v>2401</v>
      </c>
      <c r="H580" t="s">
        <v>2402</v>
      </c>
      <c r="I580">
        <v>330</v>
      </c>
      <c r="J580" t="s">
        <v>90</v>
      </c>
      <c r="K580" t="s">
        <v>312</v>
      </c>
      <c r="L580" t="s">
        <v>313</v>
      </c>
      <c r="M580">
        <v>1771.12188</v>
      </c>
      <c r="N580">
        <v>7.08448752</v>
      </c>
      <c r="O580">
        <v>164908.49526</v>
      </c>
      <c r="P580">
        <v>387416.33658</v>
      </c>
      <c r="Q580">
        <v>1.0740028142319731E-2</v>
      </c>
      <c r="R580">
        <v>91.7668135808</v>
      </c>
      <c r="S580" t="s">
        <v>266</v>
      </c>
      <c r="T580" t="s">
        <v>93</v>
      </c>
      <c r="U580">
        <v>1</v>
      </c>
      <c r="V580" t="s">
        <v>315</v>
      </c>
      <c r="W580" t="s">
        <v>142</v>
      </c>
      <c r="X580" t="s">
        <v>150</v>
      </c>
      <c r="Y580" s="23" t="s">
        <v>151</v>
      </c>
      <c r="AA580">
        <v>1206</v>
      </c>
      <c r="AB580" t="s">
        <v>2403</v>
      </c>
      <c r="AC580" t="s">
        <v>2369</v>
      </c>
      <c r="AD580" s="2">
        <v>12</v>
      </c>
      <c r="AE580" s="2" t="s">
        <v>70</v>
      </c>
      <c r="AF580" t="str">
        <f>_xlfn.CONCAT(FINI_grouping_for_wheel[[#This Row],[SEFI/Plant]],"/",IF(FINI_grouping_for_wheel[[#This Row],[RESET recipe combination]]&lt;&gt;"",FINI_grouping_for_wheel[[#This Row],[RESET recipe combination]],FINI_grouping_for_wheel[[#This Row],[Recipe Combination]]),"/",FINI_grouping_for_wheel[[#This Row],[Subgroup]])</f>
        <v>4549916/THDP/x/12</v>
      </c>
      <c r="AG5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0.13122807017543858</v>
      </c>
      <c r="AH580">
        <f>_xlfn.LET(_xlpm.pct, FINI_grouping_for_wheel[[#This Row],[% forecast within subgroup]], _xlpm.lote, FINI_grouping_for_wheel[[#This Row],[Lot size considered]], _xlpm.pct*_xlpm.lote)</f>
        <v>1121.2616664302454</v>
      </c>
      <c r="AI580" cm="1">
        <f t="array" aca="1" ref="AI580" ca="1">IFERROR(INDIRECT("FINI_grouping_for_wheel[@["&amp;FINI_grouping_for_wheel[[#This Row],[Selected PV]]&amp;"]]"),"")</f>
        <v>142</v>
      </c>
      <c r="AJ58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3.6</v>
      </c>
      <c r="AL580" s="4"/>
      <c r="AM58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142</v>
      </c>
      <c r="AN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8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80" t="str">
        <f>_xlfn.CONCAT(FINI_grouping_for_wheel[[#This Row],[Recipe Combination]],FINI_grouping_for_wheel[[#This Row],[Subgroup]])</f>
        <v>112</v>
      </c>
    </row>
    <row r="581" spans="1:55" hidden="1">
      <c r="A581" t="s">
        <v>10</v>
      </c>
      <c r="B581">
        <v>4549916</v>
      </c>
      <c r="C581" t="s">
        <v>2365</v>
      </c>
      <c r="D581">
        <v>8544.3736613</v>
      </c>
      <c r="E581">
        <v>46</v>
      </c>
      <c r="F581">
        <v>0.92</v>
      </c>
      <c r="G581" t="s">
        <v>2404</v>
      </c>
      <c r="H581" t="s">
        <v>2405</v>
      </c>
      <c r="I581">
        <v>300</v>
      </c>
      <c r="J581" t="s">
        <v>90</v>
      </c>
      <c r="K581" t="s">
        <v>440</v>
      </c>
      <c r="L581" t="s">
        <v>441</v>
      </c>
      <c r="M581">
        <v>4043.035575</v>
      </c>
      <c r="N581">
        <v>16.1721423</v>
      </c>
      <c r="O581">
        <v>164908.49526</v>
      </c>
      <c r="P581">
        <v>387416.33658</v>
      </c>
      <c r="Q581">
        <v>2.4516842316859546E-2</v>
      </c>
      <c r="R581">
        <v>209.48106175</v>
      </c>
      <c r="S581" t="s">
        <v>266</v>
      </c>
      <c r="T581" t="s">
        <v>93</v>
      </c>
      <c r="U581">
        <v>5</v>
      </c>
      <c r="V581" t="s">
        <v>119</v>
      </c>
      <c r="W581" t="s">
        <v>95</v>
      </c>
      <c r="X581" t="s">
        <v>96</v>
      </c>
      <c r="Y581" s="23" t="s">
        <v>120</v>
      </c>
      <c r="AA581">
        <v>528</v>
      </c>
      <c r="AB581" t="s">
        <v>2406</v>
      </c>
      <c r="AC581" t="s">
        <v>2369</v>
      </c>
      <c r="AD581" s="2">
        <v>7</v>
      </c>
      <c r="AE581" s="2" t="s">
        <v>70</v>
      </c>
      <c r="AF581" t="str">
        <f>_xlfn.CONCAT(FINI_grouping_for_wheel[[#This Row],[SEFI/Plant]],"/",IF(FINI_grouping_for_wheel[[#This Row],[RESET recipe combination]]&lt;&gt;"",FINI_grouping_for_wheel[[#This Row],[RESET recipe combination]],FINI_grouping_for_wheel[[#This Row],[Recipe Combination]]),"/",FINI_grouping_for_wheel[[#This Row],[Subgroup]])</f>
        <v>4549916/THDP/x/7</v>
      </c>
      <c r="AG5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0.36791639732816206</v>
      </c>
      <c r="AH581">
        <f>_xlfn.LET(_xlpm.pct, FINI_grouping_for_wheel[[#This Row],[% forecast within subgroup]], _xlpm.lote, FINI_grouping_for_wheel[[#This Row],[Lot size considered]], _xlpm.pct*_xlpm.lote)</f>
        <v>3143.615174891134</v>
      </c>
      <c r="AI581" cm="1">
        <f t="array" aca="1" ref="AI581" ca="1">IFERROR(INDIRECT("FINI_grouping_for_wheel[@["&amp;FINI_grouping_for_wheel[[#This Row],[Selected PV]]&amp;"]]"),"")</f>
        <v>175</v>
      </c>
      <c r="AJ58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11.1</v>
      </c>
      <c r="AL581" s="4"/>
      <c r="AM58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175</v>
      </c>
      <c r="AN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8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81" t="str">
        <f>_xlfn.CONCAT(FINI_grouping_for_wheel[[#This Row],[Recipe Combination]],FINI_grouping_for_wheel[[#This Row],[Subgroup]])</f>
        <v>17</v>
      </c>
    </row>
    <row r="582" spans="1:55" hidden="1">
      <c r="A582" t="s">
        <v>10</v>
      </c>
      <c r="B582">
        <v>4549916</v>
      </c>
      <c r="C582" t="s">
        <v>2365</v>
      </c>
      <c r="D582">
        <v>8544.3736613</v>
      </c>
      <c r="E582">
        <v>46</v>
      </c>
      <c r="F582">
        <v>0.92</v>
      </c>
      <c r="G582" t="s">
        <v>2407</v>
      </c>
      <c r="H582" t="s">
        <v>2408</v>
      </c>
      <c r="I582">
        <v>450</v>
      </c>
      <c r="J582" t="s">
        <v>90</v>
      </c>
      <c r="K582" t="s">
        <v>264</v>
      </c>
      <c r="L582" t="s">
        <v>265</v>
      </c>
      <c r="M582">
        <v>2734.82055</v>
      </c>
      <c r="N582">
        <v>10.9392822</v>
      </c>
      <c r="O582">
        <v>164908.49526</v>
      </c>
      <c r="P582">
        <v>387416.33658</v>
      </c>
      <c r="Q582">
        <v>1.6583866984464291E-2</v>
      </c>
      <c r="R582">
        <v>141.698756264</v>
      </c>
      <c r="S582" t="s">
        <v>266</v>
      </c>
      <c r="T582" t="s">
        <v>93</v>
      </c>
      <c r="U582">
        <v>2.5</v>
      </c>
      <c r="V582" t="s">
        <v>267</v>
      </c>
      <c r="W582" t="s">
        <v>142</v>
      </c>
      <c r="X582" t="s">
        <v>150</v>
      </c>
      <c r="Y582" s="23" t="s">
        <v>151</v>
      </c>
      <c r="AA582">
        <v>781</v>
      </c>
      <c r="AB582" t="s">
        <v>2409</v>
      </c>
      <c r="AC582" t="s">
        <v>2369</v>
      </c>
      <c r="AD582" s="2">
        <v>9</v>
      </c>
      <c r="AE582" s="2" t="s">
        <v>70</v>
      </c>
      <c r="AF582" t="str">
        <f>_xlfn.CONCAT(FINI_grouping_for_wheel[[#This Row],[SEFI/Plant]],"/",IF(FINI_grouping_for_wheel[[#This Row],[RESET recipe combination]]&lt;&gt;"",FINI_grouping_for_wheel[[#This Row],[RESET recipe combination]],FINI_grouping_for_wheel[[#This Row],[Recipe Combination]]),"/",FINI_grouping_for_wheel[[#This Row],[Subgroup]])</f>
        <v>4549916/THDP/x/9</v>
      </c>
      <c r="AG5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0.2560407891819996</v>
      </c>
      <c r="AH582">
        <f>_xlfn.LET(_xlpm.pct, FINI_grouping_for_wheel[[#This Row],[% forecast within subgroup]], _xlpm.lote, FINI_grouping_for_wheel[[#This Row],[Lot size considered]], _xlpm.pct*_xlpm.lote)</f>
        <v>2187.708175305143</v>
      </c>
      <c r="AI582" cm="1">
        <f t="array" aca="1" ref="AI582" ca="1">IFERROR(INDIRECT("FINI_grouping_for_wheel[@["&amp;FINI_grouping_for_wheel[[#This Row],[Selected PV]]&amp;"]]"),"")</f>
        <v>180</v>
      </c>
      <c r="AJ58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5.1</v>
      </c>
      <c r="AL582" s="4"/>
      <c r="AM58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180</v>
      </c>
      <c r="AN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8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82" t="str">
        <f>_xlfn.CONCAT(FINI_grouping_for_wheel[[#This Row],[Recipe Combination]],FINI_grouping_for_wheel[[#This Row],[Subgroup]])</f>
        <v>19</v>
      </c>
    </row>
    <row r="583" spans="1:55" hidden="1">
      <c r="A583" t="s">
        <v>10</v>
      </c>
      <c r="B583">
        <v>4549916</v>
      </c>
      <c r="C583" t="s">
        <v>2365</v>
      </c>
      <c r="D583">
        <v>8544.3736613</v>
      </c>
      <c r="E583">
        <v>46</v>
      </c>
      <c r="F583">
        <v>0.92</v>
      </c>
      <c r="G583" t="s">
        <v>2410</v>
      </c>
      <c r="H583" t="s">
        <v>2411</v>
      </c>
      <c r="I583">
        <v>405</v>
      </c>
      <c r="J583" t="s">
        <v>90</v>
      </c>
      <c r="K583" t="s">
        <v>406</v>
      </c>
      <c r="L583" t="s">
        <v>407</v>
      </c>
      <c r="M583">
        <v>1509.478875</v>
      </c>
      <c r="N583">
        <v>6.0379155</v>
      </c>
      <c r="O583">
        <v>164908.49526</v>
      </c>
      <c r="P583">
        <v>387416.33658</v>
      </c>
      <c r="Q583">
        <v>9.15343307584068E-3</v>
      </c>
      <c r="R583">
        <v>78.2103524836</v>
      </c>
      <c r="S583" t="s">
        <v>266</v>
      </c>
      <c r="T583" t="s">
        <v>93</v>
      </c>
      <c r="U583">
        <v>15</v>
      </c>
      <c r="V583" t="s">
        <v>408</v>
      </c>
      <c r="W583" t="s">
        <v>142</v>
      </c>
      <c r="X583" t="s">
        <v>96</v>
      </c>
      <c r="Y583" s="23" t="s">
        <v>97</v>
      </c>
      <c r="AA583">
        <v>1415</v>
      </c>
      <c r="AB583" t="s">
        <v>2412</v>
      </c>
      <c r="AC583" t="s">
        <v>2369</v>
      </c>
      <c r="AD583" s="2">
        <v>2</v>
      </c>
      <c r="AE583" s="2" t="s">
        <v>70</v>
      </c>
      <c r="AF583" t="str">
        <f>_xlfn.CONCAT(FINI_grouping_for_wheel[[#This Row],[SEFI/Plant]],"/",IF(FINI_grouping_for_wheel[[#This Row],[RESET recipe combination]]&lt;&gt;"",FINI_grouping_for_wheel[[#This Row],[RESET recipe combination]],FINI_grouping_for_wheel[[#This Row],[Recipe Combination]]),"/",FINI_grouping_for_wheel[[#This Row],[Subgroup]])</f>
        <v>4549916/THDP/x/2</v>
      </c>
      <c r="AG5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0.14917514917514918</v>
      </c>
      <c r="AH583">
        <f>_xlfn.LET(_xlpm.pct, FINI_grouping_for_wheel[[#This Row],[% forecast within subgroup]], _xlpm.lote, FINI_grouping_for_wheel[[#This Row],[Lot size considered]], _xlpm.pct*_xlpm.lote)</f>
        <v>1274.608215532643</v>
      </c>
      <c r="AI583" cm="1">
        <f t="array" aca="1" ref="AI583" ca="1">IFERROR(INDIRECT("FINI_grouping_for_wheel[@["&amp;FINI_grouping_for_wheel[[#This Row],[Selected PV]]&amp;"]]"),"")</f>
        <v>190</v>
      </c>
      <c r="AJ58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3.3</v>
      </c>
      <c r="AL583" s="4"/>
      <c r="AM58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190</v>
      </c>
      <c r="AN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8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83" t="str">
        <f>_xlfn.CONCAT(FINI_grouping_for_wheel[[#This Row],[Recipe Combination]],FINI_grouping_for_wheel[[#This Row],[Subgroup]])</f>
        <v>12</v>
      </c>
    </row>
    <row r="584" spans="1:55" hidden="1">
      <c r="A584" t="s">
        <v>10</v>
      </c>
      <c r="B584">
        <v>4549916</v>
      </c>
      <c r="C584" t="s">
        <v>2365</v>
      </c>
      <c r="D584">
        <v>8544.3736613</v>
      </c>
      <c r="E584">
        <v>46</v>
      </c>
      <c r="F584">
        <v>0.92</v>
      </c>
      <c r="G584" t="s">
        <v>2413</v>
      </c>
      <c r="H584" t="s">
        <v>2414</v>
      </c>
      <c r="J584" t="s">
        <v>90</v>
      </c>
      <c r="K584" t="s">
        <v>666</v>
      </c>
      <c r="L584" t="s">
        <v>667</v>
      </c>
      <c r="M584">
        <v>1160.2269</v>
      </c>
      <c r="N584">
        <v>4.6409076</v>
      </c>
      <c r="O584">
        <v>164908.49526</v>
      </c>
      <c r="P584">
        <v>387416.33658</v>
      </c>
      <c r="Q584">
        <v>7.0355799328030329E-3</v>
      </c>
      <c r="R584">
        <v>60.1146238698</v>
      </c>
      <c r="S584" t="s">
        <v>266</v>
      </c>
      <c r="T584" t="s">
        <v>93</v>
      </c>
      <c r="U584">
        <v>10</v>
      </c>
      <c r="V584" t="s">
        <v>94</v>
      </c>
      <c r="W584" t="s">
        <v>95</v>
      </c>
      <c r="X584" t="s">
        <v>96</v>
      </c>
      <c r="Y584" s="23" t="s">
        <v>97</v>
      </c>
      <c r="AA584">
        <v>1841</v>
      </c>
      <c r="AB584" t="s">
        <v>2415</v>
      </c>
      <c r="AC584" t="s">
        <v>2369</v>
      </c>
      <c r="AD584" s="2">
        <v>3</v>
      </c>
      <c r="AE584" s="2" t="s">
        <v>70</v>
      </c>
      <c r="AF584" t="str">
        <f>_xlfn.CONCAT(FINI_grouping_for_wheel[[#This Row],[SEFI/Plant]],"/",IF(FINI_grouping_for_wheel[[#This Row],[RESET recipe combination]]&lt;&gt;"",FINI_grouping_for_wheel[[#This Row],[RESET recipe combination]],FINI_grouping_for_wheel[[#This Row],[Recipe Combination]]),"/",FINI_grouping_for_wheel[[#This Row],[Subgroup]])</f>
        <v>4549916/THDP/x/3</v>
      </c>
      <c r="AG5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0.08099173553719008</v>
      </c>
      <c r="AH584">
        <f>_xlfn.LET(_xlpm.pct, FINI_grouping_for_wheel[[#This Row],[% forecast within subgroup]], _xlpm.lote, FINI_grouping_for_wheel[[#This Row],[Lot size considered]], _xlpm.pct*_xlpm.lote)</f>
        <v>692.0236519069422</v>
      </c>
      <c r="AI584" cm="1">
        <f t="array" aca="1" ref="AI584" ca="1">IFERROR(INDIRECT("FINI_grouping_for_wheel[@["&amp;FINI_grouping_for_wheel[[#This Row],[Selected PV]]&amp;"]]"),"")</f>
        <v>134</v>
      </c>
      <c r="AJ58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8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584" s="4"/>
      <c r="AM58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134</v>
      </c>
      <c r="AN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8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84" s="2" t="str">
        <f>_xlfn.CONCAT(FINI_grouping_for_wheel[[#This Row],[Recipe Combination]],FINI_grouping_for_wheel[[#This Row],[Subgroup]])</f>
        <v>13</v>
      </c>
    </row>
    <row r="585" spans="1:55" hidden="1">
      <c r="A585" t="s">
        <v>10</v>
      </c>
      <c r="B585">
        <v>4549916</v>
      </c>
      <c r="C585" t="s">
        <v>2365</v>
      </c>
      <c r="D585">
        <v>8544.3736613</v>
      </c>
      <c r="E585">
        <v>46</v>
      </c>
      <c r="F585">
        <v>0.92</v>
      </c>
      <c r="G585" t="s">
        <v>2416</v>
      </c>
      <c r="H585" t="s">
        <v>2417</v>
      </c>
      <c r="I585">
        <v>450</v>
      </c>
      <c r="J585" t="s">
        <v>90</v>
      </c>
      <c r="K585" t="s">
        <v>264</v>
      </c>
      <c r="L585" t="s">
        <v>265</v>
      </c>
      <c r="M585">
        <v>4593.5514</v>
      </c>
      <c r="N585">
        <v>18.3742056</v>
      </c>
      <c r="O585">
        <v>164908.49526</v>
      </c>
      <c r="P585">
        <v>387416.33658</v>
      </c>
      <c r="Q585">
        <v>2.7855153203342618E-2</v>
      </c>
      <c r="R585">
        <v>238.004837362</v>
      </c>
      <c r="S585" t="s">
        <v>266</v>
      </c>
      <c r="T585" t="s">
        <v>93</v>
      </c>
      <c r="U585">
        <v>2.5</v>
      </c>
      <c r="V585" t="s">
        <v>267</v>
      </c>
      <c r="W585" t="s">
        <v>142</v>
      </c>
      <c r="X585" t="s">
        <v>150</v>
      </c>
      <c r="Y585" s="23" t="s">
        <v>151</v>
      </c>
      <c r="AA585">
        <v>465</v>
      </c>
      <c r="AB585" t="s">
        <v>2418</v>
      </c>
      <c r="AC585" t="s">
        <v>2369</v>
      </c>
      <c r="AD585" s="2">
        <v>10</v>
      </c>
      <c r="AE585" s="2" t="s">
        <v>70</v>
      </c>
      <c r="AF585" t="str">
        <f>_xlfn.CONCAT(FINI_grouping_for_wheel[[#This Row],[SEFI/Plant]],"/",IF(FINI_grouping_for_wheel[[#This Row],[RESET recipe combination]]&lt;&gt;"",FINI_grouping_for_wheel[[#This Row],[RESET recipe combination]],FINI_grouping_for_wheel[[#This Row],[Recipe Combination]]),"/",FINI_grouping_for_wheel[[#This Row],[Subgroup]])</f>
        <v>4549916/THDP/x/10</v>
      </c>
      <c r="AG5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0.5841613971695272</v>
      </c>
      <c r="AH585">
        <f>_xlfn.LET(_xlpm.pct, FINI_grouping_for_wheel[[#This Row],[% forecast within subgroup]], _xlpm.lote, FINI_grouping_for_wheel[[#This Row],[Lot size considered]], _xlpm.pct*_xlpm.lote)</f>
        <v>4991.293255923517</v>
      </c>
      <c r="AI585" cm="1">
        <f t="array" aca="1" ref="AI585" ca="1">IFERROR(INDIRECT("FINI_grouping_for_wheel[@["&amp;FINI_grouping_for_wheel[[#This Row],[Selected PV]]&amp;"]]"),"")</f>
        <v>244</v>
      </c>
      <c r="AJ58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11.7</v>
      </c>
      <c r="AL585" s="4"/>
      <c r="AM58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244</v>
      </c>
      <c r="AN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8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85" t="str">
        <f>_xlfn.CONCAT(FINI_grouping_for_wheel[[#This Row],[Recipe Combination]],FINI_grouping_for_wheel[[#This Row],[Subgroup]])</f>
        <v>110</v>
      </c>
    </row>
    <row r="586" spans="1:55" hidden="1">
      <c r="A586" t="s">
        <v>10</v>
      </c>
      <c r="B586">
        <v>4549916</v>
      </c>
      <c r="C586" t="s">
        <v>2365</v>
      </c>
      <c r="D586">
        <v>8544.3736613</v>
      </c>
      <c r="E586">
        <v>46</v>
      </c>
      <c r="F586">
        <v>0.92</v>
      </c>
      <c r="G586" t="s">
        <v>2419</v>
      </c>
      <c r="H586" t="s">
        <v>2420</v>
      </c>
      <c r="I586">
        <v>320</v>
      </c>
      <c r="J586" t="s">
        <v>90</v>
      </c>
      <c r="K586" t="s">
        <v>2421</v>
      </c>
      <c r="L586" t="s">
        <v>2422</v>
      </c>
      <c r="M586">
        <v>2953.842975</v>
      </c>
      <c r="N586">
        <v>11.8153719</v>
      </c>
      <c r="O586">
        <v>164908.49526</v>
      </c>
      <c r="P586">
        <v>387416.33658</v>
      </c>
      <c r="Q586">
        <v>1.7912012175860782E-2</v>
      </c>
      <c r="R586">
        <v>153.046925056</v>
      </c>
      <c r="S586" t="s">
        <v>266</v>
      </c>
      <c r="T586" t="s">
        <v>93</v>
      </c>
      <c r="U586">
        <v>5</v>
      </c>
      <c r="V586" t="s">
        <v>657</v>
      </c>
      <c r="W586" t="s">
        <v>95</v>
      </c>
      <c r="X586" t="s">
        <v>106</v>
      </c>
      <c r="Y586" s="23" t="s">
        <v>107</v>
      </c>
      <c r="AA586">
        <v>723</v>
      </c>
      <c r="AB586" t="s">
        <v>2423</v>
      </c>
      <c r="AC586" t="s">
        <v>2369</v>
      </c>
      <c r="AD586" s="2">
        <v>5</v>
      </c>
      <c r="AE586" s="2" t="s">
        <v>70</v>
      </c>
      <c r="AF586" t="str">
        <f>_xlfn.CONCAT(FINI_grouping_for_wheel[[#This Row],[SEFI/Plant]],"/",IF(FINI_grouping_for_wheel[[#This Row],[RESET recipe combination]]&lt;&gt;"",FINI_grouping_for_wheel[[#This Row],[RESET recipe combination]],FINI_grouping_for_wheel[[#This Row],[Recipe Combination]]),"/",FINI_grouping_for_wheel[[#This Row],[Subgroup]])</f>
        <v>4549916/THDP/x/5</v>
      </c>
      <c r="AG5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0.18513022185946426</v>
      </c>
      <c r="AH586">
        <f>_xlfn.LET(_xlpm.pct, FINI_grouping_for_wheel[[#This Row],[% forecast within subgroup]], _xlpm.lote, FINI_grouping_for_wheel[[#This Row],[Lot size considered]], _xlpm.pct*_xlpm.lote)</f>
        <v>1581.8217915666319</v>
      </c>
      <c r="AI586" cm="1">
        <f t="array" aca="1" ref="AI586" ca="1">IFERROR(INDIRECT("FINI_grouping_for_wheel[@["&amp;FINI_grouping_for_wheel[[#This Row],[Selected PV]]&amp;"]]"),"")</f>
        <v>120</v>
      </c>
      <c r="AJ58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5.2</v>
      </c>
      <c r="AL586" s="4"/>
      <c r="AM58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120</v>
      </c>
      <c r="AN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8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86" t="str">
        <f>_xlfn.CONCAT(FINI_grouping_for_wheel[[#This Row],[Recipe Combination]],FINI_grouping_for_wheel[[#This Row],[Subgroup]])</f>
        <v>15</v>
      </c>
    </row>
    <row r="587" spans="1:55" hidden="1">
      <c r="A587" t="s">
        <v>10</v>
      </c>
      <c r="B587">
        <v>4549916</v>
      </c>
      <c r="C587" t="s">
        <v>2365</v>
      </c>
      <c r="D587">
        <v>8544.3736613</v>
      </c>
      <c r="E587">
        <v>46</v>
      </c>
      <c r="F587">
        <v>0.92</v>
      </c>
      <c r="G587" t="s">
        <v>2424</v>
      </c>
      <c r="H587" t="s">
        <v>2425</v>
      </c>
      <c r="I587">
        <v>375</v>
      </c>
      <c r="J587" t="s">
        <v>90</v>
      </c>
      <c r="K587" t="s">
        <v>2426</v>
      </c>
      <c r="L587" t="s">
        <v>2427</v>
      </c>
      <c r="M587">
        <v>6256.937925</v>
      </c>
      <c r="N587">
        <v>25.0277517</v>
      </c>
      <c r="O587">
        <v>164908.49526</v>
      </c>
      <c r="P587">
        <v>387416.33658</v>
      </c>
      <c r="Q587">
        <v>3.7941877494759212E-2</v>
      </c>
      <c r="R587">
        <v>324.189578726</v>
      </c>
      <c r="S587" t="s">
        <v>266</v>
      </c>
      <c r="T587" t="s">
        <v>93</v>
      </c>
      <c r="U587">
        <v>2.5</v>
      </c>
      <c r="V587" t="s">
        <v>105</v>
      </c>
      <c r="W587" t="s">
        <v>95</v>
      </c>
      <c r="X587" t="s">
        <v>106</v>
      </c>
      <c r="Y587" s="23" t="s">
        <v>107</v>
      </c>
      <c r="AA587">
        <v>341</v>
      </c>
      <c r="AB587" t="s">
        <v>2428</v>
      </c>
      <c r="AC587" t="s">
        <v>2369</v>
      </c>
      <c r="AD587" s="2">
        <v>11</v>
      </c>
      <c r="AE587" s="2" t="s">
        <v>70</v>
      </c>
      <c r="AF587" t="str">
        <f>_xlfn.CONCAT(FINI_grouping_for_wheel[[#This Row],[SEFI/Plant]],"/",IF(FINI_grouping_for_wheel[[#This Row],[RESET recipe combination]]&lt;&gt;"",FINI_grouping_for_wheel[[#This Row],[RESET recipe combination]],FINI_grouping_for_wheel[[#This Row],[Recipe Combination]]),"/",FINI_grouping_for_wheel[[#This Row],[Subgroup]])</f>
        <v>4549916/THDP/x/11</v>
      </c>
      <c r="AG5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0.3651374879093548</v>
      </c>
      <c r="AH587">
        <f>_xlfn.LET(_xlpm.pct, FINI_grouping_for_wheel[[#This Row],[% forecast within subgroup]], _xlpm.lote, FINI_grouping_for_wheel[[#This Row],[Lot size considered]], _xlpm.pct*_xlpm.lote)</f>
        <v>3119.8711344459384</v>
      </c>
      <c r="AI587" cm="1">
        <f t="array" aca="1" ref="AI587" ca="1">IFERROR(INDIRECT("FINI_grouping_for_wheel[@["&amp;FINI_grouping_for_wheel[[#This Row],[Selected PV]]&amp;"]]"),"")</f>
        <v>112</v>
      </c>
      <c r="AJ58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8.8</v>
      </c>
      <c r="AL587" s="4"/>
      <c r="AM58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112</v>
      </c>
      <c r="AN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8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87" t="str">
        <f>_xlfn.CONCAT(FINI_grouping_for_wheel[[#This Row],[Recipe Combination]],FINI_grouping_for_wheel[[#This Row],[Subgroup]])</f>
        <v>111</v>
      </c>
    </row>
    <row r="588" spans="1:55" hidden="1">
      <c r="A588" t="s">
        <v>10</v>
      </c>
      <c r="B588">
        <v>4549916</v>
      </c>
      <c r="C588" t="s">
        <v>2365</v>
      </c>
      <c r="D588">
        <v>8544.3736613</v>
      </c>
      <c r="E588">
        <v>46</v>
      </c>
      <c r="F588">
        <v>0.92</v>
      </c>
      <c r="G588" t="s">
        <v>2429</v>
      </c>
      <c r="H588" t="s">
        <v>2430</v>
      </c>
      <c r="I588">
        <v>396</v>
      </c>
      <c r="J588" t="s">
        <v>90</v>
      </c>
      <c r="K588" t="s">
        <v>312</v>
      </c>
      <c r="L588" t="s">
        <v>313</v>
      </c>
      <c r="M588">
        <v>6735.235545</v>
      </c>
      <c r="N588">
        <v>26.94094218</v>
      </c>
      <c r="O588">
        <v>164908.49526</v>
      </c>
      <c r="P588">
        <v>387416.33658</v>
      </c>
      <c r="Q588">
        <v>4.0842259426241277E-2</v>
      </c>
      <c r="R588">
        <v>348.971525709</v>
      </c>
      <c r="S588" t="s">
        <v>266</v>
      </c>
      <c r="T588" t="s">
        <v>93</v>
      </c>
      <c r="U588">
        <v>1</v>
      </c>
      <c r="V588" t="s">
        <v>315</v>
      </c>
      <c r="W588" t="s">
        <v>142</v>
      </c>
      <c r="X588" t="s">
        <v>150</v>
      </c>
      <c r="Y588" s="23" t="s">
        <v>151</v>
      </c>
      <c r="AA588">
        <v>317</v>
      </c>
      <c r="AB588" t="s">
        <v>2431</v>
      </c>
      <c r="AC588" t="s">
        <v>2369</v>
      </c>
      <c r="AD588" s="2">
        <v>12</v>
      </c>
      <c r="AE588" s="2" t="s">
        <v>70</v>
      </c>
      <c r="AF588" t="str">
        <f>_xlfn.CONCAT(FINI_grouping_for_wheel[[#This Row],[SEFI/Plant]],"/",IF(FINI_grouping_for_wheel[[#This Row],[RESET recipe combination]]&lt;&gt;"",FINI_grouping_for_wheel[[#This Row],[RESET recipe combination]],FINI_grouping_for_wheel[[#This Row],[Recipe Combination]]),"/",FINI_grouping_for_wheel[[#This Row],[Subgroup]])</f>
        <v>4549916/THDP/x/12</v>
      </c>
      <c r="AG5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0.4990350877192982</v>
      </c>
      <c r="AH588">
        <f>_xlfn.LET(_xlpm.pct, FINI_grouping_for_wheel[[#This Row],[% forecast within subgroup]], _xlpm.lote, FINI_grouping_for_wheel[[#This Row],[Lot size considered]], _xlpm.pct*_xlpm.lote)</f>
        <v>4263.942259573307</v>
      </c>
      <c r="AI588" cm="1">
        <f t="array" aca="1" ref="AI588" ca="1">IFERROR(INDIRECT("FINI_grouping_for_wheel[@["&amp;FINI_grouping_for_wheel[[#This Row],[Selected PV]]&amp;"]]"),"")</f>
        <v>142</v>
      </c>
      <c r="AJ58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11.4</v>
      </c>
      <c r="AL588" s="4"/>
      <c r="AM58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142</v>
      </c>
      <c r="AN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8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88" t="str">
        <f>_xlfn.CONCAT(FINI_grouping_for_wheel[[#This Row],[Recipe Combination]],FINI_grouping_for_wheel[[#This Row],[Subgroup]])</f>
        <v>112</v>
      </c>
    </row>
    <row r="589" spans="1:55" hidden="1">
      <c r="A589" t="s">
        <v>10</v>
      </c>
      <c r="B589">
        <v>4549916</v>
      </c>
      <c r="C589" t="s">
        <v>2365</v>
      </c>
      <c r="D589">
        <v>8544.3736613</v>
      </c>
      <c r="E589">
        <v>46</v>
      </c>
      <c r="F589">
        <v>0.92</v>
      </c>
      <c r="G589" t="s">
        <v>2432</v>
      </c>
      <c r="H589" t="s">
        <v>2433</v>
      </c>
      <c r="I589">
        <v>300</v>
      </c>
      <c r="J589" t="s">
        <v>90</v>
      </c>
      <c r="K589" t="s">
        <v>292</v>
      </c>
      <c r="L589" t="s">
        <v>293</v>
      </c>
      <c r="M589">
        <v>1977.12135</v>
      </c>
      <c r="N589">
        <v>7.9084854</v>
      </c>
      <c r="O589">
        <v>164908.49526</v>
      </c>
      <c r="P589">
        <v>387416.33658</v>
      </c>
      <c r="Q589">
        <v>1.1989202538552107E-2</v>
      </c>
      <c r="R589">
        <v>102.44022639</v>
      </c>
      <c r="S589" t="s">
        <v>266</v>
      </c>
      <c r="T589" t="s">
        <v>93</v>
      </c>
      <c r="U589">
        <v>12.5</v>
      </c>
      <c r="V589" t="s">
        <v>295</v>
      </c>
      <c r="W589" t="s">
        <v>142</v>
      </c>
      <c r="X589" t="s">
        <v>128</v>
      </c>
      <c r="Y589" s="23" t="s">
        <v>120</v>
      </c>
      <c r="AA589">
        <v>1080</v>
      </c>
      <c r="AB589" t="s">
        <v>2434</v>
      </c>
      <c r="AC589" t="s">
        <v>2369</v>
      </c>
      <c r="AD589" s="2">
        <v>2</v>
      </c>
      <c r="AE589" s="2" t="s">
        <v>70</v>
      </c>
      <c r="AF589" t="str">
        <f>_xlfn.CONCAT(FINI_grouping_for_wheel[[#This Row],[SEFI/Plant]],"/",IF(FINI_grouping_for_wheel[[#This Row],[RESET recipe combination]]&lt;&gt;"",FINI_grouping_for_wheel[[#This Row],[RESET recipe combination]],FINI_grouping_for_wheel[[#This Row],[Recipe Combination]]),"/",FINI_grouping_for_wheel[[#This Row],[Subgroup]])</f>
        <v>4549916/THDP/x/2</v>
      </c>
      <c r="AG5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0.19539019539019536</v>
      </c>
      <c r="AH589">
        <f>_xlfn.LET(_xlpm.pct, FINI_grouping_for_wheel[[#This Row],[% forecast within subgroup]], _xlpm.lote, FINI_grouping_for_wheel[[#This Row],[Lot size considered]], _xlpm.pct*_xlpm.lote)</f>
        <v>1669.486839168246</v>
      </c>
      <c r="AI589" cm="1">
        <f t="array" aca="1" ref="AI589" ca="1">IFERROR(INDIRECT("FINI_grouping_for_wheel[@["&amp;FINI_grouping_for_wheel[[#This Row],[Selected PV]]&amp;"]]"),"")</f>
        <v>190</v>
      </c>
      <c r="AJ58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5.9</v>
      </c>
      <c r="AL589" s="4"/>
      <c r="AM58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190</v>
      </c>
      <c r="AN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8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89" t="str">
        <f>_xlfn.CONCAT(FINI_grouping_for_wheel[[#This Row],[Recipe Combination]],FINI_grouping_for_wheel[[#This Row],[Subgroup]])</f>
        <v>12</v>
      </c>
    </row>
    <row r="590" spans="1:55">
      <c r="A590" t="s">
        <v>10</v>
      </c>
      <c r="B590">
        <v>4549916</v>
      </c>
      <c r="C590" t="s">
        <v>2365</v>
      </c>
      <c r="D590">
        <v>8544.3736613</v>
      </c>
      <c r="E590">
        <v>46</v>
      </c>
      <c r="F590">
        <v>0.92</v>
      </c>
      <c r="G590" t="s">
        <v>2435</v>
      </c>
      <c r="H590" t="s">
        <v>2436</v>
      </c>
      <c r="I590">
        <v>360</v>
      </c>
      <c r="J590" t="s">
        <v>90</v>
      </c>
      <c r="K590" t="s">
        <v>577</v>
      </c>
      <c r="L590" t="s">
        <v>578</v>
      </c>
      <c r="M590">
        <v>3196.5435</v>
      </c>
      <c r="N590">
        <v>12.786174</v>
      </c>
      <c r="O590">
        <v>164908.49526</v>
      </c>
      <c r="P590">
        <v>387416.33658</v>
      </c>
      <c r="Q590">
        <v>1.9383740631192029E-2</v>
      </c>
      <c r="R590">
        <v>165.621922907</v>
      </c>
      <c r="S590" t="s">
        <v>266</v>
      </c>
      <c r="T590" t="s">
        <v>93</v>
      </c>
      <c r="U590">
        <v>10</v>
      </c>
      <c r="V590" t="s">
        <v>482</v>
      </c>
      <c r="W590" t="s">
        <v>142</v>
      </c>
      <c r="X590" t="s">
        <v>96</v>
      </c>
      <c r="Y590" s="23" t="s">
        <v>483</v>
      </c>
      <c r="AA590">
        <v>668</v>
      </c>
      <c r="AB590" t="s">
        <v>2437</v>
      </c>
      <c r="AC590" t="s">
        <v>2369</v>
      </c>
      <c r="AD590" s="2">
        <v>4</v>
      </c>
      <c r="AE590" s="2" t="s">
        <v>70</v>
      </c>
      <c r="AF590" t="str">
        <f>_xlfn.CONCAT(FINI_grouping_for_wheel[[#This Row],[SEFI/Plant]],"/",IF(FINI_grouping_for_wheel[[#This Row],[RESET recipe combination]]&lt;&gt;"",FINI_grouping_for_wheel[[#This Row],[RESET recipe combination]],FINI_grouping_for_wheel[[#This Row],[Recipe Combination]]),"/",FINI_grouping_for_wheel[[#This Row],[Subgroup]])</f>
        <v>4549916/THDP/x/4</v>
      </c>
      <c r="AG5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0.22590361445783136</v>
      </c>
      <c r="AH590">
        <f>_xlfn.LET(_xlpm.pct, FINI_grouping_for_wheel[[#This Row],[% forecast within subgroup]], _xlpm.lote, FINI_grouping_for_wheel[[#This Row],[Lot size considered]], _xlpm.pct*_xlpm.lote)</f>
        <v>1930.2048933659642</v>
      </c>
      <c r="AI590" cm="1">
        <f t="array" aca="1" ref="AI590" ca="1">IFERROR(INDIRECT("FINI_grouping_for_wheel[@["&amp;FINI_grouping_for_wheel[[#This Row],[Selected PV]]&amp;"]]"),"")</f>
        <v>136</v>
      </c>
      <c r="AJ59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5.7</v>
      </c>
      <c r="AL590" s="4"/>
      <c r="AM59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136</v>
      </c>
      <c r="AN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9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90" t="str">
        <f>_xlfn.CONCAT(FINI_grouping_for_wheel[[#This Row],[Recipe Combination]],FINI_grouping_for_wheel[[#This Row],[Subgroup]])</f>
        <v>14</v>
      </c>
    </row>
    <row r="591" spans="1:55" hidden="1">
      <c r="A591" t="s">
        <v>10</v>
      </c>
      <c r="B591">
        <v>4549916</v>
      </c>
      <c r="C591" t="s">
        <v>2365</v>
      </c>
      <c r="D591">
        <v>8544.3736613</v>
      </c>
      <c r="E591">
        <v>46</v>
      </c>
      <c r="F591">
        <v>0.92</v>
      </c>
      <c r="G591" t="s">
        <v>2438</v>
      </c>
      <c r="H591" t="s">
        <v>2439</v>
      </c>
      <c r="I591">
        <v>450</v>
      </c>
      <c r="J591" t="s">
        <v>90</v>
      </c>
      <c r="K591" t="s">
        <v>264</v>
      </c>
      <c r="L591" t="s">
        <v>265</v>
      </c>
      <c r="M591">
        <v>3625.11711</v>
      </c>
      <c r="N591">
        <v>14.50046844</v>
      </c>
      <c r="O591">
        <v>164908.49526</v>
      </c>
      <c r="P591">
        <v>387416.33658</v>
      </c>
      <c r="Q591">
        <v>2.1982597708411107E-2</v>
      </c>
      <c r="R591">
        <v>187.827528867</v>
      </c>
      <c r="S591" t="s">
        <v>266</v>
      </c>
      <c r="T591" t="s">
        <v>93</v>
      </c>
      <c r="U591">
        <v>2.5</v>
      </c>
      <c r="V591" t="s">
        <v>267</v>
      </c>
      <c r="W591" t="s">
        <v>142</v>
      </c>
      <c r="X591" t="s">
        <v>150</v>
      </c>
      <c r="Y591" s="23" t="s">
        <v>151</v>
      </c>
      <c r="AA591">
        <v>589</v>
      </c>
      <c r="AB591" t="s">
        <v>2440</v>
      </c>
      <c r="AC591" t="s">
        <v>2369</v>
      </c>
      <c r="AD591" s="2">
        <v>9</v>
      </c>
      <c r="AE591" s="2" t="s">
        <v>70</v>
      </c>
      <c r="AF591" t="str">
        <f>_xlfn.CONCAT(FINI_grouping_for_wheel[[#This Row],[SEFI/Plant]],"/",IF(FINI_grouping_for_wheel[[#This Row],[RESET recipe combination]]&lt;&gt;"",FINI_grouping_for_wheel[[#This Row],[RESET recipe combination]],FINI_grouping_for_wheel[[#This Row],[Recipe Combination]]),"/",FINI_grouping_for_wheel[[#This Row],[Subgroup]])</f>
        <v>4549916/THDP/x/9</v>
      </c>
      <c r="AG5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0.33939259587674575</v>
      </c>
      <c r="AH591">
        <f>_xlfn.LET(_xlpm.pct, FINI_grouping_for_wheel[[#This Row],[% forecast within subgroup]], _xlpm.lote, FINI_grouping_for_wheel[[#This Row],[Lot size considered]], _xlpm.pct*_xlpm.lote)</f>
        <v>2899.8971570495014</v>
      </c>
      <c r="AI591" cm="1">
        <f t="array" aca="1" ref="AI591" ca="1">IFERROR(INDIRECT("FINI_grouping_for_wheel[@["&amp;FINI_grouping_for_wheel[[#This Row],[Selected PV]]&amp;"]]"),"")</f>
        <v>180</v>
      </c>
      <c r="AJ59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6.8</v>
      </c>
      <c r="AL591" s="4"/>
      <c r="AM59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180</v>
      </c>
      <c r="AN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9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91" t="str">
        <f>_xlfn.CONCAT(FINI_grouping_for_wheel[[#This Row],[Recipe Combination]],FINI_grouping_for_wheel[[#This Row],[Subgroup]])</f>
        <v>19</v>
      </c>
    </row>
    <row r="592" spans="1:55" hidden="1">
      <c r="A592" t="s">
        <v>10</v>
      </c>
      <c r="B592">
        <v>4549916</v>
      </c>
      <c r="C592" t="s">
        <v>2365</v>
      </c>
      <c r="D592">
        <v>8544.3736613</v>
      </c>
      <c r="E592">
        <v>46</v>
      </c>
      <c r="F592">
        <v>0.92</v>
      </c>
      <c r="G592" t="s">
        <v>2441</v>
      </c>
      <c r="H592" t="s">
        <v>2442</v>
      </c>
      <c r="J592" t="s">
        <v>90</v>
      </c>
      <c r="K592" t="s">
        <v>552</v>
      </c>
      <c r="L592" t="s">
        <v>553</v>
      </c>
      <c r="M592">
        <v>3368.209725</v>
      </c>
      <c r="N592">
        <v>13.4728389</v>
      </c>
      <c r="O592">
        <v>164908.49526</v>
      </c>
      <c r="P592">
        <v>387416.33658</v>
      </c>
      <c r="Q592">
        <v>2.0424719294719007E-2</v>
      </c>
      <c r="R592">
        <v>174.516433581</v>
      </c>
      <c r="S592" t="s">
        <v>266</v>
      </c>
      <c r="T592" t="s">
        <v>93</v>
      </c>
      <c r="U592">
        <v>12.5</v>
      </c>
      <c r="V592" t="s">
        <v>295</v>
      </c>
      <c r="W592" t="s">
        <v>142</v>
      </c>
      <c r="X592" t="s">
        <v>128</v>
      </c>
      <c r="Y592" s="23" t="s">
        <v>120</v>
      </c>
      <c r="AA592">
        <v>634</v>
      </c>
      <c r="AB592" t="s">
        <v>2443</v>
      </c>
      <c r="AC592" t="s">
        <v>2369</v>
      </c>
      <c r="AD592" s="2">
        <v>2</v>
      </c>
      <c r="AE592" s="2" t="s">
        <v>70</v>
      </c>
      <c r="AF592" t="str">
        <f>_xlfn.CONCAT(FINI_grouping_for_wheel[[#This Row],[SEFI/Plant]],"/",IF(FINI_grouping_for_wheel[[#This Row],[RESET recipe combination]]&lt;&gt;"",FINI_grouping_for_wheel[[#This Row],[RESET recipe combination]],FINI_grouping_for_wheel[[#This Row],[Recipe Combination]]),"/",FINI_grouping_for_wheel[[#This Row],[Subgroup]])</f>
        <v>4549916/THDP/x/2</v>
      </c>
      <c r="AG5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0.3328653328653329</v>
      </c>
      <c r="AH592">
        <f>_xlfn.LET(_xlpm.pct, FINI_grouping_for_wheel[[#This Row],[% forecast within subgroup]], _xlpm.lote, FINI_grouping_for_wheel[[#This Row],[Lot size considered]], _xlpm.pct*_xlpm.lote)</f>
        <v>2844.1257828944076</v>
      </c>
      <c r="AI592" cm="1">
        <f t="array" aca="1" ref="AI592" ca="1">IFERROR(INDIRECT("FINI_grouping_for_wheel[@["&amp;FINI_grouping_for_wheel[[#This Row],[Selected PV]]&amp;"]]"),"")</f>
        <v>190</v>
      </c>
      <c r="AJ59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92"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592" s="4"/>
      <c r="AM59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190</v>
      </c>
      <c r="AN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9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92" t="str">
        <f>_xlfn.CONCAT(FINI_grouping_for_wheel[[#This Row],[Recipe Combination]],FINI_grouping_for_wheel[[#This Row],[Subgroup]])</f>
        <v>12</v>
      </c>
    </row>
    <row r="593" spans="1:55" hidden="1">
      <c r="A593" t="s">
        <v>10</v>
      </c>
      <c r="B593">
        <v>4549916</v>
      </c>
      <c r="C593" t="s">
        <v>2365</v>
      </c>
      <c r="D593">
        <v>8544.3736613</v>
      </c>
      <c r="E593">
        <v>46</v>
      </c>
      <c r="F593">
        <v>0.92</v>
      </c>
      <c r="G593" t="s">
        <v>2444</v>
      </c>
      <c r="H593" t="s">
        <v>2445</v>
      </c>
      <c r="I593">
        <v>300</v>
      </c>
      <c r="J593" t="s">
        <v>90</v>
      </c>
      <c r="K593" t="s">
        <v>254</v>
      </c>
      <c r="L593" t="s">
        <v>255</v>
      </c>
      <c r="M593">
        <v>2273.0976</v>
      </c>
      <c r="N593">
        <v>9.0923904</v>
      </c>
      <c r="O593">
        <v>164908.49526</v>
      </c>
      <c r="P593">
        <v>387416.33658</v>
      </c>
      <c r="Q593">
        <v>1.3783993337736554E-2</v>
      </c>
      <c r="R593">
        <v>117.775589622</v>
      </c>
      <c r="S593" t="s">
        <v>266</v>
      </c>
      <c r="T593" t="s">
        <v>93</v>
      </c>
      <c r="U593">
        <v>5</v>
      </c>
      <c r="V593" t="s">
        <v>119</v>
      </c>
      <c r="W593" t="s">
        <v>95</v>
      </c>
      <c r="X593" t="s">
        <v>96</v>
      </c>
      <c r="Y593" s="23" t="s">
        <v>120</v>
      </c>
      <c r="AA593">
        <v>940</v>
      </c>
      <c r="AB593" t="s">
        <v>2446</v>
      </c>
      <c r="AC593" t="s">
        <v>2369</v>
      </c>
      <c r="AD593" s="2">
        <v>6</v>
      </c>
      <c r="AE593" s="2" t="s">
        <v>70</v>
      </c>
      <c r="AF593" t="str">
        <f>_xlfn.CONCAT(FINI_grouping_for_wheel[[#This Row],[SEFI/Plant]],"/",IF(FINI_grouping_for_wheel[[#This Row],[RESET recipe combination]]&lt;&gt;"",FINI_grouping_for_wheel[[#This Row],[RESET recipe combination]],FINI_grouping_for_wheel[[#This Row],[Recipe Combination]]),"/",FINI_grouping_for_wheel[[#This Row],[Subgroup]])</f>
        <v>4549916/THDP/x/6</v>
      </c>
      <c r="AG5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0.09474463360473723</v>
      </c>
      <c r="AH593">
        <f>_xlfn.LET(_xlpm.pct, FINI_grouping_for_wheel[[#This Row],[% forecast within subgroup]], _xlpm.lote, FINI_grouping_for_wheel[[#This Row],[Lot size considered]], _xlpm.pct*_xlpm.lote)</f>
        <v>809.5335519218356</v>
      </c>
      <c r="AI593" cm="1">
        <f t="array" aca="1" ref="AI593" ca="1">IFERROR(INDIRECT("FINI_grouping_for_wheel[@["&amp;FINI_grouping_for_wheel[[#This Row],[Selected PV]]&amp;"]]"),"")</f>
        <v>80</v>
      </c>
      <c r="AJ59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v>
      </c>
      <c r="AL593" s="4"/>
      <c r="AM59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80</v>
      </c>
      <c r="AN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9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93" t="str">
        <f>_xlfn.CONCAT(FINI_grouping_for_wheel[[#This Row],[Recipe Combination]],FINI_grouping_for_wheel[[#This Row],[Subgroup]])</f>
        <v>16</v>
      </c>
    </row>
    <row r="594" spans="1:55" hidden="1">
      <c r="A594" t="s">
        <v>10</v>
      </c>
      <c r="B594">
        <v>4549916</v>
      </c>
      <c r="C594" t="s">
        <v>2365</v>
      </c>
      <c r="D594">
        <v>8544.3736613</v>
      </c>
      <c r="E594">
        <v>46</v>
      </c>
      <c r="F594">
        <v>0.92</v>
      </c>
      <c r="G594" t="s">
        <v>2447</v>
      </c>
      <c r="H594" t="s">
        <v>2448</v>
      </c>
      <c r="I594">
        <v>300</v>
      </c>
      <c r="J594" t="s">
        <v>90</v>
      </c>
      <c r="K594" t="s">
        <v>254</v>
      </c>
      <c r="L594" t="s">
        <v>255</v>
      </c>
      <c r="M594">
        <v>13289.333625</v>
      </c>
      <c r="N594">
        <v>53.1573345</v>
      </c>
      <c r="O594">
        <v>164908.49526</v>
      </c>
      <c r="P594">
        <v>387416.33658</v>
      </c>
      <c r="Q594">
        <v>8.0586106883381678E-2</v>
      </c>
      <c r="R594">
        <v>688.557809121</v>
      </c>
      <c r="S594" t="s">
        <v>266</v>
      </c>
      <c r="T594" t="s">
        <v>93</v>
      </c>
      <c r="U594">
        <v>5</v>
      </c>
      <c r="V594" t="s">
        <v>119</v>
      </c>
      <c r="W594" t="s">
        <v>95</v>
      </c>
      <c r="X594" t="s">
        <v>96</v>
      </c>
      <c r="Y594" s="23" t="s">
        <v>120</v>
      </c>
      <c r="AA594">
        <v>161</v>
      </c>
      <c r="AB594" t="s">
        <v>2449</v>
      </c>
      <c r="AC594" t="s">
        <v>2369</v>
      </c>
      <c r="AD594" s="2">
        <v>8</v>
      </c>
      <c r="AE594" s="2" t="s">
        <v>70</v>
      </c>
      <c r="AF594" t="str">
        <f>_xlfn.CONCAT(FINI_grouping_for_wheel[[#This Row],[SEFI/Plant]],"/",IF(FINI_grouping_for_wheel[[#This Row],[RESET recipe combination]]&lt;&gt;"",FINI_grouping_for_wheel[[#This Row],[RESET recipe combination]],FINI_grouping_for_wheel[[#This Row],[Recipe Combination]]),"/",FINI_grouping_for_wheel[[#This Row],[Subgroup]])</f>
        <v>4549916/THDP/x/8</v>
      </c>
      <c r="AG5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94">
        <f>_xlfn.LET(_xlpm.pct, FINI_grouping_for_wheel[[#This Row],[% forecast within subgroup]], _xlpm.lote, FINI_grouping_for_wheel[[#This Row],[Lot size considered]], _xlpm.pct*_xlpm.lote)</f>
        <v>8544.3736613</v>
      </c>
      <c r="AI594" cm="1">
        <f t="array" aca="1" ref="AI594" ca="1">IFERROR(INDIRECT("FINI_grouping_for_wheel[@["&amp;FINI_grouping_for_wheel[[#This Row],[Selected PV]]&amp;"]]"),"")</f>
        <v>144</v>
      </c>
      <c r="AJ59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30.1</v>
      </c>
      <c r="AL594" s="4"/>
      <c r="AM59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144</v>
      </c>
      <c r="AN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9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94" t="str">
        <f>_xlfn.CONCAT(FINI_grouping_for_wheel[[#This Row],[Recipe Combination]],FINI_grouping_for_wheel[[#This Row],[Subgroup]])</f>
        <v>18</v>
      </c>
    </row>
    <row r="595" spans="1:55" hidden="1">
      <c r="A595" t="s">
        <v>10</v>
      </c>
      <c r="B595">
        <v>4549916</v>
      </c>
      <c r="C595" t="s">
        <v>2365</v>
      </c>
      <c r="D595">
        <v>8544.3736613</v>
      </c>
      <c r="E595">
        <v>46</v>
      </c>
      <c r="F595">
        <v>0.92</v>
      </c>
      <c r="G595" t="s">
        <v>2450</v>
      </c>
      <c r="H595" t="s">
        <v>2451</v>
      </c>
      <c r="I595">
        <v>462</v>
      </c>
      <c r="J595" t="s">
        <v>90</v>
      </c>
      <c r="K595" t="s">
        <v>312</v>
      </c>
      <c r="L595" t="s">
        <v>313</v>
      </c>
      <c r="M595">
        <v>4990.159575</v>
      </c>
      <c r="N595">
        <v>19.9606383</v>
      </c>
      <c r="O595">
        <v>164908.49526</v>
      </c>
      <c r="P595">
        <v>387416.33658</v>
      </c>
      <c r="Q595">
        <v>3.0260172874249779E-2</v>
      </c>
      <c r="R595">
        <v>258.554224093</v>
      </c>
      <c r="S595" t="s">
        <v>266</v>
      </c>
      <c r="T595" t="s">
        <v>93</v>
      </c>
      <c r="U595">
        <v>1</v>
      </c>
      <c r="V595" t="s">
        <v>315</v>
      </c>
      <c r="W595" t="s">
        <v>142</v>
      </c>
      <c r="X595" t="s">
        <v>150</v>
      </c>
      <c r="Y595" s="23" t="s">
        <v>151</v>
      </c>
      <c r="AA595">
        <v>428</v>
      </c>
      <c r="AB595" t="s">
        <v>2452</v>
      </c>
      <c r="AC595" t="s">
        <v>2369</v>
      </c>
      <c r="AD595" s="2">
        <v>12</v>
      </c>
      <c r="AE595" s="2" t="s">
        <v>70</v>
      </c>
      <c r="AF595" t="str">
        <f>_xlfn.CONCAT(FINI_grouping_for_wheel[[#This Row],[SEFI/Plant]],"/",IF(FINI_grouping_for_wheel[[#This Row],[RESET recipe combination]]&lt;&gt;"",FINI_grouping_for_wheel[[#This Row],[RESET recipe combination]],FINI_grouping_for_wheel[[#This Row],[Recipe Combination]]),"/",FINI_grouping_for_wheel[[#This Row],[Subgroup]])</f>
        <v>4549916/THDP/x/12</v>
      </c>
      <c r="AG5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0.36973684210526314</v>
      </c>
      <c r="AH595">
        <f>_xlfn.LET(_xlpm.pct, FINI_grouping_for_wheel[[#This Row],[% forecast within subgroup]], _xlpm.lote, FINI_grouping_for_wheel[[#This Row],[Lot size considered]], _xlpm.pct*_xlpm.lote)</f>
        <v>3159.1697352964475</v>
      </c>
      <c r="AI595" cm="1">
        <f t="array" aca="1" ref="AI595" ca="1">IFERROR(INDIRECT("FINI_grouping_for_wheel[@["&amp;FINI_grouping_for_wheel[[#This Row],[Selected PV]]&amp;"]]"),"")</f>
        <v>142</v>
      </c>
      <c r="AJ59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7.2</v>
      </c>
      <c r="AL595" s="4"/>
      <c r="AM59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142</v>
      </c>
      <c r="AN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9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95" t="str">
        <f>_xlfn.CONCAT(FINI_grouping_for_wheel[[#This Row],[Recipe Combination]],FINI_grouping_for_wheel[[#This Row],[Subgroup]])</f>
        <v>112</v>
      </c>
    </row>
    <row r="596" spans="1:55" hidden="1">
      <c r="A596" t="s">
        <v>10</v>
      </c>
      <c r="B596">
        <v>4549916</v>
      </c>
      <c r="C596" t="s">
        <v>2365</v>
      </c>
      <c r="D596">
        <v>8544.3736613</v>
      </c>
      <c r="E596">
        <v>46</v>
      </c>
      <c r="F596">
        <v>0.92</v>
      </c>
      <c r="G596" t="s">
        <v>2453</v>
      </c>
      <c r="H596" t="s">
        <v>2454</v>
      </c>
      <c r="I596">
        <v>300</v>
      </c>
      <c r="J596" t="s">
        <v>90</v>
      </c>
      <c r="K596" t="s">
        <v>2455</v>
      </c>
      <c r="L596" t="s">
        <v>2456</v>
      </c>
      <c r="M596">
        <v>10878.903045</v>
      </c>
      <c r="N596">
        <v>43.51561218</v>
      </c>
      <c r="O596">
        <v>164908.49526</v>
      </c>
      <c r="P596">
        <v>387416.33658</v>
      </c>
      <c r="Q596">
        <v>6.5969330614823532E-2</v>
      </c>
      <c r="R596">
        <v>563.666610959</v>
      </c>
      <c r="S596" t="s">
        <v>266</v>
      </c>
      <c r="T596" t="s">
        <v>93</v>
      </c>
      <c r="U596">
        <v>2.5</v>
      </c>
      <c r="V596" t="s">
        <v>166</v>
      </c>
      <c r="W596" t="s">
        <v>95</v>
      </c>
      <c r="X596" t="s">
        <v>96</v>
      </c>
      <c r="Y596" s="23" t="s">
        <v>167</v>
      </c>
      <c r="AA596">
        <v>196</v>
      </c>
      <c r="AB596" t="s">
        <v>2457</v>
      </c>
      <c r="AC596" t="s">
        <v>2369</v>
      </c>
      <c r="AD596" s="2">
        <v>11</v>
      </c>
      <c r="AE596" s="2" t="s">
        <v>70</v>
      </c>
      <c r="AF596" t="str">
        <f>_xlfn.CONCAT(FINI_grouping_for_wheel[[#This Row],[SEFI/Plant]],"/",IF(FINI_grouping_for_wheel[[#This Row],[RESET recipe combination]]&lt;&gt;"",FINI_grouping_for_wheel[[#This Row],[RESET recipe combination]],FINI_grouping_for_wheel[[#This Row],[Recipe Combination]]),"/",FINI_grouping_for_wheel[[#This Row],[Subgroup]])</f>
        <v>4549916/THDP/x/11</v>
      </c>
      <c r="AG5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0.6348625120906454</v>
      </c>
      <c r="AH596">
        <f>_xlfn.LET(_xlpm.pct, FINI_grouping_for_wheel[[#This Row],[% forecast within subgroup]], _xlpm.lote, FINI_grouping_for_wheel[[#This Row],[Lot size considered]], _xlpm.pct*_xlpm.lote)</f>
        <v>5424.502526854063</v>
      </c>
      <c r="AI596" cm="1">
        <f t="array" aca="1" ref="AI596" ca="1">IFERROR(INDIRECT("FINI_grouping_for_wheel[@["&amp;FINI_grouping_for_wheel[[#This Row],[Selected PV]]&amp;"]]"),"")</f>
        <v>112</v>
      </c>
      <c r="AJ59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19.1</v>
      </c>
      <c r="AL596" s="4"/>
      <c r="AM59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112</v>
      </c>
      <c r="AN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9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96" t="str">
        <f>_xlfn.CONCAT(FINI_grouping_for_wheel[[#This Row],[Recipe Combination]],FINI_grouping_for_wheel[[#This Row],[Subgroup]])</f>
        <v>111</v>
      </c>
    </row>
    <row r="597" spans="1:55" hidden="1">
      <c r="A597" t="s">
        <v>10</v>
      </c>
      <c r="B597">
        <v>4549916</v>
      </c>
      <c r="C597" t="s">
        <v>2365</v>
      </c>
      <c r="D597">
        <v>8544.3736613</v>
      </c>
      <c r="E597">
        <v>46</v>
      </c>
      <c r="F597">
        <v>0.92</v>
      </c>
      <c r="G597" t="s">
        <v>2458</v>
      </c>
      <c r="H597" t="s">
        <v>2459</v>
      </c>
      <c r="I597">
        <v>375</v>
      </c>
      <c r="J597" t="s">
        <v>90</v>
      </c>
      <c r="K597" t="s">
        <v>264</v>
      </c>
      <c r="L597" t="s">
        <v>265</v>
      </c>
      <c r="M597">
        <v>4321.25325</v>
      </c>
      <c r="N597">
        <v>17.285013</v>
      </c>
      <c r="O597">
        <v>164908.49526</v>
      </c>
      <c r="P597">
        <v>387416.33658</v>
      </c>
      <c r="Q597">
        <v>2.6203945668092928E-2</v>
      </c>
      <c r="R597">
        <v>223.896303188</v>
      </c>
      <c r="S597" t="s">
        <v>266</v>
      </c>
      <c r="T597" t="s">
        <v>93</v>
      </c>
      <c r="U597">
        <v>2.5</v>
      </c>
      <c r="V597" t="s">
        <v>267</v>
      </c>
      <c r="W597" t="s">
        <v>142</v>
      </c>
      <c r="X597" t="s">
        <v>150</v>
      </c>
      <c r="Y597" s="23" t="s">
        <v>151</v>
      </c>
      <c r="AA597">
        <v>494</v>
      </c>
      <c r="AB597" t="s">
        <v>2460</v>
      </c>
      <c r="AC597" t="s">
        <v>2369</v>
      </c>
      <c r="AD597" s="2">
        <v>9</v>
      </c>
      <c r="AE597" s="2" t="s">
        <v>70</v>
      </c>
      <c r="AF597" t="str">
        <f>_xlfn.CONCAT(FINI_grouping_for_wheel[[#This Row],[SEFI/Plant]],"/",IF(FINI_grouping_for_wheel[[#This Row],[RESET recipe combination]]&lt;&gt;"",FINI_grouping_for_wheel[[#This Row],[RESET recipe combination]],FINI_grouping_for_wheel[[#This Row],[Recipe Combination]]),"/",FINI_grouping_for_wheel[[#This Row],[Subgroup]])</f>
        <v>4549916/THDP/x/9</v>
      </c>
      <c r="AG5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0.40456661494125473</v>
      </c>
      <c r="AH597">
        <f>_xlfn.LET(_xlpm.pct, FINI_grouping_for_wheel[[#This Row],[% forecast within subgroup]], _xlpm.lote, FINI_grouping_for_wheel[[#This Row],[Lot size considered]], _xlpm.pct*_xlpm.lote)</f>
        <v>3456.768328945356</v>
      </c>
      <c r="AI597" cm="1">
        <f t="array" aca="1" ref="AI597" ca="1">IFERROR(INDIRECT("FINI_grouping_for_wheel[@["&amp;FINI_grouping_for_wheel[[#This Row],[Selected PV]]&amp;"]]"),"")</f>
        <v>180</v>
      </c>
      <c r="AJ59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9.7</v>
      </c>
      <c r="AL597" s="4"/>
      <c r="AM59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180</v>
      </c>
      <c r="AN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9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97" t="str">
        <f>_xlfn.CONCAT(FINI_grouping_for_wheel[[#This Row],[Recipe Combination]],FINI_grouping_for_wheel[[#This Row],[Subgroup]])</f>
        <v>19</v>
      </c>
    </row>
    <row r="598" spans="1:55" hidden="1">
      <c r="A598" t="s">
        <v>10</v>
      </c>
      <c r="B598">
        <v>4549916</v>
      </c>
      <c r="C598" t="s">
        <v>2365</v>
      </c>
      <c r="D598">
        <v>8544.3736613</v>
      </c>
      <c r="E598">
        <v>46</v>
      </c>
      <c r="F598">
        <v>0.92</v>
      </c>
      <c r="G598" t="s">
        <v>2461</v>
      </c>
      <c r="H598" t="s">
        <v>2462</v>
      </c>
      <c r="I598">
        <v>483</v>
      </c>
      <c r="J598" t="s">
        <v>90</v>
      </c>
      <c r="K598" t="s">
        <v>312</v>
      </c>
      <c r="L598" t="s">
        <v>313</v>
      </c>
      <c r="M598">
        <v>1459.754865</v>
      </c>
      <c r="N598">
        <v>5.83901946</v>
      </c>
      <c r="O598">
        <v>164908.49526</v>
      </c>
      <c r="P598">
        <v>387416.33658</v>
      </c>
      <c r="Q598">
        <v>8.8519082215776923E-3</v>
      </c>
      <c r="R598">
        <v>75.6340114607</v>
      </c>
      <c r="S598" t="s">
        <v>266</v>
      </c>
      <c r="T598" t="s">
        <v>93</v>
      </c>
      <c r="U598">
        <v>1</v>
      </c>
      <c r="V598" t="s">
        <v>315</v>
      </c>
      <c r="W598" t="s">
        <v>142</v>
      </c>
      <c r="X598" t="s">
        <v>150</v>
      </c>
      <c r="Y598" s="23" t="s">
        <v>151</v>
      </c>
      <c r="AA598">
        <v>1463</v>
      </c>
      <c r="AB598" t="s">
        <v>2463</v>
      </c>
      <c r="AC598" t="s">
        <v>2369</v>
      </c>
      <c r="AD598" s="2">
        <v>13</v>
      </c>
      <c r="AE598" s="2" t="s">
        <v>70</v>
      </c>
      <c r="AF598" t="str">
        <f>_xlfn.CONCAT(FINI_grouping_for_wheel[[#This Row],[SEFI/Plant]],"/",IF(FINI_grouping_for_wheel[[#This Row],[RESET recipe combination]]&lt;&gt;"",FINI_grouping_for_wheel[[#This Row],[RESET recipe combination]],FINI_grouping_for_wheel[[#This Row],[Recipe Combination]]),"/",FINI_grouping_for_wheel[[#This Row],[Subgroup]])</f>
        <v>4549916/THDP/x/13</v>
      </c>
      <c r="AG5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0.12660437416572543</v>
      </c>
      <c r="AH598">
        <f>_xlfn.LET(_xlpm.pct, FINI_grouping_for_wheel[[#This Row],[% forecast within subgroup]], _xlpm.lote, FINI_grouping_for_wheel[[#This Row],[Lot size considered]], _xlpm.pct*_xlpm.lote)</f>
        <v>1081.7550800269944</v>
      </c>
      <c r="AI598" cm="1">
        <f t="array" aca="1" ref="AI598" ca="1">IFERROR(INDIRECT("FINI_grouping_for_wheel[@["&amp;FINI_grouping_for_wheel[[#This Row],[Selected PV]]&amp;"]]"),"")</f>
        <v>166</v>
      </c>
      <c r="AJ59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v>
      </c>
      <c r="AL598" s="4"/>
      <c r="AM59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166</v>
      </c>
      <c r="AN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9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98" t="str">
        <f>_xlfn.CONCAT(FINI_grouping_for_wheel[[#This Row],[Recipe Combination]],FINI_grouping_for_wheel[[#This Row],[Subgroup]])</f>
        <v>113</v>
      </c>
    </row>
    <row r="599" spans="1:55" hidden="1">
      <c r="A599" t="s">
        <v>10</v>
      </c>
      <c r="B599">
        <v>4549916</v>
      </c>
      <c r="C599" t="s">
        <v>2365</v>
      </c>
      <c r="D599">
        <v>8544.3736613</v>
      </c>
      <c r="E599">
        <v>46</v>
      </c>
      <c r="F599">
        <v>0.92</v>
      </c>
      <c r="G599" t="s">
        <v>2464</v>
      </c>
      <c r="H599" t="s">
        <v>2465</v>
      </c>
      <c r="I599">
        <v>483</v>
      </c>
      <c r="J599" t="s">
        <v>90</v>
      </c>
      <c r="K599" t="s">
        <v>312</v>
      </c>
      <c r="L599" t="s">
        <v>313</v>
      </c>
      <c r="M599">
        <v>12708.03627</v>
      </c>
      <c r="N599">
        <v>50.83214508</v>
      </c>
      <c r="O599">
        <v>164908.49526</v>
      </c>
      <c r="P599">
        <v>387416.33658</v>
      </c>
      <c r="Q599">
        <v>7.7061137753783412E-2</v>
      </c>
      <c r="R599">
        <v>658.439155733</v>
      </c>
      <c r="S599" t="s">
        <v>266</v>
      </c>
      <c r="T599" t="s">
        <v>93</v>
      </c>
      <c r="U599">
        <v>1</v>
      </c>
      <c r="V599" t="s">
        <v>315</v>
      </c>
      <c r="W599" t="s">
        <v>142</v>
      </c>
      <c r="X599" t="s">
        <v>150</v>
      </c>
      <c r="Y599" s="23" t="s">
        <v>151</v>
      </c>
      <c r="AA599">
        <v>168</v>
      </c>
      <c r="AB599" t="s">
        <v>2466</v>
      </c>
      <c r="AC599" t="s">
        <v>2369</v>
      </c>
      <c r="AD599" s="28">
        <v>14</v>
      </c>
      <c r="AE599" s="2" t="s">
        <v>70</v>
      </c>
      <c r="AF599" t="str">
        <f>_xlfn.CONCAT(FINI_grouping_for_wheel[[#This Row],[SEFI/Plant]],"/",IF(FINI_grouping_for_wheel[[#This Row],[RESET recipe combination]]&lt;&gt;"",FINI_grouping_for_wheel[[#This Row],[RESET recipe combination]],FINI_grouping_for_wheel[[#This Row],[Recipe Combination]]),"/",FINI_grouping_for_wheel[[#This Row],[Subgroup]])</f>
        <v>4549916/THDP/x/14</v>
      </c>
      <c r="AG5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599">
        <f>_xlfn.LET(_xlpm.pct, FINI_grouping_for_wheel[[#This Row],[% forecast within subgroup]], _xlpm.lote, FINI_grouping_for_wheel[[#This Row],[Lot size considered]], _xlpm.pct*_xlpm.lote)</f>
        <v>8544.3736613</v>
      </c>
      <c r="AI599" cm="1">
        <f t="array" aca="1" ref="AI599" ca="1">IFERROR(INDIRECT("FINI_grouping_for_wheel[@["&amp;FINI_grouping_for_wheel[[#This Row],[Selected PV]]&amp;"]]"),"")</f>
        <v>151</v>
      </c>
      <c r="AJ59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5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18.7</v>
      </c>
      <c r="AL599" s="4"/>
      <c r="AM59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151</v>
      </c>
      <c r="AN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5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59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599" t="str">
        <f>_xlfn.CONCAT(FINI_grouping_for_wheel[[#This Row],[Recipe Combination]],FINI_grouping_for_wheel[[#This Row],[Subgroup]])</f>
        <v>114</v>
      </c>
    </row>
    <row r="600" spans="1:55" hidden="1">
      <c r="A600" t="s">
        <v>10</v>
      </c>
      <c r="B600">
        <v>4549916</v>
      </c>
      <c r="C600" t="s">
        <v>2365</v>
      </c>
      <c r="D600">
        <v>8544.3736613</v>
      </c>
      <c r="E600">
        <v>46</v>
      </c>
      <c r="F600">
        <v>0.92</v>
      </c>
      <c r="G600" t="s">
        <v>2467</v>
      </c>
      <c r="H600" t="s">
        <v>2468</v>
      </c>
      <c r="I600">
        <v>552</v>
      </c>
      <c r="J600" t="s">
        <v>90</v>
      </c>
      <c r="K600" t="s">
        <v>312</v>
      </c>
      <c r="L600" t="s">
        <v>313</v>
      </c>
      <c r="M600">
        <v>2115.638235</v>
      </c>
      <c r="N600">
        <v>8.46255294</v>
      </c>
      <c r="O600">
        <v>164908.49526</v>
      </c>
      <c r="P600">
        <v>387416.33658</v>
      </c>
      <c r="Q600">
        <v>1.2829164632570427E-2</v>
      </c>
      <c r="R600">
        <v>109.617176383</v>
      </c>
      <c r="S600" t="s">
        <v>266</v>
      </c>
      <c r="T600" t="s">
        <v>93</v>
      </c>
      <c r="U600">
        <v>1</v>
      </c>
      <c r="V600" t="s">
        <v>315</v>
      </c>
      <c r="W600" t="s">
        <v>142</v>
      </c>
      <c r="X600" t="s">
        <v>150</v>
      </c>
      <c r="Y600" s="23" t="s">
        <v>151</v>
      </c>
      <c r="AA600">
        <v>1010</v>
      </c>
      <c r="AB600" t="s">
        <v>2469</v>
      </c>
      <c r="AC600" t="s">
        <v>2369</v>
      </c>
      <c r="AD600" s="2">
        <v>13</v>
      </c>
      <c r="AE600" s="2" t="s">
        <v>70</v>
      </c>
      <c r="AF600" t="str">
        <f>_xlfn.CONCAT(FINI_grouping_for_wheel[[#This Row],[SEFI/Plant]],"/",IF(FINI_grouping_for_wheel[[#This Row],[RESET recipe combination]]&lt;&gt;"",FINI_grouping_for_wheel[[#This Row],[RESET recipe combination]],FINI_grouping_for_wheel[[#This Row],[Recipe Combination]]),"/",FINI_grouping_for_wheel[[#This Row],[Subgroup]])</f>
        <v>4549916/THDP/x/13</v>
      </c>
      <c r="AG6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0.1834890645856864</v>
      </c>
      <c r="AH600">
        <f>_xlfn.LET(_xlpm.pct, FINI_grouping_for_wheel[[#This Row],[% forecast within subgroup]], _xlpm.lote, FINI_grouping_for_wheel[[#This Row],[Lot size considered]], _xlpm.pct*_xlpm.lote)</f>
        <v>1567.7991305825135</v>
      </c>
      <c r="AI600" cm="1">
        <f t="array" aca="1" ref="AI600" ca="1">IFERROR(INDIRECT("FINI_grouping_for_wheel[@["&amp;FINI_grouping_for_wheel[[#This Row],[Selected PV]]&amp;"]]"),"")</f>
        <v>166</v>
      </c>
      <c r="AJ60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6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v>
      </c>
      <c r="AL600" s="4"/>
      <c r="AM60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166</v>
      </c>
      <c r="AN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0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00" t="str">
        <f>_xlfn.CONCAT(FINI_grouping_for_wheel[[#This Row],[Recipe Combination]],FINI_grouping_for_wheel[[#This Row],[Subgroup]])</f>
        <v>113</v>
      </c>
    </row>
    <row r="601" spans="1:55" hidden="1">
      <c r="A601" t="s">
        <v>10</v>
      </c>
      <c r="B601">
        <v>4549916</v>
      </c>
      <c r="C601" t="s">
        <v>2365</v>
      </c>
      <c r="D601">
        <v>8544.3736613</v>
      </c>
      <c r="E601">
        <v>46</v>
      </c>
      <c r="F601">
        <v>0.92</v>
      </c>
      <c r="G601" t="s">
        <v>2470</v>
      </c>
      <c r="H601" t="s">
        <v>2471</v>
      </c>
      <c r="I601">
        <v>440</v>
      </c>
      <c r="J601" t="s">
        <v>90</v>
      </c>
      <c r="K601" t="s">
        <v>2472</v>
      </c>
      <c r="L601" t="s">
        <v>2473</v>
      </c>
      <c r="M601">
        <v>4889.52765</v>
      </c>
      <c r="N601">
        <v>19.5581106</v>
      </c>
      <c r="O601">
        <v>164908.49526</v>
      </c>
      <c r="P601">
        <v>387416.33658</v>
      </c>
      <c r="Q601">
        <v>2.9649944002527066E-2</v>
      </c>
      <c r="R601">
        <v>253.340200594</v>
      </c>
      <c r="S601" t="s">
        <v>266</v>
      </c>
      <c r="T601" t="s">
        <v>93</v>
      </c>
      <c r="U601">
        <v>10</v>
      </c>
      <c r="V601" t="s">
        <v>94</v>
      </c>
      <c r="W601" t="s">
        <v>95</v>
      </c>
      <c r="X601" t="s">
        <v>96</v>
      </c>
      <c r="Y601" s="23" t="s">
        <v>97</v>
      </c>
      <c r="AA601">
        <v>437</v>
      </c>
      <c r="AB601" t="s">
        <v>2474</v>
      </c>
      <c r="AC601" t="s">
        <v>2369</v>
      </c>
      <c r="AD601" s="2">
        <v>3</v>
      </c>
      <c r="AE601" s="2" t="s">
        <v>70</v>
      </c>
      <c r="AF601" t="str">
        <f>_xlfn.CONCAT(FINI_grouping_for_wheel[[#This Row],[SEFI/Plant]],"/",IF(FINI_grouping_for_wheel[[#This Row],[RESET recipe combination]]&lt;&gt;"",FINI_grouping_for_wheel[[#This Row],[RESET recipe combination]],FINI_grouping_for_wheel[[#This Row],[Recipe Combination]]),"/",FINI_grouping_for_wheel[[#This Row],[Subgroup]])</f>
        <v>4549916/THDP/x/3</v>
      </c>
      <c r="AG6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0.3413223140495868</v>
      </c>
      <c r="AH601">
        <f>_xlfn.LET(_xlpm.pct, FINI_grouping_for_wheel[[#This Row],[% forecast within subgroup]], _xlpm.lote, FINI_grouping_for_wheel[[#This Row],[Lot size considered]], _xlpm.pct*_xlpm.lote)</f>
        <v>2916.3853901792563</v>
      </c>
      <c r="AI601" cm="1">
        <f t="array" aca="1" ref="AI601" ca="1">IFERROR(INDIRECT("FINI_grouping_for_wheel[@["&amp;FINI_grouping_for_wheel[[#This Row],[Selected PV]]&amp;"]]"),"")</f>
        <v>134</v>
      </c>
      <c r="AJ60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6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v>
      </c>
      <c r="AL601" s="4"/>
      <c r="AM60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134</v>
      </c>
      <c r="AN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0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01" t="str">
        <f>_xlfn.CONCAT(FINI_grouping_for_wheel[[#This Row],[Recipe Combination]],FINI_grouping_for_wheel[[#This Row],[Subgroup]])</f>
        <v>13</v>
      </c>
    </row>
    <row r="602" spans="1:55" hidden="1">
      <c r="A602" t="s">
        <v>10</v>
      </c>
      <c r="B602">
        <v>4549916</v>
      </c>
      <c r="C602" t="s">
        <v>2365</v>
      </c>
      <c r="D602">
        <v>8544.3736613</v>
      </c>
      <c r="E602">
        <v>46</v>
      </c>
      <c r="F602">
        <v>0.92</v>
      </c>
      <c r="G602" t="s">
        <v>2475</v>
      </c>
      <c r="H602" t="s">
        <v>2476</v>
      </c>
      <c r="I602">
        <v>462</v>
      </c>
      <c r="J602" t="s">
        <v>90</v>
      </c>
      <c r="K602" t="s">
        <v>312</v>
      </c>
      <c r="L602" t="s">
        <v>313</v>
      </c>
      <c r="M602">
        <v>374.11398</v>
      </c>
      <c r="N602">
        <v>1.49645592</v>
      </c>
      <c r="O602">
        <v>164908.49526</v>
      </c>
      <c r="P602">
        <v>387416.33658</v>
      </c>
      <c r="Q602">
        <v>2.2686155701691409E-3</v>
      </c>
      <c r="R602">
        <v>19.3838991254</v>
      </c>
      <c r="S602" t="s">
        <v>266</v>
      </c>
      <c r="T602" t="s">
        <v>93</v>
      </c>
      <c r="U602">
        <v>1</v>
      </c>
      <c r="V602" t="s">
        <v>315</v>
      </c>
      <c r="W602" t="s">
        <v>142</v>
      </c>
      <c r="X602" t="s">
        <v>150</v>
      </c>
      <c r="Y602" s="23" t="s">
        <v>151</v>
      </c>
      <c r="AA602">
        <v>5710</v>
      </c>
      <c r="AB602" t="s">
        <v>2477</v>
      </c>
      <c r="AC602" t="s">
        <v>2369</v>
      </c>
      <c r="AD602" s="2">
        <v>13</v>
      </c>
      <c r="AE602" s="2" t="s">
        <v>70</v>
      </c>
      <c r="AF602" t="str">
        <f>_xlfn.CONCAT(FINI_grouping_for_wheel[[#This Row],[SEFI/Plant]],"/",IF(FINI_grouping_for_wheel[[#This Row],[RESET recipe combination]]&lt;&gt;"",FINI_grouping_for_wheel[[#This Row],[RESET recipe combination]],FINI_grouping_for_wheel[[#This Row],[Recipe Combination]]),"/",FINI_grouping_for_wheel[[#This Row],[Subgroup]])</f>
        <v>4549916/THDP/x/13</v>
      </c>
      <c r="AG6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0.032446863127631176</v>
      </c>
      <c r="AH602">
        <f>_xlfn.LET(_xlpm.pct, FINI_grouping_for_wheel[[#This Row],[% forecast within subgroup]], _xlpm.lote, FINI_grouping_for_wheel[[#This Row],[Lot size considered]], _xlpm.pct*_xlpm.lote)</f>
        <v>277.23812269953794</v>
      </c>
      <c r="AI602" cm="1">
        <f t="array" aca="1" ref="AI602" ca="1">IFERROR(INDIRECT("FINI_grouping_for_wheel[@["&amp;FINI_grouping_for_wheel[[#This Row],[Selected PV]]&amp;"]]"),"")</f>
        <v>166</v>
      </c>
      <c r="AJ60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6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602" s="4"/>
      <c r="AM60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166</v>
      </c>
      <c r="AN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0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02" t="str">
        <f>_xlfn.CONCAT(FINI_grouping_for_wheel[[#This Row],[Recipe Combination]],FINI_grouping_for_wheel[[#This Row],[Subgroup]])</f>
        <v>113</v>
      </c>
    </row>
    <row r="603" spans="1:55" hidden="1">
      <c r="A603" t="s">
        <v>10</v>
      </c>
      <c r="B603">
        <v>4549916</v>
      </c>
      <c r="C603" t="s">
        <v>2365</v>
      </c>
      <c r="D603">
        <v>8544.3736613</v>
      </c>
      <c r="E603">
        <v>46</v>
      </c>
      <c r="F603">
        <v>0.92</v>
      </c>
      <c r="G603" t="s">
        <v>2478</v>
      </c>
      <c r="H603" t="s">
        <v>2479</v>
      </c>
      <c r="I603">
        <v>480</v>
      </c>
      <c r="J603" t="s">
        <v>90</v>
      </c>
      <c r="K603" t="s">
        <v>515</v>
      </c>
      <c r="L603" t="s">
        <v>516</v>
      </c>
      <c r="M603">
        <v>4617.2295</v>
      </c>
      <c r="N603">
        <v>18.468918</v>
      </c>
      <c r="O603">
        <v>164908.49526</v>
      </c>
      <c r="P603">
        <v>387416.33658</v>
      </c>
      <c r="Q603">
        <v>2.7998736467277373E-2</v>
      </c>
      <c r="R603">
        <v>239.231666421</v>
      </c>
      <c r="S603" t="s">
        <v>266</v>
      </c>
      <c r="T603" t="s">
        <v>93</v>
      </c>
      <c r="U603">
        <v>5</v>
      </c>
      <c r="V603" t="s">
        <v>518</v>
      </c>
      <c r="W603" t="s">
        <v>142</v>
      </c>
      <c r="X603" t="s">
        <v>150</v>
      </c>
      <c r="Y603" s="23" t="s">
        <v>151</v>
      </c>
      <c r="AA603">
        <v>463</v>
      </c>
      <c r="AB603" t="s">
        <v>2480</v>
      </c>
      <c r="AC603" t="s">
        <v>2369</v>
      </c>
      <c r="AD603" s="2">
        <v>13</v>
      </c>
      <c r="AE603" s="2" t="s">
        <v>70</v>
      </c>
      <c r="AF603" t="str">
        <f>_xlfn.CONCAT(FINI_grouping_for_wheel[[#This Row],[SEFI/Plant]],"/",IF(FINI_grouping_for_wheel[[#This Row],[RESET recipe combination]]&lt;&gt;"",FINI_grouping_for_wheel[[#This Row],[RESET recipe combination]],FINI_grouping_for_wheel[[#This Row],[Recipe Combination]]),"/",FINI_grouping_for_wheel[[#This Row],[Subgroup]])</f>
        <v>4549916/THDP/x/13</v>
      </c>
      <c r="AG6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0.4004517917650683</v>
      </c>
      <c r="AH603">
        <f>_xlfn.LET(_xlpm.pct, FINI_grouping_for_wheel[[#This Row],[% forecast within subgroup]], _xlpm.lote, FINI_grouping_for_wheel[[#This Row],[Lot size considered]], _xlpm.pct*_xlpm.lote)</f>
        <v>3421.609742177842</v>
      </c>
      <c r="AI603" cm="1">
        <f t="array" aca="1" ref="AI603" ca="1">IFERROR(INDIRECT("FINI_grouping_for_wheel[@["&amp;FINI_grouping_for_wheel[[#This Row],[Selected PV]]&amp;"]]"),"")</f>
        <v>166</v>
      </c>
      <c r="AJ60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6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7.5</v>
      </c>
      <c r="AL603" s="4"/>
      <c r="AM60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166</v>
      </c>
      <c r="AN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0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03" t="str">
        <f>_xlfn.CONCAT(FINI_grouping_for_wheel[[#This Row],[Recipe Combination]],FINI_grouping_for_wheel[[#This Row],[Subgroup]])</f>
        <v>113</v>
      </c>
    </row>
    <row r="604" spans="1:55" hidden="1">
      <c r="A604" t="s">
        <v>10</v>
      </c>
      <c r="B604">
        <v>4549916</v>
      </c>
      <c r="C604" t="s">
        <v>2365</v>
      </c>
      <c r="D604">
        <v>8544.3736613</v>
      </c>
      <c r="E604">
        <v>46</v>
      </c>
      <c r="F604">
        <v>0.92</v>
      </c>
      <c r="G604" t="s">
        <v>2481</v>
      </c>
      <c r="H604" t="s">
        <v>2482</v>
      </c>
      <c r="I604">
        <v>450</v>
      </c>
      <c r="J604" t="s">
        <v>90</v>
      </c>
      <c r="K604" t="s">
        <v>264</v>
      </c>
      <c r="L604" t="s">
        <v>265</v>
      </c>
      <c r="M604">
        <v>3269.94561</v>
      </c>
      <c r="N604">
        <v>13.07978244</v>
      </c>
      <c r="O604">
        <v>164908.49526</v>
      </c>
      <c r="P604">
        <v>387416.33658</v>
      </c>
      <c r="Q604">
        <v>1.9828848749389772E-2</v>
      </c>
      <c r="R604">
        <v>169.425092988</v>
      </c>
      <c r="S604" t="s">
        <v>266</v>
      </c>
      <c r="T604" t="s">
        <v>93</v>
      </c>
      <c r="U604">
        <v>2.5</v>
      </c>
      <c r="V604" t="s">
        <v>267</v>
      </c>
      <c r="W604" t="s">
        <v>142</v>
      </c>
      <c r="X604" t="s">
        <v>150</v>
      </c>
      <c r="Y604" s="23" t="s">
        <v>151</v>
      </c>
      <c r="AA604">
        <v>653</v>
      </c>
      <c r="AB604" t="s">
        <v>2483</v>
      </c>
      <c r="AC604" t="s">
        <v>2369</v>
      </c>
      <c r="AD604" s="2">
        <v>10</v>
      </c>
      <c r="AE604" s="2" t="s">
        <v>70</v>
      </c>
      <c r="AF604" t="str">
        <f>_xlfn.CONCAT(FINI_grouping_for_wheel[[#This Row],[SEFI/Plant]],"/",IF(FINI_grouping_for_wheel[[#This Row],[RESET recipe combination]]&lt;&gt;"",FINI_grouping_for_wheel[[#This Row],[RESET recipe combination]],FINI_grouping_for_wheel[[#This Row],[Recipe Combination]]),"/",FINI_grouping_for_wheel[[#This Row],[Subgroup]])</f>
        <v>4549916/THDP/x/10</v>
      </c>
      <c r="AG6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0.41583860283047275</v>
      </c>
      <c r="AH604">
        <f>_xlfn.LET(_xlpm.pct, FINI_grouping_for_wheel[[#This Row],[% forecast within subgroup]], _xlpm.lote, FINI_grouping_for_wheel[[#This Row],[Lot size considered]], _xlpm.pct*_xlpm.lote)</f>
        <v>3553.080405376483</v>
      </c>
      <c r="AI604" cm="1">
        <f t="array" aca="1" ref="AI604" ca="1">IFERROR(INDIRECT("FINI_grouping_for_wheel[@["&amp;FINI_grouping_for_wheel[[#This Row],[Selected PV]]&amp;"]]"),"")</f>
        <v>244</v>
      </c>
      <c r="AJ60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6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8.3</v>
      </c>
      <c r="AL604" s="4"/>
      <c r="AM60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244</v>
      </c>
      <c r="AN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0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04" t="str">
        <f>_xlfn.CONCAT(FINI_grouping_for_wheel[[#This Row],[Recipe Combination]],FINI_grouping_for_wheel[[#This Row],[Subgroup]])</f>
        <v>110</v>
      </c>
    </row>
    <row r="605" spans="1:55">
      <c r="A605" t="s">
        <v>10</v>
      </c>
      <c r="B605">
        <v>4549916</v>
      </c>
      <c r="C605" t="s">
        <v>2365</v>
      </c>
      <c r="D605">
        <v>8544.3736613</v>
      </c>
      <c r="E605">
        <v>46</v>
      </c>
      <c r="F605">
        <v>0.92</v>
      </c>
      <c r="G605" t="s">
        <v>2484</v>
      </c>
      <c r="H605" t="s">
        <v>2485</v>
      </c>
      <c r="I605">
        <v>360</v>
      </c>
      <c r="J605" t="s">
        <v>90</v>
      </c>
      <c r="K605" t="s">
        <v>577</v>
      </c>
      <c r="L605" t="s">
        <v>578</v>
      </c>
      <c r="M605">
        <v>3622.7493</v>
      </c>
      <c r="N605">
        <v>14.4909972</v>
      </c>
      <c r="O605">
        <v>164908.49526</v>
      </c>
      <c r="P605">
        <v>387416.33658</v>
      </c>
      <c r="Q605">
        <v>2.1968239382017633E-2</v>
      </c>
      <c r="R605">
        <v>187.704845961</v>
      </c>
      <c r="S605" t="s">
        <v>266</v>
      </c>
      <c r="T605" t="s">
        <v>93</v>
      </c>
      <c r="U605">
        <v>10</v>
      </c>
      <c r="V605" t="s">
        <v>482</v>
      </c>
      <c r="W605" t="s">
        <v>142</v>
      </c>
      <c r="X605" t="s">
        <v>96</v>
      </c>
      <c r="Y605" s="23" t="s">
        <v>483</v>
      </c>
      <c r="AA605">
        <v>590</v>
      </c>
      <c r="AB605" t="s">
        <v>2486</v>
      </c>
      <c r="AC605" t="s">
        <v>2369</v>
      </c>
      <c r="AD605" s="2">
        <v>4</v>
      </c>
      <c r="AE605" s="2" t="s">
        <v>70</v>
      </c>
      <c r="AF605" t="str">
        <f>_xlfn.CONCAT(FINI_grouping_for_wheel[[#This Row],[SEFI/Plant]],"/",IF(FINI_grouping_for_wheel[[#This Row],[RESET recipe combination]]&lt;&gt;"",FINI_grouping_for_wheel[[#This Row],[RESET recipe combination]],FINI_grouping_for_wheel[[#This Row],[Recipe Combination]]),"/",FINI_grouping_for_wheel[[#This Row],[Subgroup]])</f>
        <v>4549916/THDP/x/4</v>
      </c>
      <c r="AG6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0.2560240963855422</v>
      </c>
      <c r="AH605">
        <f>_xlfn.LET(_xlpm.pct, FINI_grouping_for_wheel[[#This Row],[% forecast within subgroup]], _xlpm.lote, FINI_grouping_for_wheel[[#This Row],[Lot size considered]], _xlpm.pct*_xlpm.lote)</f>
        <v>2187.5655458147594</v>
      </c>
      <c r="AI605" cm="1">
        <f t="array" aca="1" ref="AI605" ca="1">IFERROR(INDIRECT("FINI_grouping_for_wheel[@["&amp;FINI_grouping_for_wheel[[#This Row],[Selected PV]]&amp;"]]"),"")</f>
        <v>136</v>
      </c>
      <c r="AJ60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6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6.4</v>
      </c>
      <c r="AL605" s="4"/>
      <c r="AM60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136</v>
      </c>
      <c r="AN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0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05" t="str">
        <f>_xlfn.CONCAT(FINI_grouping_for_wheel[[#This Row],[Recipe Combination]],FINI_grouping_for_wheel[[#This Row],[Subgroup]])</f>
        <v>14</v>
      </c>
    </row>
    <row r="606" spans="1:55" hidden="1">
      <c r="A606" t="s">
        <v>10</v>
      </c>
      <c r="B606">
        <v>4549916</v>
      </c>
      <c r="C606" t="s">
        <v>2365</v>
      </c>
      <c r="D606">
        <v>8544.3736613</v>
      </c>
      <c r="E606">
        <v>46</v>
      </c>
      <c r="F606">
        <v>0.92</v>
      </c>
      <c r="G606" t="s">
        <v>2487</v>
      </c>
      <c r="H606" t="s">
        <v>2488</v>
      </c>
      <c r="I606">
        <v>320</v>
      </c>
      <c r="J606" t="s">
        <v>90</v>
      </c>
      <c r="K606" t="s">
        <v>2489</v>
      </c>
      <c r="L606" t="s">
        <v>2490</v>
      </c>
      <c r="M606">
        <v>4463.32185</v>
      </c>
      <c r="N606">
        <v>17.8532874</v>
      </c>
      <c r="O606">
        <v>164908.49526</v>
      </c>
      <c r="P606">
        <v>387416.33658</v>
      </c>
      <c r="Q606">
        <v>2.7065445251701462E-2</v>
      </c>
      <c r="R606">
        <v>231.25727754</v>
      </c>
      <c r="S606" t="s">
        <v>266</v>
      </c>
      <c r="T606" t="s">
        <v>93</v>
      </c>
      <c r="U606">
        <v>5</v>
      </c>
      <c r="V606" t="s">
        <v>657</v>
      </c>
      <c r="W606" t="s">
        <v>95</v>
      </c>
      <c r="X606" t="s">
        <v>106</v>
      </c>
      <c r="Y606" s="23" t="s">
        <v>107</v>
      </c>
      <c r="AA606">
        <v>479</v>
      </c>
      <c r="AB606" t="s">
        <v>2491</v>
      </c>
      <c r="AC606" t="s">
        <v>2369</v>
      </c>
      <c r="AD606" s="2">
        <v>5</v>
      </c>
      <c r="AE606" s="2" t="s">
        <v>70</v>
      </c>
      <c r="AF606" t="str">
        <f>_xlfn.CONCAT(FINI_grouping_for_wheel[[#This Row],[SEFI/Plant]],"/",IF(FINI_grouping_for_wheel[[#This Row],[RESET recipe combination]]&lt;&gt;"",FINI_grouping_for_wheel[[#This Row],[RESET recipe combination]],FINI_grouping_for_wheel[[#This Row],[Recipe Combination]]),"/",FINI_grouping_for_wheel[[#This Row],[Subgroup]])</f>
        <v>4549916/THDP/x/5</v>
      </c>
      <c r="AG6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0.2797358462565853</v>
      </c>
      <c r="AH606">
        <f>_xlfn.LET(_xlpm.pct, FINI_grouping_for_wheel[[#This Row],[% forecast within subgroup]], _xlpm.lote, FINI_grouping_for_wheel[[#This Row],[Lot size considered]], _xlpm.pct*_xlpm.lote)</f>
        <v>2390.167596876234</v>
      </c>
      <c r="AI606" cm="1">
        <f t="array" aca="1" ref="AI606" ca="1">IFERROR(INDIRECT("FINI_grouping_for_wheel[@["&amp;FINI_grouping_for_wheel[[#This Row],[Selected PV]]&amp;"]]"),"")</f>
        <v>120</v>
      </c>
      <c r="AJ60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6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7.9</v>
      </c>
      <c r="AL606" s="4"/>
      <c r="AM60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120</v>
      </c>
      <c r="AN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0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06" t="str">
        <f>_xlfn.CONCAT(FINI_grouping_for_wheel[[#This Row],[Recipe Combination]],FINI_grouping_for_wheel[[#This Row],[Subgroup]])</f>
        <v>15</v>
      </c>
    </row>
    <row r="607" spans="1:55" hidden="1">
      <c r="A607" t="s">
        <v>10</v>
      </c>
      <c r="B607">
        <v>4549916</v>
      </c>
      <c r="C607" t="s">
        <v>2365</v>
      </c>
      <c r="D607">
        <v>8544.3736613</v>
      </c>
      <c r="E607">
        <v>46</v>
      </c>
      <c r="F607">
        <v>0.92</v>
      </c>
      <c r="G607" t="s">
        <v>2492</v>
      </c>
      <c r="H607" t="s">
        <v>2493</v>
      </c>
      <c r="I607">
        <v>552</v>
      </c>
      <c r="J607" t="s">
        <v>90</v>
      </c>
      <c r="K607" t="s">
        <v>312</v>
      </c>
      <c r="L607" t="s">
        <v>313</v>
      </c>
      <c r="M607">
        <v>2963.314215</v>
      </c>
      <c r="N607">
        <v>11.85325686</v>
      </c>
      <c r="O607">
        <v>164908.49526</v>
      </c>
      <c r="P607">
        <v>387416.33658</v>
      </c>
      <c r="Q607">
        <v>1.7969445481434684E-2</v>
      </c>
      <c r="R607">
        <v>153.53765668</v>
      </c>
      <c r="S607" t="s">
        <v>266</v>
      </c>
      <c r="T607" t="s">
        <v>93</v>
      </c>
      <c r="U607">
        <v>1</v>
      </c>
      <c r="V607" t="s">
        <v>315</v>
      </c>
      <c r="W607" t="s">
        <v>142</v>
      </c>
      <c r="X607" t="s">
        <v>150</v>
      </c>
      <c r="Y607" s="23" t="s">
        <v>151</v>
      </c>
      <c r="AA607">
        <v>721</v>
      </c>
      <c r="AB607" t="s">
        <v>2494</v>
      </c>
      <c r="AC607" t="s">
        <v>2369</v>
      </c>
      <c r="AD607" s="2">
        <v>13</v>
      </c>
      <c r="AE607" s="2" t="s">
        <v>70</v>
      </c>
      <c r="AF607" t="str">
        <f>_xlfn.CONCAT(FINI_grouping_for_wheel[[#This Row],[SEFI/Plant]],"/",IF(FINI_grouping_for_wheel[[#This Row],[RESET recipe combination]]&lt;&gt;"",FINI_grouping_for_wheel[[#This Row],[RESET recipe combination]],FINI_grouping_for_wheel[[#This Row],[Recipe Combination]]),"/",FINI_grouping_for_wheel[[#This Row],[Subgroup]])</f>
        <v>4549916/THDP/x/13</v>
      </c>
      <c r="AG6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0.25700790635588866</v>
      </c>
      <c r="AH607">
        <f>_xlfn.LET(_xlpm.pct, FINI_grouping_for_wheel[[#This Row],[% forecast within subgroup]], _xlpm.lote, FINI_grouping_for_wheel[[#This Row],[Lot size considered]], _xlpm.pct*_xlpm.lote)</f>
        <v>2195.971585813112</v>
      </c>
      <c r="AI607" cm="1">
        <f t="array" aca="1" ref="AI607" ca="1">IFERROR(INDIRECT("FINI_grouping_for_wheel[@["&amp;FINI_grouping_for_wheel[[#This Row],[Selected PV]]&amp;"]]"),"")</f>
        <v>166</v>
      </c>
      <c r="AJ60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6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4.2</v>
      </c>
      <c r="AL607" s="4"/>
      <c r="AM60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166</v>
      </c>
      <c r="AN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0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07" t="str">
        <f>_xlfn.CONCAT(FINI_grouping_for_wheel[[#This Row],[Recipe Combination]],FINI_grouping_for_wheel[[#This Row],[Subgroup]])</f>
        <v>113</v>
      </c>
    </row>
    <row r="608" spans="1:55" hidden="1">
      <c r="A608" t="s">
        <v>10</v>
      </c>
      <c r="B608">
        <v>4549916</v>
      </c>
      <c r="C608" t="s">
        <v>2365</v>
      </c>
      <c r="D608">
        <v>8544.3736613</v>
      </c>
      <c r="E608">
        <v>46</v>
      </c>
      <c r="F608">
        <v>0.92</v>
      </c>
      <c r="G608" t="s">
        <v>2495</v>
      </c>
      <c r="H608" t="s">
        <v>2496</v>
      </c>
      <c r="J608" t="s">
        <v>90</v>
      </c>
      <c r="K608" t="s">
        <v>552</v>
      </c>
      <c r="L608" t="s">
        <v>553</v>
      </c>
      <c r="M608">
        <v>292.424535</v>
      </c>
      <c r="N608">
        <v>1.16969814</v>
      </c>
      <c r="O608">
        <v>164908.49526</v>
      </c>
      <c r="P608">
        <v>387416.33658</v>
      </c>
      <c r="Q608">
        <v>1.7732533095942337E-3</v>
      </c>
      <c r="R608">
        <v>15.1513388733</v>
      </c>
      <c r="S608" t="s">
        <v>266</v>
      </c>
      <c r="T608" t="s">
        <v>93</v>
      </c>
      <c r="U608">
        <v>12.5</v>
      </c>
      <c r="V608" t="s">
        <v>295</v>
      </c>
      <c r="W608" t="s">
        <v>142</v>
      </c>
      <c r="X608" t="s">
        <v>128</v>
      </c>
      <c r="Y608" s="23" t="s">
        <v>120</v>
      </c>
      <c r="AA608">
        <v>7305</v>
      </c>
      <c r="AB608" t="s">
        <v>2497</v>
      </c>
      <c r="AC608" t="s">
        <v>2369</v>
      </c>
      <c r="AD608" s="2">
        <v>2</v>
      </c>
      <c r="AE608" s="2" t="s">
        <v>70</v>
      </c>
      <c r="AF608" t="str">
        <f>_xlfn.CONCAT(FINI_grouping_for_wheel[[#This Row],[SEFI/Plant]],"/",IF(FINI_grouping_for_wheel[[#This Row],[RESET recipe combination]]&lt;&gt;"",FINI_grouping_for_wheel[[#This Row],[RESET recipe combination]],FINI_grouping_for_wheel[[#This Row],[Recipe Combination]]),"/",FINI_grouping_for_wheel[[#This Row],[Subgroup]])</f>
        <v>4549916/THDP/x/2</v>
      </c>
      <c r="AG6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0.028899028899028897</v>
      </c>
      <c r="AH608">
        <f>_xlfn.LET(_xlpm.pct, FINI_grouping_for_wheel[[#This Row],[% forecast within subgroup]], _xlpm.lote, FINI_grouping_for_wheel[[#This Row],[Lot size considered]], _xlpm.pct*_xlpm.lote)</f>
        <v>246.92410136201005</v>
      </c>
      <c r="AI608" cm="1">
        <f t="array" aca="1" ref="AI608" ca="1">IFERROR(INDIRECT("FINI_grouping_for_wheel[@["&amp;FINI_grouping_for_wheel[[#This Row],[Selected PV]]&amp;"]]"),"")</f>
        <v>190</v>
      </c>
      <c r="AJ60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60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08" s="4"/>
      <c r="AM60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190</v>
      </c>
      <c r="AN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0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08" t="str">
        <f>_xlfn.CONCAT(FINI_grouping_for_wheel[[#This Row],[Recipe Combination]],FINI_grouping_for_wheel[[#This Row],[Subgroup]])</f>
        <v>12</v>
      </c>
    </row>
    <row r="609" spans="1:55" hidden="1">
      <c r="A609" t="s">
        <v>10</v>
      </c>
      <c r="B609">
        <v>4549916</v>
      </c>
      <c r="C609" t="s">
        <v>2365</v>
      </c>
      <c r="D609">
        <v>8544.3736613</v>
      </c>
      <c r="E609">
        <v>46</v>
      </c>
      <c r="F609">
        <v>0.92</v>
      </c>
      <c r="G609" t="s">
        <v>2498</v>
      </c>
      <c r="H609" t="s">
        <v>2499</v>
      </c>
      <c r="I609">
        <v>375</v>
      </c>
      <c r="J609" t="s">
        <v>90</v>
      </c>
      <c r="K609" t="s">
        <v>1216</v>
      </c>
      <c r="L609" t="s">
        <v>1217</v>
      </c>
      <c r="M609">
        <v>30043.957185</v>
      </c>
      <c r="N609">
        <v>120.17582874</v>
      </c>
      <c r="O609">
        <v>30043.957185</v>
      </c>
      <c r="P609">
        <v>387416.33658</v>
      </c>
      <c r="Q609">
        <v>1</v>
      </c>
      <c r="R609">
        <v>8544.3736613</v>
      </c>
      <c r="S609" t="s">
        <v>307</v>
      </c>
      <c r="T609" t="s">
        <v>93</v>
      </c>
      <c r="U609">
        <v>2.5</v>
      </c>
      <c r="V609" t="s">
        <v>105</v>
      </c>
      <c r="W609" t="s">
        <v>142</v>
      </c>
      <c r="X609" t="s">
        <v>106</v>
      </c>
      <c r="Y609" s="23" t="s">
        <v>107</v>
      </c>
      <c r="AA609">
        <v>71</v>
      </c>
      <c r="AB609" t="s">
        <v>2500</v>
      </c>
      <c r="AC609" t="s">
        <v>2369</v>
      </c>
      <c r="AD609" s="2">
        <v>20</v>
      </c>
      <c r="AE609" s="2" t="s">
        <v>70</v>
      </c>
      <c r="AF609" t="str">
        <f>_xlfn.CONCAT(FINI_grouping_for_wheel[[#This Row],[SEFI/Plant]],"/",IF(FINI_grouping_for_wheel[[#This Row],[RESET recipe combination]]&lt;&gt;"",FINI_grouping_for_wheel[[#This Row],[RESET recipe combination]],FINI_grouping_for_wheel[[#This Row],[Recipe Combination]]),"/",FINI_grouping_for_wheel[[#This Row],[Subgroup]])</f>
        <v>4549916/THDP/x/20</v>
      </c>
      <c r="AG6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09">
        <f>_xlfn.LET(_xlpm.pct, FINI_grouping_for_wheel[[#This Row],[% forecast within subgroup]], _xlpm.lote, FINI_grouping_for_wheel[[#This Row],[Lot size considered]], _xlpm.pct*_xlpm.lote)</f>
        <v>8544.3736613</v>
      </c>
      <c r="AI609" cm="1">
        <f t="array" aca="1" ref="AI609" ca="1">IFERROR(INDIRECT("FINI_grouping_for_wheel[@["&amp;FINI_grouping_for_wheel[[#This Row],[Selected PV]]&amp;"]]"),"")</f>
        <v>64</v>
      </c>
      <c r="AJ60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6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24.1</v>
      </c>
      <c r="AL609" s="4"/>
      <c r="AM60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64</v>
      </c>
      <c r="AN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0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09" t="str">
        <f>_xlfn.CONCAT(FINI_grouping_for_wheel[[#This Row],[Recipe Combination]],FINI_grouping_for_wheel[[#This Row],[Subgroup]])</f>
        <v>H20</v>
      </c>
    </row>
    <row r="610" spans="1:55" hidden="1">
      <c r="A610" t="s">
        <v>10</v>
      </c>
      <c r="B610">
        <v>4549916</v>
      </c>
      <c r="C610" t="s">
        <v>2365</v>
      </c>
      <c r="D610">
        <v>8544.3736613</v>
      </c>
      <c r="E610">
        <v>46</v>
      </c>
      <c r="F610">
        <v>0.92</v>
      </c>
      <c r="G610" t="s">
        <v>2501</v>
      </c>
      <c r="H610" t="s">
        <v>2502</v>
      </c>
      <c r="J610" t="s">
        <v>90</v>
      </c>
      <c r="K610" t="s">
        <v>2503</v>
      </c>
      <c r="L610" t="s">
        <v>2504</v>
      </c>
      <c r="M610">
        <v>181137.465</v>
      </c>
      <c r="N610">
        <v>724.54986</v>
      </c>
      <c r="O610">
        <v>181137.465</v>
      </c>
      <c r="P610">
        <v>387416.33658</v>
      </c>
      <c r="Q610">
        <v>1</v>
      </c>
      <c r="R610">
        <v>8544.3736613</v>
      </c>
      <c r="S610" t="s">
        <v>157</v>
      </c>
      <c r="T610" t="s">
        <v>93</v>
      </c>
      <c r="U610">
        <v>10</v>
      </c>
      <c r="V610" t="s">
        <v>158</v>
      </c>
      <c r="W610" t="s">
        <v>159</v>
      </c>
      <c r="X610" t="s">
        <v>96</v>
      </c>
      <c r="Y610" s="23" t="s">
        <v>97</v>
      </c>
      <c r="AA610">
        <v>12</v>
      </c>
      <c r="AB610" t="s">
        <v>2505</v>
      </c>
      <c r="AC610" t="s">
        <v>2369</v>
      </c>
      <c r="AD610" s="2">
        <v>1</v>
      </c>
      <c r="AE610" s="2" t="s">
        <v>70</v>
      </c>
      <c r="AF610" t="str">
        <f>_xlfn.CONCAT(FINI_grouping_for_wheel[[#This Row],[SEFI/Plant]],"/",IF(FINI_grouping_for_wheel[[#This Row],[RESET recipe combination]]&lt;&gt;"",FINI_grouping_for_wheel[[#This Row],[RESET recipe combination]],FINI_grouping_for_wheel[[#This Row],[Recipe Combination]]),"/",FINI_grouping_for_wheel[[#This Row],[Subgroup]])</f>
        <v>4549916/THDP/x/1</v>
      </c>
      <c r="AG6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10">
        <f>_xlfn.LET(_xlpm.pct, FINI_grouping_for_wheel[[#This Row],[% forecast within subgroup]], _xlpm.lote, FINI_grouping_for_wheel[[#This Row],[Lot size considered]], _xlpm.pct*_xlpm.lote)</f>
        <v>8544.3736613</v>
      </c>
      <c r="AI610" cm="1">
        <f t="array" aca="1" ref="AI610" ca="1">IFERROR(INDIRECT("FINI_grouping_for_wheel[@["&amp;FINI_grouping_for_wheel[[#This Row],[Selected PV]]&amp;"]]"),"")</f>
        <v>11</v>
      </c>
      <c r="AJ61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9024.907815</v>
      </c>
      <c r="AK61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10" s="4"/>
      <c r="AM61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1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10" t="str">
        <f>_xlfn.CONCAT(FINI_grouping_for_wheel[[#This Row],[Recipe Combination]],FINI_grouping_for_wheel[[#This Row],[Subgroup]])</f>
        <v>M1</v>
      </c>
    </row>
    <row r="611" spans="1:55" hidden="1">
      <c r="A611" t="s">
        <v>10</v>
      </c>
      <c r="B611">
        <v>4184259</v>
      </c>
      <c r="C611" t="s">
        <v>2506</v>
      </c>
      <c r="D611">
        <v>8462.43586708</v>
      </c>
      <c r="E611">
        <v>45</v>
      </c>
      <c r="F611">
        <v>0.9</v>
      </c>
      <c r="G611" t="s">
        <v>2507</v>
      </c>
      <c r="H611" t="s">
        <v>2508</v>
      </c>
      <c r="I611">
        <v>525</v>
      </c>
      <c r="J611" t="s">
        <v>90</v>
      </c>
      <c r="K611" t="s">
        <v>264</v>
      </c>
      <c r="L611" t="s">
        <v>265</v>
      </c>
      <c r="M611">
        <v>5247.06696</v>
      </c>
      <c r="N611">
        <v>20.98826784</v>
      </c>
      <c r="O611">
        <v>5247.06696</v>
      </c>
      <c r="P611">
        <v>377205.155955</v>
      </c>
      <c r="Q611">
        <v>1</v>
      </c>
      <c r="R611">
        <v>8462.43586708</v>
      </c>
      <c r="S611" t="s">
        <v>594</v>
      </c>
      <c r="T611" t="s">
        <v>93</v>
      </c>
      <c r="U611">
        <v>2.5</v>
      </c>
      <c r="V611" t="s">
        <v>267</v>
      </c>
      <c r="W611" t="s">
        <v>142</v>
      </c>
      <c r="X611" t="s">
        <v>150</v>
      </c>
      <c r="Y611" s="23" t="s">
        <v>151</v>
      </c>
      <c r="AA611">
        <v>403</v>
      </c>
      <c r="AB611" t="s">
        <v>2509</v>
      </c>
      <c r="AC611" t="s">
        <v>2510</v>
      </c>
      <c r="AD611" s="28">
        <v>5</v>
      </c>
      <c r="AE611" s="2" t="s">
        <v>70</v>
      </c>
      <c r="AF611" t="str">
        <f>_xlfn.CONCAT(FINI_grouping_for_wheel[[#This Row],[SEFI/Plant]],"/",IF(FINI_grouping_for_wheel[[#This Row],[RESET recipe combination]]&lt;&gt;"",FINI_grouping_for_wheel[[#This Row],[RESET recipe combination]],FINI_grouping_for_wheel[[#This Row],[Recipe Combination]]),"/",FINI_grouping_for_wheel[[#This Row],[Subgroup]])</f>
        <v>4184259/THDP/x/5</v>
      </c>
      <c r="AG6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0.6103842445944085</v>
      </c>
      <c r="AH611">
        <f>_xlfn.LET(_xlpm.pct, FINI_grouping_for_wheel[[#This Row],[% forecast within subgroup]], _xlpm.lote, FINI_grouping_for_wheel[[#This Row],[Lot size considered]], _xlpm.pct*_xlpm.lote)</f>
        <v>5165.337524156254</v>
      </c>
      <c r="AI611" cm="1">
        <f t="array" aca="1" ref="AI611" ca="1">IFERROR(INDIRECT("FINI_grouping_for_wheel[@["&amp;FINI_grouping_for_wheel[[#This Row],[Selected PV]]&amp;"]]"),"")</f>
        <v>438</v>
      </c>
      <c r="AJ61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20.6</v>
      </c>
      <c r="AL611" s="4"/>
      <c r="AM61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438</v>
      </c>
      <c r="AN61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462</v>
      </c>
      <c r="AO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1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11" t="str">
        <f>_xlfn.CONCAT(FINI_grouping_for_wheel[[#This Row],[Recipe Combination]],FINI_grouping_for_wheel[[#This Row],[Subgroup]])</f>
        <v>45</v>
      </c>
    </row>
    <row r="612" spans="1:55" hidden="1">
      <c r="A612" t="s">
        <v>10</v>
      </c>
      <c r="B612">
        <v>4184259</v>
      </c>
      <c r="C612" t="s">
        <v>2506</v>
      </c>
      <c r="D612">
        <v>8462.43586708</v>
      </c>
      <c r="E612">
        <v>45</v>
      </c>
      <c r="F612">
        <v>0.9</v>
      </c>
      <c r="G612" t="s">
        <v>2511</v>
      </c>
      <c r="H612" t="s">
        <v>2512</v>
      </c>
      <c r="I612">
        <v>375</v>
      </c>
      <c r="J612" t="s">
        <v>90</v>
      </c>
      <c r="K612" t="s">
        <v>2513</v>
      </c>
      <c r="L612" t="s">
        <v>2514</v>
      </c>
      <c r="M612">
        <v>8891.12655</v>
      </c>
      <c r="N612">
        <v>35.5645062</v>
      </c>
      <c r="O612">
        <v>15645.304575</v>
      </c>
      <c r="P612">
        <v>377205.155955</v>
      </c>
      <c r="Q612">
        <v>0.56829360575104049</v>
      </c>
      <c r="R612">
        <v>4809.14819234</v>
      </c>
      <c r="S612" t="s">
        <v>2187</v>
      </c>
      <c r="T612" t="s">
        <v>93</v>
      </c>
      <c r="U612">
        <v>2.5</v>
      </c>
      <c r="V612" t="s">
        <v>105</v>
      </c>
      <c r="W612" t="s">
        <v>95</v>
      </c>
      <c r="X612" t="s">
        <v>106</v>
      </c>
      <c r="Y612" s="23" t="s">
        <v>107</v>
      </c>
      <c r="AA612">
        <v>238</v>
      </c>
      <c r="AB612" t="s">
        <v>2515</v>
      </c>
      <c r="AC612" t="s">
        <v>2510</v>
      </c>
      <c r="AD612" s="2">
        <v>6</v>
      </c>
      <c r="AE612" s="2" t="s">
        <v>70</v>
      </c>
      <c r="AF612" t="str">
        <f>_xlfn.CONCAT(FINI_grouping_for_wheel[[#This Row],[SEFI/Plant]],"/",IF(FINI_grouping_for_wheel[[#This Row],[RESET recipe combination]]&lt;&gt;"",FINI_grouping_for_wheel[[#This Row],[RESET recipe combination]],FINI_grouping_for_wheel[[#This Row],[Recipe Combination]]),"/",FINI_grouping_for_wheel[[#This Row],[Subgroup]])</f>
        <v>4184259/THDP/x/6</v>
      </c>
      <c r="AG6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0.5682936057510405</v>
      </c>
      <c r="AH612">
        <f>_xlfn.LET(_xlpm.pct, FINI_grouping_for_wheel[[#This Row],[% forecast within subgroup]], _xlpm.lote, FINI_grouping_for_wheel[[#This Row],[Lot size considered]], _xlpm.pct*_xlpm.lote)</f>
        <v>4809.148192339826</v>
      </c>
      <c r="AI612" cm="1">
        <f t="array" aca="1" ref="AI612" ca="1">IFERROR(INDIRECT("FINI_grouping_for_wheel[@["&amp;FINI_grouping_for_wheel[[#This Row],[Selected PV]]&amp;"]]"),"")</f>
        <v>241</v>
      </c>
      <c r="AJ61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26.8</v>
      </c>
      <c r="AL612" s="4"/>
      <c r="AM61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241</v>
      </c>
      <c r="AN61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254</v>
      </c>
      <c r="AO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1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12" t="str">
        <f>_xlfn.CONCAT(FINI_grouping_for_wheel[[#This Row],[Recipe Combination]],FINI_grouping_for_wheel[[#This Row],[Subgroup]])</f>
        <v>:6</v>
      </c>
    </row>
    <row r="613" spans="1:55" hidden="1">
      <c r="A613" t="s">
        <v>10</v>
      </c>
      <c r="B613">
        <v>4184259</v>
      </c>
      <c r="C613" t="s">
        <v>2506</v>
      </c>
      <c r="D613">
        <v>8462.43586708</v>
      </c>
      <c r="E613">
        <v>45</v>
      </c>
      <c r="F613">
        <v>0.9</v>
      </c>
      <c r="G613" t="s">
        <v>2516</v>
      </c>
      <c r="H613" t="s">
        <v>2517</v>
      </c>
      <c r="I613">
        <v>375</v>
      </c>
      <c r="J613" t="s">
        <v>90</v>
      </c>
      <c r="K613" t="s">
        <v>2518</v>
      </c>
      <c r="L613" t="s">
        <v>2519</v>
      </c>
      <c r="M613">
        <v>3226.141125</v>
      </c>
      <c r="N613">
        <v>12.9045645</v>
      </c>
      <c r="O613">
        <v>15645.304575</v>
      </c>
      <c r="P613">
        <v>377205.155955</v>
      </c>
      <c r="Q613">
        <v>0.20620506999621643</v>
      </c>
      <c r="R613">
        <v>1744.99718031</v>
      </c>
      <c r="S613" t="s">
        <v>2187</v>
      </c>
      <c r="T613" t="s">
        <v>93</v>
      </c>
      <c r="U613">
        <v>2.5</v>
      </c>
      <c r="V613" t="s">
        <v>105</v>
      </c>
      <c r="W613" t="s">
        <v>95</v>
      </c>
      <c r="X613" t="s">
        <v>106</v>
      </c>
      <c r="Y613" s="23" t="s">
        <v>107</v>
      </c>
      <c r="AA613">
        <v>656</v>
      </c>
      <c r="AB613" t="s">
        <v>2520</v>
      </c>
      <c r="AC613" t="s">
        <v>2510</v>
      </c>
      <c r="AD613" s="2">
        <v>6</v>
      </c>
      <c r="AE613" s="2" t="s">
        <v>70</v>
      </c>
      <c r="AF613" t="str">
        <f>_xlfn.CONCAT(FINI_grouping_for_wheel[[#This Row],[SEFI/Plant]],"/",IF(FINI_grouping_for_wheel[[#This Row],[RESET recipe combination]]&lt;&gt;"",FINI_grouping_for_wheel[[#This Row],[RESET recipe combination]],FINI_grouping_for_wheel[[#This Row],[Recipe Combination]]),"/",FINI_grouping_for_wheel[[#This Row],[Subgroup]])</f>
        <v>4184259/THDP/x/6</v>
      </c>
      <c r="AG6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0.2062050699962164</v>
      </c>
      <c r="AH613">
        <f>_xlfn.LET(_xlpm.pct, FINI_grouping_for_wheel[[#This Row],[% forecast within subgroup]], _xlpm.lote, FINI_grouping_for_wheel[[#This Row],[Lot size considered]], _xlpm.pct*_xlpm.lote)</f>
        <v>1744.9971803097235</v>
      </c>
      <c r="AI613" cm="1">
        <f t="array" aca="1" ref="AI613" ca="1">IFERROR(INDIRECT("FINI_grouping_for_wheel[@["&amp;FINI_grouping_for_wheel[[#This Row],[Selected PV]]&amp;"]]"),"")</f>
        <v>241</v>
      </c>
      <c r="AJ61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9.7</v>
      </c>
      <c r="AL613" s="4"/>
      <c r="AM61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241</v>
      </c>
      <c r="AN61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254</v>
      </c>
      <c r="AO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1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13" t="str">
        <f>_xlfn.CONCAT(FINI_grouping_for_wheel[[#This Row],[Recipe Combination]],FINI_grouping_for_wheel[[#This Row],[Subgroup]])</f>
        <v>:6</v>
      </c>
    </row>
    <row r="614" spans="1:55" hidden="1">
      <c r="A614" t="s">
        <v>10</v>
      </c>
      <c r="B614">
        <v>4184259</v>
      </c>
      <c r="C614" t="s">
        <v>2506</v>
      </c>
      <c r="D614">
        <v>8462.43586708</v>
      </c>
      <c r="E614">
        <v>45</v>
      </c>
      <c r="F614">
        <v>0.9</v>
      </c>
      <c r="G614" t="s">
        <v>2521</v>
      </c>
      <c r="H614" t="s">
        <v>2522</v>
      </c>
      <c r="I614">
        <v>375</v>
      </c>
      <c r="J614" t="s">
        <v>90</v>
      </c>
      <c r="K614" t="s">
        <v>1216</v>
      </c>
      <c r="L614" t="s">
        <v>1217</v>
      </c>
      <c r="M614">
        <v>3528.0369</v>
      </c>
      <c r="N614">
        <v>14.1121476</v>
      </c>
      <c r="O614">
        <v>15645.304575</v>
      </c>
      <c r="P614">
        <v>377205.155955</v>
      </c>
      <c r="Q614">
        <v>0.22550132425274311</v>
      </c>
      <c r="R614">
        <v>1908.29049443</v>
      </c>
      <c r="S614" t="s">
        <v>2187</v>
      </c>
      <c r="T614" t="s">
        <v>93</v>
      </c>
      <c r="U614">
        <v>2.5</v>
      </c>
      <c r="V614" t="s">
        <v>105</v>
      </c>
      <c r="W614" t="s">
        <v>142</v>
      </c>
      <c r="X614" t="s">
        <v>106</v>
      </c>
      <c r="Y614" s="23" t="s">
        <v>107</v>
      </c>
      <c r="AA614">
        <v>600</v>
      </c>
      <c r="AB614" t="s">
        <v>2523</v>
      </c>
      <c r="AC614" t="s">
        <v>2510</v>
      </c>
      <c r="AD614" s="2">
        <v>6</v>
      </c>
      <c r="AE614" s="2" t="s">
        <v>70</v>
      </c>
      <c r="AF614" t="str">
        <f>_xlfn.CONCAT(FINI_grouping_for_wheel[[#This Row],[SEFI/Plant]],"/",IF(FINI_grouping_for_wheel[[#This Row],[RESET recipe combination]]&lt;&gt;"",FINI_grouping_for_wheel[[#This Row],[RESET recipe combination]],FINI_grouping_for_wheel[[#This Row],[Recipe Combination]]),"/",FINI_grouping_for_wheel[[#This Row],[Subgroup]])</f>
        <v>4184259/THDP/x/6</v>
      </c>
      <c r="AG6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0.22550132425274308</v>
      </c>
      <c r="AH614">
        <f>_xlfn.LET(_xlpm.pct, FINI_grouping_for_wheel[[#This Row],[% forecast within subgroup]], _xlpm.lote, FINI_grouping_for_wheel[[#This Row],[Lot size considered]], _xlpm.pct*_xlpm.lote)</f>
        <v>1908.29049443045</v>
      </c>
      <c r="AI614" cm="1">
        <f t="array" aca="1" ref="AI614" ca="1">IFERROR(INDIRECT("FINI_grouping_for_wheel[@["&amp;FINI_grouping_for_wheel[[#This Row],[Selected PV]]&amp;"]]"),"")</f>
        <v>241</v>
      </c>
      <c r="AJ61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10.7</v>
      </c>
      <c r="AL614" s="4"/>
      <c r="AM61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241</v>
      </c>
      <c r="AN61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254</v>
      </c>
      <c r="AO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1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14" t="str">
        <f>_xlfn.CONCAT(FINI_grouping_for_wheel[[#This Row],[Recipe Combination]],FINI_grouping_for_wheel[[#This Row],[Subgroup]])</f>
        <v>:6</v>
      </c>
    </row>
    <row r="615" spans="1:55" hidden="1">
      <c r="A615" t="s">
        <v>10</v>
      </c>
      <c r="B615">
        <v>4184259</v>
      </c>
      <c r="C615" t="s">
        <v>2506</v>
      </c>
      <c r="D615">
        <v>8462.43586708</v>
      </c>
      <c r="E615">
        <v>45</v>
      </c>
      <c r="F615">
        <v>0.9</v>
      </c>
      <c r="G615" t="s">
        <v>2524</v>
      </c>
      <c r="H615" t="s">
        <v>2525</v>
      </c>
      <c r="I615">
        <v>360</v>
      </c>
      <c r="J615" t="s">
        <v>90</v>
      </c>
      <c r="K615" t="s">
        <v>2526</v>
      </c>
      <c r="L615" t="s">
        <v>2527</v>
      </c>
      <c r="M615">
        <v>17444.840175</v>
      </c>
      <c r="N615">
        <v>69.7793607</v>
      </c>
      <c r="O615">
        <v>17444.840175</v>
      </c>
      <c r="P615">
        <v>377205.155955</v>
      </c>
      <c r="Q615">
        <v>1</v>
      </c>
      <c r="R615">
        <v>8462.43586708</v>
      </c>
      <c r="S615" t="s">
        <v>2528</v>
      </c>
      <c r="T615" t="s">
        <v>93</v>
      </c>
      <c r="U615">
        <v>5</v>
      </c>
      <c r="V615" t="s">
        <v>1840</v>
      </c>
      <c r="W615" t="s">
        <v>159</v>
      </c>
      <c r="X615" t="s">
        <v>106</v>
      </c>
      <c r="Y615" s="23" t="s">
        <v>483</v>
      </c>
      <c r="AA615">
        <v>121</v>
      </c>
      <c r="AB615" t="s">
        <v>2529</v>
      </c>
      <c r="AC615" t="s">
        <v>2510</v>
      </c>
      <c r="AD615" s="2">
        <v>4</v>
      </c>
      <c r="AE615" s="2" t="s">
        <v>70</v>
      </c>
      <c r="AF615" t="str">
        <f>_xlfn.CONCAT(FINI_grouping_for_wheel[[#This Row],[SEFI/Plant]],"/",IF(FINI_grouping_for_wheel[[#This Row],[RESET recipe combination]]&lt;&gt;"",FINI_grouping_for_wheel[[#This Row],[RESET recipe combination]],FINI_grouping_for_wheel[[#This Row],[Recipe Combination]]),"/",FINI_grouping_for_wheel[[#This Row],[Subgroup]])</f>
        <v>4184259/THDP/x/4</v>
      </c>
      <c r="AG6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0.44552958606718474</v>
      </c>
      <c r="AH615">
        <f>_xlfn.LET(_xlpm.pct, FINI_grouping_for_wheel[[#This Row],[% forecast within subgroup]], _xlpm.lote, FINI_grouping_for_wheel[[#This Row],[Lot size considered]], _xlpm.pct*_xlpm.lote)</f>
        <v>3770.2655489802496</v>
      </c>
      <c r="AI615" cm="1">
        <f t="array" aca="1" ref="AI615" ca="1">IFERROR(INDIRECT("FINI_grouping_for_wheel[@["&amp;FINI_grouping_for_wheel[[#This Row],[Selected PV]]&amp;"]]"),"")</f>
        <v>96</v>
      </c>
      <c r="AJ61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21.9</v>
      </c>
      <c r="AL615" s="4"/>
      <c r="AM61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61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101</v>
      </c>
      <c r="AO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1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15" t="str">
        <f>_xlfn.CONCAT(FINI_grouping_for_wheel[[#This Row],[Recipe Combination]],FINI_grouping_for_wheel[[#This Row],[Subgroup]])</f>
        <v>;4</v>
      </c>
    </row>
    <row r="616" spans="1:55" hidden="1">
      <c r="A616" t="s">
        <v>10</v>
      </c>
      <c r="B616">
        <v>4184259</v>
      </c>
      <c r="C616" t="s">
        <v>2506</v>
      </c>
      <c r="D616">
        <v>8462.43586708</v>
      </c>
      <c r="E616">
        <v>45</v>
      </c>
      <c r="F616">
        <v>0.9</v>
      </c>
      <c r="G616" t="s">
        <v>2530</v>
      </c>
      <c r="H616" t="s">
        <v>2531</v>
      </c>
      <c r="I616">
        <v>270</v>
      </c>
      <c r="J616" t="s">
        <v>90</v>
      </c>
      <c r="K616" t="s">
        <v>2532</v>
      </c>
      <c r="L616" t="s">
        <v>2533</v>
      </c>
      <c r="M616">
        <v>13330.7703</v>
      </c>
      <c r="N616">
        <v>53.3230812</v>
      </c>
      <c r="O616">
        <v>13330.7703</v>
      </c>
      <c r="P616">
        <v>377205.155955</v>
      </c>
      <c r="Q616">
        <v>1</v>
      </c>
      <c r="R616">
        <v>8462.43586708</v>
      </c>
      <c r="S616" t="s">
        <v>1156</v>
      </c>
      <c r="T616" t="s">
        <v>93</v>
      </c>
      <c r="U616">
        <v>10</v>
      </c>
      <c r="V616" t="s">
        <v>158</v>
      </c>
      <c r="W616" t="s">
        <v>159</v>
      </c>
      <c r="X616" t="s">
        <v>96</v>
      </c>
      <c r="Y616" s="23" t="s">
        <v>97</v>
      </c>
      <c r="AA616">
        <v>159</v>
      </c>
      <c r="AB616" t="s">
        <v>2534</v>
      </c>
      <c r="AC616" t="s">
        <v>2510</v>
      </c>
      <c r="AD616" s="2">
        <v>3</v>
      </c>
      <c r="AE616" s="2" t="s">
        <v>70</v>
      </c>
      <c r="AF616" t="str">
        <f>_xlfn.CONCAT(FINI_grouping_for_wheel[[#This Row],[SEFI/Plant]],"/",IF(FINI_grouping_for_wheel[[#This Row],[RESET recipe combination]]&lt;&gt;"",FINI_grouping_for_wheel[[#This Row],[RESET recipe combination]],FINI_grouping_for_wheel[[#This Row],[Recipe Combination]]),"/",FINI_grouping_for_wheel[[#This Row],[Subgroup]])</f>
        <v>4184259/THDP/x/3</v>
      </c>
      <c r="AG6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0.7506666666666666</v>
      </c>
      <c r="AH616">
        <f>_xlfn.LET(_xlpm.pct, FINI_grouping_for_wheel[[#This Row],[% forecast within subgroup]], _xlpm.lote, FINI_grouping_for_wheel[[#This Row],[Lot size considered]], _xlpm.pct*_xlpm.lote)</f>
        <v>6352.468524221385</v>
      </c>
      <c r="AI616" cm="1">
        <f t="array" aca="1" ref="AI616" ca="1">IFERROR(INDIRECT("FINI_grouping_for_wheel[@["&amp;FINI_grouping_for_wheel[[#This Row],[Selected PV]]&amp;"]]"),"")</f>
        <v>212</v>
      </c>
      <c r="AJ61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49.2</v>
      </c>
      <c r="AL616" s="4"/>
      <c r="AM61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212</v>
      </c>
      <c r="AN61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224</v>
      </c>
      <c r="AO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1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16" t="str">
        <f>_xlfn.CONCAT(FINI_grouping_for_wheel[[#This Row],[Recipe Combination]],FINI_grouping_for_wheel[[#This Row],[Subgroup]])</f>
        <v>B3</v>
      </c>
    </row>
    <row r="617" spans="1:55" hidden="1">
      <c r="A617" t="s">
        <v>10</v>
      </c>
      <c r="B617">
        <v>4184259</v>
      </c>
      <c r="C617" t="s">
        <v>2506</v>
      </c>
      <c r="D617">
        <v>8462.43586708</v>
      </c>
      <c r="E617">
        <v>45</v>
      </c>
      <c r="F617">
        <v>0.9</v>
      </c>
      <c r="G617" t="s">
        <v>2535</v>
      </c>
      <c r="H617" t="s">
        <v>2536</v>
      </c>
      <c r="I617">
        <v>360</v>
      </c>
      <c r="J617" t="s">
        <v>90</v>
      </c>
      <c r="K617" t="s">
        <v>2537</v>
      </c>
      <c r="L617" t="s">
        <v>2538</v>
      </c>
      <c r="M617">
        <v>2675.6253</v>
      </c>
      <c r="N617">
        <v>10.7025012</v>
      </c>
      <c r="O617">
        <v>2675.6253</v>
      </c>
      <c r="P617">
        <v>377205.155955</v>
      </c>
      <c r="Q617">
        <v>1</v>
      </c>
      <c r="R617">
        <v>8462.43586708</v>
      </c>
      <c r="S617" t="s">
        <v>619</v>
      </c>
      <c r="T617" t="s">
        <v>93</v>
      </c>
      <c r="U617">
        <v>10</v>
      </c>
      <c r="V617" t="s">
        <v>158</v>
      </c>
      <c r="W617" t="s">
        <v>159</v>
      </c>
      <c r="X617" t="s">
        <v>96</v>
      </c>
      <c r="Y617" s="23" t="s">
        <v>97</v>
      </c>
      <c r="AA617">
        <v>791</v>
      </c>
      <c r="AB617" t="s">
        <v>2539</v>
      </c>
      <c r="AC617" t="s">
        <v>2510</v>
      </c>
      <c r="AD617" s="2">
        <v>3</v>
      </c>
      <c r="AE617" s="2" t="s">
        <v>70</v>
      </c>
      <c r="AF617" t="str">
        <f>_xlfn.CONCAT(FINI_grouping_for_wheel[[#This Row],[SEFI/Plant]],"/",IF(FINI_grouping_for_wheel[[#This Row],[RESET recipe combination]]&lt;&gt;"",FINI_grouping_for_wheel[[#This Row],[RESET recipe combination]],FINI_grouping_for_wheel[[#This Row],[Recipe Combination]]),"/",FINI_grouping_for_wheel[[#This Row],[Subgroup]])</f>
        <v>4184259/THDP/x/3</v>
      </c>
      <c r="AG6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0.15066666666666667</v>
      </c>
      <c r="AH617">
        <f>_xlfn.LET(_xlpm.pct, FINI_grouping_for_wheel[[#This Row],[% forecast within subgroup]], _xlpm.lote, FINI_grouping_for_wheel[[#This Row],[Lot size considered]], _xlpm.pct*_xlpm.lote)</f>
        <v>1275.0070039733866</v>
      </c>
      <c r="AI617" cm="1">
        <f t="array" aca="1" ref="AI617" ca="1">IFERROR(INDIRECT("FINI_grouping_for_wheel[@["&amp;FINI_grouping_for_wheel[[#This Row],[Selected PV]]&amp;"]]"),"")</f>
        <v>212</v>
      </c>
      <c r="AJ61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7.4</v>
      </c>
      <c r="AL617" s="4"/>
      <c r="AM61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212</v>
      </c>
      <c r="AN61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224</v>
      </c>
      <c r="AO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1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17" t="str">
        <f>_xlfn.CONCAT(FINI_grouping_for_wheel[[#This Row],[Recipe Combination]],FINI_grouping_for_wheel[[#This Row],[Subgroup]])</f>
        <v>J3</v>
      </c>
    </row>
    <row r="618" spans="1:55" hidden="1">
      <c r="A618" t="s">
        <v>10</v>
      </c>
      <c r="B618">
        <v>4184259</v>
      </c>
      <c r="C618" t="s">
        <v>2506</v>
      </c>
      <c r="D618">
        <v>8462.43586708</v>
      </c>
      <c r="E618">
        <v>45</v>
      </c>
      <c r="F618">
        <v>0.9</v>
      </c>
      <c r="G618" t="s">
        <v>2540</v>
      </c>
      <c r="H618" t="s">
        <v>2541</v>
      </c>
      <c r="I618">
        <v>270</v>
      </c>
      <c r="J618" t="s">
        <v>90</v>
      </c>
      <c r="K618" t="s">
        <v>2542</v>
      </c>
      <c r="L618" t="s">
        <v>2543</v>
      </c>
      <c r="M618">
        <v>1752.1794</v>
      </c>
      <c r="N618">
        <v>7.0087176</v>
      </c>
      <c r="O618">
        <v>1752.1794</v>
      </c>
      <c r="P618">
        <v>377205.155955</v>
      </c>
      <c r="Q618">
        <v>1</v>
      </c>
      <c r="R618">
        <v>8462.43586708</v>
      </c>
      <c r="S618" t="s">
        <v>157</v>
      </c>
      <c r="T618" t="s">
        <v>93</v>
      </c>
      <c r="U618">
        <v>10</v>
      </c>
      <c r="V618" t="s">
        <v>158</v>
      </c>
      <c r="W618" t="s">
        <v>159</v>
      </c>
      <c r="X618" t="s">
        <v>96</v>
      </c>
      <c r="Y618" s="23" t="s">
        <v>97</v>
      </c>
      <c r="AA618">
        <v>1207</v>
      </c>
      <c r="AB618" t="s">
        <v>2544</v>
      </c>
      <c r="AC618" t="s">
        <v>2510</v>
      </c>
      <c r="AD618" s="2">
        <v>3</v>
      </c>
      <c r="AE618" s="2" t="s">
        <v>70</v>
      </c>
      <c r="AF618" t="str">
        <f>_xlfn.CONCAT(FINI_grouping_for_wheel[[#This Row],[SEFI/Plant]],"/",IF(FINI_grouping_for_wheel[[#This Row],[RESET recipe combination]]&lt;&gt;"",FINI_grouping_for_wheel[[#This Row],[RESET recipe combination]],FINI_grouping_for_wheel[[#This Row],[Recipe Combination]]),"/",FINI_grouping_for_wheel[[#This Row],[Subgroup]])</f>
        <v>4184259/THDP/x/3</v>
      </c>
      <c r="AG6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0.09866666666666667</v>
      </c>
      <c r="AH618">
        <f>_xlfn.LET(_xlpm.pct, FINI_grouping_for_wheel[[#This Row],[% forecast within subgroup]], _xlpm.lote, FINI_grouping_for_wheel[[#This Row],[Lot size considered]], _xlpm.pct*_xlpm.lote)</f>
        <v>834.9603388852266</v>
      </c>
      <c r="AI618" cm="1">
        <f t="array" aca="1" ref="AI618" ca="1">IFERROR(INDIRECT("FINI_grouping_for_wheel[@["&amp;FINI_grouping_for_wheel[[#This Row],[Selected PV]]&amp;"]]"),"")</f>
        <v>212</v>
      </c>
      <c r="AJ61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6.5</v>
      </c>
      <c r="AL618" s="4"/>
      <c r="AM61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212</v>
      </c>
      <c r="AN61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224</v>
      </c>
      <c r="AO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1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18" t="str">
        <f>_xlfn.CONCAT(FINI_grouping_for_wheel[[#This Row],[Recipe Combination]],FINI_grouping_for_wheel[[#This Row],[Subgroup]])</f>
        <v>M3</v>
      </c>
    </row>
    <row r="619" spans="1:55" hidden="1">
      <c r="A619" t="s">
        <v>10</v>
      </c>
      <c r="B619">
        <v>4184259</v>
      </c>
      <c r="C619" t="s">
        <v>2506</v>
      </c>
      <c r="D619">
        <v>8462.43586708</v>
      </c>
      <c r="E619">
        <v>45</v>
      </c>
      <c r="F619">
        <v>0.9</v>
      </c>
      <c r="G619" t="s">
        <v>2545</v>
      </c>
      <c r="H619" t="s">
        <v>2546</v>
      </c>
      <c r="I619">
        <v>300</v>
      </c>
      <c r="J619" t="s">
        <v>90</v>
      </c>
      <c r="K619" t="s">
        <v>440</v>
      </c>
      <c r="L619" t="s">
        <v>441</v>
      </c>
      <c r="M619">
        <v>142.0686</v>
      </c>
      <c r="N619">
        <v>0.5682744</v>
      </c>
      <c r="O619">
        <v>142.0686</v>
      </c>
      <c r="P619">
        <v>377205.155955</v>
      </c>
      <c r="Q619">
        <v>1</v>
      </c>
      <c r="R619">
        <v>8462.43586708</v>
      </c>
      <c r="S619" t="s">
        <v>173</v>
      </c>
      <c r="T619" t="s">
        <v>93</v>
      </c>
      <c r="U619">
        <v>5</v>
      </c>
      <c r="V619" t="s">
        <v>119</v>
      </c>
      <c r="W619" t="s">
        <v>95</v>
      </c>
      <c r="X619" t="s">
        <v>96</v>
      </c>
      <c r="Y619" s="23" t="s">
        <v>120</v>
      </c>
      <c r="AA619">
        <v>14891</v>
      </c>
      <c r="AB619" t="s">
        <v>2547</v>
      </c>
      <c r="AC619" t="s">
        <v>2510</v>
      </c>
      <c r="AD619" s="2">
        <v>7</v>
      </c>
      <c r="AE619" s="2" t="s">
        <v>70</v>
      </c>
      <c r="AF619" t="str">
        <f>_xlfn.CONCAT(FINI_grouping_for_wheel[[#This Row],[SEFI/Plant]],"/",IF(FINI_grouping_for_wheel[[#This Row],[RESET recipe combination]]&lt;&gt;"",FINI_grouping_for_wheel[[#This Row],[RESET recipe combination]],FINI_grouping_for_wheel[[#This Row],[Recipe Combination]]),"/",FINI_grouping_for_wheel[[#This Row],[Subgroup]])</f>
        <v>4184259/THDP/x/7</v>
      </c>
      <c r="AG6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0.010899182561307902</v>
      </c>
      <c r="AH619">
        <f>_xlfn.LET(_xlpm.pct, FINI_grouping_for_wheel[[#This Row],[% forecast within subgroup]], _xlpm.lote, FINI_grouping_for_wheel[[#This Row],[Lot size considered]], _xlpm.pct*_xlpm.lote)</f>
        <v>92.23363342866485</v>
      </c>
      <c r="AI619" cm="1">
        <f t="array" aca="1" ref="AI619" ca="1">IFERROR(INDIRECT("FINI_grouping_for_wheel[@["&amp;FINI_grouping_for_wheel[[#This Row],[Selected PV]]&amp;"]]"),"")</f>
        <v>289</v>
      </c>
      <c r="AJ61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619" s="4"/>
      <c r="AM61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289</v>
      </c>
      <c r="AN619"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305</v>
      </c>
      <c r="AO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1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19" t="str">
        <f>_xlfn.CONCAT(FINI_grouping_for_wheel[[#This Row],[Recipe Combination]],FINI_grouping_for_wheel[[#This Row],[Subgroup]])</f>
        <v>P7</v>
      </c>
    </row>
    <row r="620" spans="1:55" hidden="1">
      <c r="A620" t="s">
        <v>10</v>
      </c>
      <c r="B620">
        <v>4184259</v>
      </c>
      <c r="C620" t="s">
        <v>2506</v>
      </c>
      <c r="D620">
        <v>8462.43586708</v>
      </c>
      <c r="E620">
        <v>45</v>
      </c>
      <c r="F620">
        <v>0.9</v>
      </c>
      <c r="G620" t="s">
        <v>2548</v>
      </c>
      <c r="H620" t="s">
        <v>2549</v>
      </c>
      <c r="I620">
        <v>345</v>
      </c>
      <c r="J620" t="s">
        <v>90</v>
      </c>
      <c r="K620" t="s">
        <v>312</v>
      </c>
      <c r="L620" t="s">
        <v>313</v>
      </c>
      <c r="M620">
        <v>3349.267245</v>
      </c>
      <c r="N620">
        <v>13.39706898</v>
      </c>
      <c r="O620">
        <v>3349.267245</v>
      </c>
      <c r="P620">
        <v>377205.155955</v>
      </c>
      <c r="Q620">
        <v>1</v>
      </c>
      <c r="R620">
        <v>8462.43586708</v>
      </c>
      <c r="S620" t="s">
        <v>356</v>
      </c>
      <c r="T620" t="s">
        <v>93</v>
      </c>
      <c r="U620">
        <v>1</v>
      </c>
      <c r="V620" t="s">
        <v>315</v>
      </c>
      <c r="W620" t="s">
        <v>142</v>
      </c>
      <c r="X620" t="s">
        <v>150</v>
      </c>
      <c r="Y620" s="23" t="s">
        <v>151</v>
      </c>
      <c r="AA620">
        <v>632</v>
      </c>
      <c r="AB620" t="s">
        <v>2550</v>
      </c>
      <c r="AC620" t="s">
        <v>2510</v>
      </c>
      <c r="AD620" s="28">
        <v>5</v>
      </c>
      <c r="AE620" s="2" t="s">
        <v>70</v>
      </c>
      <c r="AF620" t="str">
        <f>_xlfn.CONCAT(FINI_grouping_for_wheel[[#This Row],[SEFI/Plant]],"/",IF(FINI_grouping_for_wheel[[#This Row],[RESET recipe combination]]&lt;&gt;"",FINI_grouping_for_wheel[[#This Row],[RESET recipe combination]],FINI_grouping_for_wheel[[#This Row],[Recipe Combination]]),"/",FINI_grouping_for_wheel[[#This Row],[Subgroup]])</f>
        <v>4184259/THDP/x/5</v>
      </c>
      <c r="AG6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0.38961575540559157</v>
      </c>
      <c r="AH620">
        <f>_xlfn.LET(_xlpm.pct, FINI_grouping_for_wheel[[#This Row],[% forecast within subgroup]], _xlpm.lote, FINI_grouping_for_wheel[[#This Row],[Lot size considered]], _xlpm.pct*_xlpm.lote)</f>
        <v>3297.0983429237463</v>
      </c>
      <c r="AI620" cm="1">
        <f t="array" aca="1" ref="AI620" ca="1">IFERROR(INDIRECT("FINI_grouping_for_wheel[@["&amp;FINI_grouping_for_wheel[[#This Row],[Selected PV]]&amp;"]]"),"")</f>
        <v>438</v>
      </c>
      <c r="AJ62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v>
      </c>
      <c r="AL620" s="4"/>
      <c r="AM62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438</v>
      </c>
      <c r="AN620"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462</v>
      </c>
      <c r="AO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2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20" t="str">
        <f>_xlfn.CONCAT(FINI_grouping_for_wheel[[#This Row],[Recipe Combination]],FINI_grouping_for_wheel[[#This Row],[Subgroup]])</f>
        <v>R5</v>
      </c>
    </row>
    <row r="621" spans="1:55" hidden="1">
      <c r="A621" t="s">
        <v>10</v>
      </c>
      <c r="B621">
        <v>4184259</v>
      </c>
      <c r="C621" t="s">
        <v>2506</v>
      </c>
      <c r="D621">
        <v>8462.43586708</v>
      </c>
      <c r="E621">
        <v>45</v>
      </c>
      <c r="F621">
        <v>0.9</v>
      </c>
      <c r="G621" t="s">
        <v>2551</v>
      </c>
      <c r="H621" t="s">
        <v>2552</v>
      </c>
      <c r="I621">
        <v>320</v>
      </c>
      <c r="J621" t="s">
        <v>90</v>
      </c>
      <c r="K621" t="s">
        <v>2553</v>
      </c>
      <c r="L621" t="s">
        <v>2554</v>
      </c>
      <c r="M621">
        <v>4895.447175</v>
      </c>
      <c r="N621">
        <v>19.5817887</v>
      </c>
      <c r="O621">
        <v>21710.44989</v>
      </c>
      <c r="P621">
        <v>377205.155955</v>
      </c>
      <c r="Q621">
        <v>0.22548805758534191</v>
      </c>
      <c r="R621">
        <v>1908.17822611</v>
      </c>
      <c r="S621" t="s">
        <v>195</v>
      </c>
      <c r="T621" t="s">
        <v>93</v>
      </c>
      <c r="U621">
        <v>5</v>
      </c>
      <c r="V621" t="s">
        <v>657</v>
      </c>
      <c r="W621" t="s">
        <v>142</v>
      </c>
      <c r="X621" t="s">
        <v>106</v>
      </c>
      <c r="Y621" s="23" t="s">
        <v>107</v>
      </c>
      <c r="AA621">
        <v>432</v>
      </c>
      <c r="AB621" t="s">
        <v>2555</v>
      </c>
      <c r="AC621" t="s">
        <v>2510</v>
      </c>
      <c r="AD621" s="2">
        <v>4</v>
      </c>
      <c r="AE621" s="2" t="s">
        <v>70</v>
      </c>
      <c r="AF621" t="str">
        <f>_xlfn.CONCAT(FINI_grouping_for_wheel[[#This Row],[SEFI/Plant]],"/",IF(FINI_grouping_for_wheel[[#This Row],[RESET recipe combination]]&lt;&gt;"",FINI_grouping_for_wheel[[#This Row],[RESET recipe combination]],FINI_grouping_for_wheel[[#This Row],[Recipe Combination]]),"/",FINI_grouping_for_wheel[[#This Row],[Subgroup]])</f>
        <v>4184259/THDP/x/4</v>
      </c>
      <c r="AG6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0.12502645662625103</v>
      </c>
      <c r="AH621">
        <f>_xlfn.LET(_xlpm.pct, FINI_grouping_for_wheel[[#This Row],[% forecast within subgroup]], _xlpm.lote, FINI_grouping_for_wheel[[#This Row],[Lot size considered]], _xlpm.pct*_xlpm.lote)</f>
        <v>1058.0283708879085</v>
      </c>
      <c r="AI621" cm="1">
        <f t="array" aca="1" ref="AI621" ca="1">IFERROR(INDIRECT("FINI_grouping_for_wheel[@["&amp;FINI_grouping_for_wheel[[#This Row],[Selected PV]]&amp;"]]"),"")</f>
        <v>96</v>
      </c>
      <c r="AJ62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6.9</v>
      </c>
      <c r="AL621" s="4"/>
      <c r="AM62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621"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101</v>
      </c>
      <c r="AO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2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21" t="str">
        <f>_xlfn.CONCAT(FINI_grouping_for_wheel[[#This Row],[Recipe Combination]],FINI_grouping_for_wheel[[#This Row],[Subgroup]])</f>
        <v>S4</v>
      </c>
    </row>
    <row r="622" spans="1:55" hidden="1">
      <c r="A622" t="s">
        <v>10</v>
      </c>
      <c r="B622">
        <v>4184259</v>
      </c>
      <c r="C622" t="s">
        <v>2506</v>
      </c>
      <c r="D622">
        <v>8462.43586708</v>
      </c>
      <c r="E622">
        <v>45</v>
      </c>
      <c r="F622">
        <v>0.9</v>
      </c>
      <c r="G622" t="s">
        <v>2556</v>
      </c>
      <c r="H622" t="s">
        <v>2557</v>
      </c>
      <c r="I622">
        <v>320</v>
      </c>
      <c r="J622" t="s">
        <v>90</v>
      </c>
      <c r="K622" t="s">
        <v>2558</v>
      </c>
      <c r="L622" t="s">
        <v>2559</v>
      </c>
      <c r="M622">
        <v>1024.077825</v>
      </c>
      <c r="N622">
        <v>4.0963113</v>
      </c>
      <c r="O622">
        <v>21710.44989</v>
      </c>
      <c r="P622">
        <v>377205.155955</v>
      </c>
      <c r="Q622">
        <v>4.716981132075472E-2</v>
      </c>
      <c r="R622">
        <v>399.171503164</v>
      </c>
      <c r="S622" t="s">
        <v>195</v>
      </c>
      <c r="T622" t="s">
        <v>93</v>
      </c>
      <c r="U622">
        <v>5</v>
      </c>
      <c r="V622" t="s">
        <v>657</v>
      </c>
      <c r="W622" t="s">
        <v>95</v>
      </c>
      <c r="X622" t="s">
        <v>106</v>
      </c>
      <c r="Y622" s="23" t="s">
        <v>107</v>
      </c>
      <c r="AA622">
        <v>2066</v>
      </c>
      <c r="AB622" t="s">
        <v>2560</v>
      </c>
      <c r="AC622" t="s">
        <v>2510</v>
      </c>
      <c r="AD622" s="2">
        <v>4</v>
      </c>
      <c r="AE622" s="2" t="s">
        <v>70</v>
      </c>
      <c r="AF622" t="str">
        <f>_xlfn.CONCAT(FINI_grouping_for_wheel[[#This Row],[SEFI/Plant]],"/",IF(FINI_grouping_for_wheel[[#This Row],[RESET recipe combination]]&lt;&gt;"",FINI_grouping_for_wheel[[#This Row],[RESET recipe combination]],FINI_grouping_for_wheel[[#This Row],[Recipe Combination]]),"/",FINI_grouping_for_wheel[[#This Row],[Subgroup]])</f>
        <v>4184259/THDP/x/4</v>
      </c>
      <c r="AG6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0.026154264808151667</v>
      </c>
      <c r="AH622">
        <f>_xlfn.LET(_xlpm.pct, FINI_grouping_for_wheel[[#This Row],[% forecast within subgroup]], _xlpm.lote, FINI_grouping_for_wheel[[#This Row],[Lot size considered]], _xlpm.pct*_xlpm.lote)</f>
        <v>221.32878858961087</v>
      </c>
      <c r="AI622" cm="1">
        <f t="array" aca="1" ref="AI622" ca="1">IFERROR(INDIRECT("FINI_grouping_for_wheel[@["&amp;FINI_grouping_for_wheel[[#This Row],[Selected PV]]&amp;"]]"),"")</f>
        <v>96</v>
      </c>
      <c r="AJ62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v>
      </c>
      <c r="AL622" s="4"/>
      <c r="AM62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622"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101</v>
      </c>
      <c r="AO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2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22" t="str">
        <f>_xlfn.CONCAT(FINI_grouping_for_wheel[[#This Row],[Recipe Combination]],FINI_grouping_for_wheel[[#This Row],[Subgroup]])</f>
        <v>S4</v>
      </c>
    </row>
    <row r="623" spans="1:55" hidden="1">
      <c r="A623" t="s">
        <v>10</v>
      </c>
      <c r="B623">
        <v>4184259</v>
      </c>
      <c r="C623" t="s">
        <v>2506</v>
      </c>
      <c r="D623">
        <v>8462.43586708</v>
      </c>
      <c r="E623">
        <v>45</v>
      </c>
      <c r="F623">
        <v>0.9</v>
      </c>
      <c r="G623" t="s">
        <v>2561</v>
      </c>
      <c r="H623" t="s">
        <v>2562</v>
      </c>
      <c r="I623">
        <v>384</v>
      </c>
      <c r="J623" t="s">
        <v>90</v>
      </c>
      <c r="K623" t="s">
        <v>2563</v>
      </c>
      <c r="L623" t="s">
        <v>2564</v>
      </c>
      <c r="M623">
        <v>15790.92489</v>
      </c>
      <c r="N623">
        <v>63.16369956</v>
      </c>
      <c r="O623">
        <v>21710.44989</v>
      </c>
      <c r="P623">
        <v>377205.155955</v>
      </c>
      <c r="Q623">
        <v>0.72734213109390333</v>
      </c>
      <c r="R623">
        <v>6155.08613781</v>
      </c>
      <c r="S623" t="s">
        <v>195</v>
      </c>
      <c r="T623" t="s">
        <v>93</v>
      </c>
      <c r="U623">
        <v>6</v>
      </c>
      <c r="V623" t="s">
        <v>657</v>
      </c>
      <c r="W623" t="s">
        <v>95</v>
      </c>
      <c r="X623" t="s">
        <v>106</v>
      </c>
      <c r="Y623" s="23" t="s">
        <v>107</v>
      </c>
      <c r="AA623">
        <v>134</v>
      </c>
      <c r="AB623" t="s">
        <v>2565</v>
      </c>
      <c r="AC623" t="s">
        <v>2510</v>
      </c>
      <c r="AD623" s="2">
        <v>4</v>
      </c>
      <c r="AE623" s="2" t="s">
        <v>70</v>
      </c>
      <c r="AF623" t="str">
        <f>_xlfn.CONCAT(FINI_grouping_for_wheel[[#This Row],[SEFI/Plant]],"/",IF(FINI_grouping_for_wheel[[#This Row],[RESET recipe combination]]&lt;&gt;"",FINI_grouping_for_wheel[[#This Row],[RESET recipe combination]],FINI_grouping_for_wheel[[#This Row],[Recipe Combination]]),"/",FINI_grouping_for_wheel[[#This Row],[Subgroup]])</f>
        <v>4184259/THDP/x/4</v>
      </c>
      <c r="AG6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0.4032896924984126</v>
      </c>
      <c r="AH623">
        <f>_xlfn.LET(_xlpm.pct, FINI_grouping_for_wheel[[#This Row],[% forecast within subgroup]], _xlpm.lote, FINI_grouping_for_wheel[[#This Row],[Lot size considered]], _xlpm.pct*_xlpm.lote)</f>
        <v>3412.8131586222307</v>
      </c>
      <c r="AI623" cm="1">
        <f t="array" aca="1" ref="AI623" ca="1">IFERROR(INDIRECT("FINI_grouping_for_wheel[@["&amp;FINI_grouping_for_wheel[[#This Row],[Selected PV]]&amp;"]]"),"")</f>
        <v>96</v>
      </c>
      <c r="AJ62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18.6</v>
      </c>
      <c r="AL623" s="4"/>
      <c r="AM62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96</v>
      </c>
      <c r="AN623"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101</v>
      </c>
      <c r="AO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2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23" t="str">
        <f>_xlfn.CONCAT(FINI_grouping_for_wheel[[#This Row],[Recipe Combination]],FINI_grouping_for_wheel[[#This Row],[Subgroup]])</f>
        <v>S4</v>
      </c>
    </row>
    <row r="624" spans="1:55" hidden="1">
      <c r="A624" t="s">
        <v>10</v>
      </c>
      <c r="B624">
        <v>4184259</v>
      </c>
      <c r="C624" t="s">
        <v>2506</v>
      </c>
      <c r="D624">
        <v>8462.43586708</v>
      </c>
      <c r="E624">
        <v>45</v>
      </c>
      <c r="F624">
        <v>0.9</v>
      </c>
      <c r="G624" t="s">
        <v>2566</v>
      </c>
      <c r="H624" t="s">
        <v>2567</v>
      </c>
      <c r="I624">
        <v>240</v>
      </c>
      <c r="J624" t="s">
        <v>90</v>
      </c>
      <c r="K624" t="s">
        <v>2568</v>
      </c>
      <c r="L624" t="s">
        <v>2569</v>
      </c>
      <c r="M624">
        <v>7192.222875</v>
      </c>
      <c r="N624">
        <v>28.7688915</v>
      </c>
      <c r="O624">
        <v>12892.72545</v>
      </c>
      <c r="P624">
        <v>377205.155955</v>
      </c>
      <c r="Q624">
        <v>0.55785123966942152</v>
      </c>
      <c r="R624">
        <v>4720.78033907</v>
      </c>
      <c r="S624" t="s">
        <v>207</v>
      </c>
      <c r="T624" t="s">
        <v>93</v>
      </c>
      <c r="U624">
        <v>5</v>
      </c>
      <c r="V624" t="s">
        <v>196</v>
      </c>
      <c r="W624" t="s">
        <v>95</v>
      </c>
      <c r="X624" t="s">
        <v>106</v>
      </c>
      <c r="Y624" s="23" t="s">
        <v>107</v>
      </c>
      <c r="AA624">
        <v>294</v>
      </c>
      <c r="AB624" t="s">
        <v>2570</v>
      </c>
      <c r="AC624" t="s">
        <v>2510</v>
      </c>
      <c r="AD624" s="2">
        <v>7</v>
      </c>
      <c r="AE624" s="2" t="s">
        <v>70</v>
      </c>
      <c r="AF624" t="str">
        <f>_xlfn.CONCAT(FINI_grouping_for_wheel[[#This Row],[SEFI/Plant]],"/",IF(FINI_grouping_for_wheel[[#This Row],[RESET recipe combination]]&lt;&gt;"",FINI_grouping_for_wheel[[#This Row],[RESET recipe combination]],FINI_grouping_for_wheel[[#This Row],[Recipe Combination]]),"/",FINI_grouping_for_wheel[[#This Row],[Subgroup]])</f>
        <v>4184259/THDP/x/7</v>
      </c>
      <c r="AG6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0.5517711171662125</v>
      </c>
      <c r="AH624">
        <f>_xlfn.LET(_xlpm.pct, FINI_grouping_for_wheel[[#This Row],[% forecast within subgroup]], _xlpm.lote, FINI_grouping_for_wheel[[#This Row],[Lot size considered]], _xlpm.pct*_xlpm.lote)</f>
        <v>4669.327692326157</v>
      </c>
      <c r="AI624" cm="1">
        <f t="array" aca="1" ref="AI624" ca="1">IFERROR(INDIRECT("FINI_grouping_for_wheel[@["&amp;FINI_grouping_for_wheel[[#This Row],[Selected PV]]&amp;"]]"),"")</f>
        <v>289</v>
      </c>
      <c r="AJ62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40.7</v>
      </c>
      <c r="AL624" s="4"/>
      <c r="AM62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289</v>
      </c>
      <c r="AN624"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305</v>
      </c>
      <c r="AO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2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24" t="str">
        <f>_xlfn.CONCAT(FINI_grouping_for_wheel[[#This Row],[Recipe Combination]],FINI_grouping_for_wheel[[#This Row],[Subgroup]])</f>
        <v>T7</v>
      </c>
    </row>
    <row r="625" spans="1:55" hidden="1">
      <c r="A625" t="s">
        <v>10</v>
      </c>
      <c r="B625">
        <v>4184259</v>
      </c>
      <c r="C625" t="s">
        <v>2506</v>
      </c>
      <c r="D625">
        <v>8462.43586708</v>
      </c>
      <c r="E625">
        <v>45</v>
      </c>
      <c r="F625">
        <v>0.9</v>
      </c>
      <c r="G625" t="s">
        <v>2571</v>
      </c>
      <c r="H625" t="s">
        <v>2572</v>
      </c>
      <c r="I625">
        <v>240</v>
      </c>
      <c r="J625" t="s">
        <v>90</v>
      </c>
      <c r="K625" t="s">
        <v>1221</v>
      </c>
      <c r="L625" t="s">
        <v>1222</v>
      </c>
      <c r="M625">
        <v>5700.502575</v>
      </c>
      <c r="N625">
        <v>22.8020103</v>
      </c>
      <c r="O625">
        <v>12892.72545</v>
      </c>
      <c r="P625">
        <v>377205.155955</v>
      </c>
      <c r="Q625">
        <v>0.44214876033057854</v>
      </c>
      <c r="R625">
        <v>3741.65552801</v>
      </c>
      <c r="S625" t="s">
        <v>207</v>
      </c>
      <c r="T625" t="s">
        <v>93</v>
      </c>
      <c r="U625">
        <v>5</v>
      </c>
      <c r="V625" t="s">
        <v>196</v>
      </c>
      <c r="W625" t="s">
        <v>142</v>
      </c>
      <c r="X625" t="s">
        <v>106</v>
      </c>
      <c r="Y625" s="23" t="s">
        <v>107</v>
      </c>
      <c r="AA625">
        <v>371</v>
      </c>
      <c r="AB625" t="s">
        <v>2573</v>
      </c>
      <c r="AC625" t="s">
        <v>2510</v>
      </c>
      <c r="AD625" s="2">
        <v>7</v>
      </c>
      <c r="AE625" s="2" t="s">
        <v>70</v>
      </c>
      <c r="AF625" t="str">
        <f>_xlfn.CONCAT(FINI_grouping_for_wheel[[#This Row],[SEFI/Plant]],"/",IF(FINI_grouping_for_wheel[[#This Row],[RESET recipe combination]]&lt;&gt;"",FINI_grouping_for_wheel[[#This Row],[RESET recipe combination]],FINI_grouping_for_wheel[[#This Row],[Recipe Combination]]),"/",FINI_grouping_for_wheel[[#This Row],[Subgroup]])</f>
        <v>4184259/THDP/x/7</v>
      </c>
      <c r="AG6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0.4373297002724796</v>
      </c>
      <c r="AH625">
        <f>_xlfn.LET(_xlpm.pct, FINI_grouping_for_wheel[[#This Row],[% forecast within subgroup]], _xlpm.lote, FINI_grouping_for_wheel[[#This Row],[Lot size considered]], _xlpm.pct*_xlpm.lote)</f>
        <v>3700.874541325177</v>
      </c>
      <c r="AI625" cm="1">
        <f t="array" aca="1" ref="AI625" ca="1">IFERROR(INDIRECT("FINI_grouping_for_wheel[@["&amp;FINI_grouping_for_wheel[[#This Row],[Selected PV]]&amp;"]]"),"")</f>
        <v>289</v>
      </c>
      <c r="AJ62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32.3</v>
      </c>
      <c r="AL625" s="4"/>
      <c r="AM62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289</v>
      </c>
      <c r="AN625"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305</v>
      </c>
      <c r="AO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2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25" t="str">
        <f>_xlfn.CONCAT(FINI_grouping_for_wheel[[#This Row],[Recipe Combination]],FINI_grouping_for_wheel[[#This Row],[Subgroup]])</f>
        <v>T7</v>
      </c>
    </row>
    <row r="626" spans="1:55" hidden="1">
      <c r="A626" t="s">
        <v>10</v>
      </c>
      <c r="B626">
        <v>4184259</v>
      </c>
      <c r="C626" t="s">
        <v>2506</v>
      </c>
      <c r="D626">
        <v>8462.43586708</v>
      </c>
      <c r="E626">
        <v>45</v>
      </c>
      <c r="F626">
        <v>0.9</v>
      </c>
      <c r="G626" t="s">
        <v>2574</v>
      </c>
      <c r="H626" t="s">
        <v>2575</v>
      </c>
      <c r="I626">
        <v>288</v>
      </c>
      <c r="J626" t="s">
        <v>90</v>
      </c>
      <c r="K626" t="s">
        <v>2576</v>
      </c>
      <c r="L626" t="s">
        <v>2577</v>
      </c>
      <c r="M626">
        <v>19818.5697</v>
      </c>
      <c r="N626">
        <v>79.2742788</v>
      </c>
      <c r="O626">
        <v>105429.10806</v>
      </c>
      <c r="P626">
        <v>377205.155955</v>
      </c>
      <c r="Q626">
        <v>0.18798005659614608</v>
      </c>
      <c r="R626">
        <v>1590.76917323</v>
      </c>
      <c r="S626" t="s">
        <v>387</v>
      </c>
      <c r="T626" t="s">
        <v>93</v>
      </c>
      <c r="U626">
        <v>12</v>
      </c>
      <c r="V626" t="s">
        <v>238</v>
      </c>
      <c r="W626" t="s">
        <v>95</v>
      </c>
      <c r="X626" t="s">
        <v>96</v>
      </c>
      <c r="Y626" s="23" t="s">
        <v>97</v>
      </c>
      <c r="AA626">
        <v>107</v>
      </c>
      <c r="AB626" t="s">
        <v>2578</v>
      </c>
      <c r="AC626" t="s">
        <v>2510</v>
      </c>
      <c r="AD626" s="2">
        <v>2</v>
      </c>
      <c r="AE626" s="2" t="s">
        <v>70</v>
      </c>
      <c r="AF626" t="str">
        <f>_xlfn.CONCAT(FINI_grouping_for_wheel[[#This Row],[SEFI/Plant]],"/",IF(FINI_grouping_for_wheel[[#This Row],[RESET recipe combination]]&lt;&gt;"",FINI_grouping_for_wheel[[#This Row],[RESET recipe combination]],FINI_grouping_for_wheel[[#This Row],[Recipe Combination]]),"/",FINI_grouping_for_wheel[[#This Row],[Subgroup]])</f>
        <v>4184259/THDP/x/2</v>
      </c>
      <c r="AG6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0.18798005659614608</v>
      </c>
      <c r="AH626">
        <f>_xlfn.LET(_xlpm.pct, FINI_grouping_for_wheel[[#This Row],[% forecast within subgroup]], _xlpm.lote, FINI_grouping_for_wheel[[#This Row],[Lot size considered]], _xlpm.pct*_xlpm.lote)</f>
        <v>1590.769173234955</v>
      </c>
      <c r="AI626" cm="1">
        <f t="array" aca="1" ref="AI626" ca="1">IFERROR(INDIRECT("FINI_grouping_for_wheel[@["&amp;FINI_grouping_for_wheel[[#This Row],[Selected PV]]&amp;"]]"),"")</f>
        <v>36</v>
      </c>
      <c r="AJ62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11.6</v>
      </c>
      <c r="AL626" s="4"/>
      <c r="AM62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36</v>
      </c>
      <c r="AN626"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38</v>
      </c>
      <c r="AO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2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26" t="str">
        <f>_xlfn.CONCAT(FINI_grouping_for_wheel[[#This Row],[Recipe Combination]],FINI_grouping_for_wheel[[#This Row],[Subgroup]])</f>
        <v>X2</v>
      </c>
    </row>
    <row r="627" spans="1:55" hidden="1">
      <c r="A627" t="s">
        <v>10</v>
      </c>
      <c r="B627">
        <v>4184259</v>
      </c>
      <c r="C627" t="s">
        <v>2506</v>
      </c>
      <c r="D627">
        <v>8462.43586708</v>
      </c>
      <c r="E627">
        <v>45</v>
      </c>
      <c r="F627">
        <v>0.9</v>
      </c>
      <c r="G627" t="s">
        <v>2579</v>
      </c>
      <c r="H627" t="s">
        <v>2580</v>
      </c>
      <c r="I627">
        <v>324</v>
      </c>
      <c r="J627" t="s">
        <v>90</v>
      </c>
      <c r="K627" t="s">
        <v>2581</v>
      </c>
      <c r="L627" t="s">
        <v>2582</v>
      </c>
      <c r="M627">
        <v>85610.53836</v>
      </c>
      <c r="N627">
        <v>342.44215344</v>
      </c>
      <c r="O627">
        <v>105429.10806</v>
      </c>
      <c r="P627">
        <v>377205.155955</v>
      </c>
      <c r="Q627">
        <v>0.81201994340385397</v>
      </c>
      <c r="R627">
        <v>6871.66669384</v>
      </c>
      <c r="S627" t="s">
        <v>387</v>
      </c>
      <c r="T627" t="s">
        <v>93</v>
      </c>
      <c r="U627">
        <v>12</v>
      </c>
      <c r="V627" t="s">
        <v>231</v>
      </c>
      <c r="W627" t="s">
        <v>159</v>
      </c>
      <c r="X627" t="s">
        <v>96</v>
      </c>
      <c r="Y627" s="23" t="s">
        <v>97</v>
      </c>
      <c r="AA627">
        <v>25</v>
      </c>
      <c r="AB627" t="s">
        <v>2583</v>
      </c>
      <c r="AC627" t="s">
        <v>2510</v>
      </c>
      <c r="AD627" s="2">
        <v>2</v>
      </c>
      <c r="AE627" s="2" t="s">
        <v>70</v>
      </c>
      <c r="AF627" t="str">
        <f>_xlfn.CONCAT(FINI_grouping_for_wheel[[#This Row],[SEFI/Plant]],"/",IF(FINI_grouping_for_wheel[[#This Row],[RESET recipe combination]]&lt;&gt;"",FINI_grouping_for_wheel[[#This Row],[RESET recipe combination]],FINI_grouping_for_wheel[[#This Row],[Recipe Combination]]),"/",FINI_grouping_for_wheel[[#This Row],[Subgroup]])</f>
        <v>4184259/THDP/x/2</v>
      </c>
      <c r="AG6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0.812019943403854</v>
      </c>
      <c r="AH627">
        <f>_xlfn.LET(_xlpm.pct, FINI_grouping_for_wheel[[#This Row],[% forecast within subgroup]], _xlpm.lote, FINI_grouping_for_wheel[[#This Row],[Lot size considered]], _xlpm.pct*_xlpm.lote)</f>
        <v>6871.666693845045</v>
      </c>
      <c r="AI627" cm="1">
        <f t="array" aca="1" ref="AI627" ca="1">IFERROR(INDIRECT("FINI_grouping_for_wheel[@["&amp;FINI_grouping_for_wheel[[#This Row],[Selected PV]]&amp;"]]"),"")</f>
        <v>36</v>
      </c>
      <c r="AJ62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44.4</v>
      </c>
      <c r="AL627" s="4"/>
      <c r="AM62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36</v>
      </c>
      <c r="AN627"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38</v>
      </c>
      <c r="AO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2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27" t="str">
        <f>_xlfn.CONCAT(FINI_grouping_for_wheel[[#This Row],[Recipe Combination]],FINI_grouping_for_wheel[[#This Row],[Subgroup]])</f>
        <v>X2</v>
      </c>
    </row>
    <row r="628" spans="1:55" hidden="1">
      <c r="A628" t="s">
        <v>10</v>
      </c>
      <c r="B628">
        <v>4184259</v>
      </c>
      <c r="C628" t="s">
        <v>2506</v>
      </c>
      <c r="D628">
        <v>8462.43586708</v>
      </c>
      <c r="E628">
        <v>45</v>
      </c>
      <c r="F628">
        <v>0.9</v>
      </c>
      <c r="G628" t="s">
        <v>2584</v>
      </c>
      <c r="H628" t="s">
        <v>2585</v>
      </c>
      <c r="I628">
        <v>324</v>
      </c>
      <c r="J628" t="s">
        <v>90</v>
      </c>
      <c r="K628" t="s">
        <v>2586</v>
      </c>
      <c r="L628" t="s">
        <v>2587</v>
      </c>
      <c r="M628">
        <v>177585.75</v>
      </c>
      <c r="N628">
        <v>710.343</v>
      </c>
      <c r="O628">
        <v>177585.75</v>
      </c>
      <c r="P628">
        <v>377205.155955</v>
      </c>
      <c r="Q628">
        <v>1</v>
      </c>
      <c r="R628">
        <v>8462.43586708</v>
      </c>
      <c r="S628" t="s">
        <v>237</v>
      </c>
      <c r="T628" t="s">
        <v>93</v>
      </c>
      <c r="U628">
        <v>12</v>
      </c>
      <c r="V628" t="s">
        <v>231</v>
      </c>
      <c r="W628" t="s">
        <v>159</v>
      </c>
      <c r="X628" t="s">
        <v>96</v>
      </c>
      <c r="Y628" s="23" t="s">
        <v>97</v>
      </c>
      <c r="AA628">
        <v>12</v>
      </c>
      <c r="AB628" t="s">
        <v>2588</v>
      </c>
      <c r="AC628" t="s">
        <v>2510</v>
      </c>
      <c r="AD628" s="2">
        <v>1</v>
      </c>
      <c r="AE628" s="2" t="s">
        <v>70</v>
      </c>
      <c r="AF628" t="str">
        <f>_xlfn.CONCAT(FINI_grouping_for_wheel[[#This Row],[SEFI/Plant]],"/",IF(FINI_grouping_for_wheel[[#This Row],[RESET recipe combination]]&lt;&gt;"",FINI_grouping_for_wheel[[#This Row],[RESET recipe combination]],FINI_grouping_for_wheel[[#This Row],[Recipe Combination]]),"/",FINI_grouping_for_wheel[[#This Row],[Subgroup]])</f>
        <v>4184259/THDP/x/1</v>
      </c>
      <c r="AG6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28">
        <f>_xlfn.LET(_xlpm.pct, FINI_grouping_for_wheel[[#This Row],[% forecast within subgroup]], _xlpm.lote, FINI_grouping_for_wheel[[#This Row],[Lot size considered]], _xlpm.pct*_xlpm.lote)</f>
        <v>8462.43586708</v>
      </c>
      <c r="AI628" cm="1">
        <f t="array" aca="1" ref="AI628" ca="1">IFERROR(INDIRECT("FINI_grouping_for_wheel[@["&amp;FINI_grouping_for_wheel[[#This Row],[Selected PV]]&amp;"]]"),"")</f>
        <v>21</v>
      </c>
      <c r="AJ62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17711.2188</v>
      </c>
      <c r="AK6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54.7</v>
      </c>
      <c r="AL628" s="4"/>
      <c r="AM62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628" s="6">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22</v>
      </c>
      <c r="AO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2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28" t="str">
        <f>_xlfn.CONCAT(FINI_grouping_for_wheel[[#This Row],[Recipe Combination]],FINI_grouping_for_wheel[[#This Row],[Subgroup]])</f>
        <v>Y1</v>
      </c>
    </row>
    <row r="629" spans="1:55" hidden="1">
      <c r="A629" t="s">
        <v>11</v>
      </c>
      <c r="B629">
        <v>4963715</v>
      </c>
      <c r="C629" t="s">
        <v>2589</v>
      </c>
      <c r="D629">
        <v>8737.96869958</v>
      </c>
      <c r="E629">
        <v>43</v>
      </c>
      <c r="F629">
        <v>0.86</v>
      </c>
      <c r="G629" t="s">
        <v>2590</v>
      </c>
      <c r="H629" t="s">
        <v>2591</v>
      </c>
      <c r="J629" t="s">
        <v>90</v>
      </c>
      <c r="K629" t="s">
        <v>1096</v>
      </c>
      <c r="L629" t="s">
        <v>1097</v>
      </c>
      <c r="M629">
        <v>28480.01868</v>
      </c>
      <c r="N629">
        <v>113.92007472</v>
      </c>
      <c r="O629">
        <v>126526.29516</v>
      </c>
      <c r="P629">
        <v>368823.108555</v>
      </c>
      <c r="Q629">
        <v>0.22509169848042518</v>
      </c>
      <c r="R629">
        <v>1966.84421586</v>
      </c>
      <c r="S629" t="s">
        <v>471</v>
      </c>
      <c r="T629" t="s">
        <v>93</v>
      </c>
      <c r="U629">
        <v>2.5</v>
      </c>
      <c r="V629" t="s">
        <v>267</v>
      </c>
      <c r="W629" t="s">
        <v>142</v>
      </c>
      <c r="X629" t="s">
        <v>150</v>
      </c>
      <c r="Y629" s="23" t="s">
        <v>151</v>
      </c>
      <c r="AA629">
        <v>77</v>
      </c>
      <c r="AB629" t="s">
        <v>2592</v>
      </c>
      <c r="AC629" t="s">
        <v>2593</v>
      </c>
      <c r="AD629" s="2">
        <v>40</v>
      </c>
      <c r="AE629" s="2" t="s">
        <v>70</v>
      </c>
      <c r="AF629" t="str">
        <f>_xlfn.CONCAT(FINI_grouping_for_wheel[[#This Row],[SEFI/Plant]],"/",IF(FINI_grouping_for_wheel[[#This Row],[RESET recipe combination]]&lt;&gt;"",FINI_grouping_for_wheel[[#This Row],[RESET recipe combination]],FINI_grouping_for_wheel[[#This Row],[Recipe Combination]]),"/",FINI_grouping_for_wheel[[#This Row],[Subgroup]])</f>
        <v>4963715/THDP/x/40</v>
      </c>
      <c r="AG6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0.8283461313315656</v>
      </c>
      <c r="AH629">
        <f>_xlfn.LET(_xlpm.pct, FINI_grouping_for_wheel[[#This Row],[% forecast within subgroup]], _xlpm.lote, FINI_grouping_for_wheel[[#This Row],[Lot size considered]], _xlpm.pct*_xlpm.lote)</f>
        <v>7238.062567993405</v>
      </c>
      <c r="AI629" cm="1">
        <f t="array" aca="1" ref="AI629" ca="1">IFERROR(INDIRECT("FINI_grouping_for_wheel[@["&amp;FINI_grouping_for_wheel[[#This Row],[Selected PV]]&amp;"]]"),"")</f>
        <v>55</v>
      </c>
      <c r="AJ62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62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29" s="4"/>
      <c r="AM62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55</v>
      </c>
      <c r="AN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2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29" t="str">
        <f>_xlfn.CONCAT(FINI_grouping_for_wheel[[#This Row],[Recipe Combination]],FINI_grouping_for_wheel[[#This Row],[Subgroup]])</f>
        <v>40</v>
      </c>
    </row>
    <row r="630" spans="1:55" hidden="1">
      <c r="A630" t="s">
        <v>11</v>
      </c>
      <c r="B630">
        <v>4963715</v>
      </c>
      <c r="C630" t="s">
        <v>2589</v>
      </c>
      <c r="D630">
        <v>8737.96869958</v>
      </c>
      <c r="E630">
        <v>43</v>
      </c>
      <c r="F630">
        <v>0.86</v>
      </c>
      <c r="G630" t="s">
        <v>2594</v>
      </c>
      <c r="H630" t="s">
        <v>2595</v>
      </c>
      <c r="J630" t="s">
        <v>90</v>
      </c>
      <c r="K630" t="s">
        <v>2596</v>
      </c>
      <c r="L630" t="s">
        <v>2597</v>
      </c>
      <c r="M630">
        <v>1906.08705</v>
      </c>
      <c r="N630">
        <v>7.6243482</v>
      </c>
      <c r="O630">
        <v>126526.29516</v>
      </c>
      <c r="P630">
        <v>368823.108555</v>
      </c>
      <c r="Q630">
        <v>1.5064750355565537E-2</v>
      </c>
      <c r="R630">
        <v>131.635317074</v>
      </c>
      <c r="S630" t="s">
        <v>471</v>
      </c>
      <c r="T630" t="s">
        <v>93</v>
      </c>
      <c r="U630">
        <v>0.5</v>
      </c>
      <c r="V630" t="s">
        <v>2598</v>
      </c>
      <c r="W630" t="s">
        <v>142</v>
      </c>
      <c r="X630" t="s">
        <v>150</v>
      </c>
      <c r="Y630" s="23" t="s">
        <v>151</v>
      </c>
      <c r="AA630">
        <v>1146</v>
      </c>
      <c r="AB630" t="s">
        <v>2599</v>
      </c>
      <c r="AC630" t="s">
        <v>2593</v>
      </c>
      <c r="AD630" s="2">
        <v>30</v>
      </c>
      <c r="AE630" s="2" t="s">
        <v>70</v>
      </c>
      <c r="AF630" t="str">
        <f>_xlfn.CONCAT(FINI_grouping_for_wheel[[#This Row],[SEFI/Plant]],"/",IF(FINI_grouping_for_wheel[[#This Row],[RESET recipe combination]]&lt;&gt;"",FINI_grouping_for_wheel[[#This Row],[RESET recipe combination]],FINI_grouping_for_wheel[[#This Row],[Recipe Combination]]),"/",FINI_grouping_for_wheel[[#This Row],[Subgroup]])</f>
        <v>4963715/THDP/x/30</v>
      </c>
      <c r="AG6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0.08859296758928081</v>
      </c>
      <c r="AH630">
        <f>_xlfn.LET(_xlpm.pct, FINI_grouping_for_wheel[[#This Row],[% forecast within subgroup]], _xlpm.lote, FINI_grouping_for_wheel[[#This Row],[Lot size considered]], _xlpm.pct*_xlpm.lote)</f>
        <v>774.1225777980412</v>
      </c>
      <c r="AI630" cm="1">
        <f t="array" aca="1" ref="AI630" ca="1">IFERROR(INDIRECT("FINI_grouping_for_wheel[@["&amp;FINI_grouping_for_wheel[[#This Row],[Selected PV]]&amp;"]]"),"")</f>
        <v>88</v>
      </c>
      <c r="AJ63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63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30" s="4"/>
      <c r="AM63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88</v>
      </c>
      <c r="AN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3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30" t="str">
        <f>_xlfn.CONCAT(FINI_grouping_for_wheel[[#This Row],[Recipe Combination]],FINI_grouping_for_wheel[[#This Row],[Subgroup]])</f>
        <v>30</v>
      </c>
    </row>
    <row r="631" spans="1:55" hidden="1">
      <c r="A631" t="s">
        <v>11</v>
      </c>
      <c r="B631">
        <v>4963715</v>
      </c>
      <c r="C631" t="s">
        <v>2589</v>
      </c>
      <c r="D631">
        <v>8737.96869958</v>
      </c>
      <c r="E631">
        <v>43</v>
      </c>
      <c r="F631">
        <v>0.86</v>
      </c>
      <c r="G631" t="s">
        <v>2600</v>
      </c>
      <c r="H631" t="s">
        <v>2601</v>
      </c>
      <c r="J631" t="s">
        <v>90</v>
      </c>
      <c r="K631" t="s">
        <v>264</v>
      </c>
      <c r="L631" t="s">
        <v>265</v>
      </c>
      <c r="M631">
        <v>790.84854</v>
      </c>
      <c r="N631">
        <v>3.16339416</v>
      </c>
      <c r="O631">
        <v>126526.29516</v>
      </c>
      <c r="P631">
        <v>368823.108555</v>
      </c>
      <c r="Q631">
        <v>6.2504678493899247E-3</v>
      </c>
      <c r="R631">
        <v>54.6163924257</v>
      </c>
      <c r="S631" t="s">
        <v>471</v>
      </c>
      <c r="T631" t="s">
        <v>93</v>
      </c>
      <c r="U631">
        <v>2.5</v>
      </c>
      <c r="V631" t="s">
        <v>267</v>
      </c>
      <c r="W631" t="s">
        <v>142</v>
      </c>
      <c r="X631" t="s">
        <v>150</v>
      </c>
      <c r="Y631" s="23" t="s">
        <v>151</v>
      </c>
      <c r="AA631">
        <v>2762</v>
      </c>
      <c r="AB631" t="s">
        <v>2602</v>
      </c>
      <c r="AC631" t="s">
        <v>2593</v>
      </c>
      <c r="AD631" s="2">
        <v>40</v>
      </c>
      <c r="AE631" s="2" t="s">
        <v>70</v>
      </c>
      <c r="AF631" t="str">
        <f>_xlfn.CONCAT(FINI_grouping_for_wheel[[#This Row],[SEFI/Plant]],"/",IF(FINI_grouping_for_wheel[[#This Row],[RESET recipe combination]]&lt;&gt;"",FINI_grouping_for_wheel[[#This Row],[RESET recipe combination]],FINI_grouping_for_wheel[[#This Row],[Recipe Combination]]),"/",FINI_grouping_for_wheel[[#This Row],[Subgroup]])</f>
        <v>4963715/THDP/x/40</v>
      </c>
      <c r="AG6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0.023001962742329806</v>
      </c>
      <c r="AH631">
        <f>_xlfn.LET(_xlpm.pct, FINI_grouping_for_wheel[[#This Row],[% forecast within subgroup]], _xlpm.lote, FINI_grouping_for_wheel[[#This Row],[Lot size considered]], _xlpm.pct*_xlpm.lote)</f>
        <v>200.99043047138318</v>
      </c>
      <c r="AI631" cm="1">
        <f t="array" aca="1" ref="AI631" ca="1">IFERROR(INDIRECT("FINI_grouping_for_wheel[@["&amp;FINI_grouping_for_wheel[[#This Row],[Selected PV]]&amp;"]]"),"")</f>
        <v>55</v>
      </c>
      <c r="AJ63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63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31" s="4"/>
      <c r="AM63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55</v>
      </c>
      <c r="AN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3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31" t="str">
        <f>_xlfn.CONCAT(FINI_grouping_for_wheel[[#This Row],[Recipe Combination]],FINI_grouping_for_wheel[[#This Row],[Subgroup]])</f>
        <v>40</v>
      </c>
    </row>
    <row r="632" spans="1:55" hidden="1">
      <c r="A632" t="s">
        <v>11</v>
      </c>
      <c r="B632">
        <v>4963715</v>
      </c>
      <c r="C632" t="s">
        <v>2589</v>
      </c>
      <c r="D632">
        <v>8737.96869958</v>
      </c>
      <c r="E632">
        <v>43</v>
      </c>
      <c r="F632">
        <v>0.86</v>
      </c>
      <c r="G632" t="s">
        <v>2603</v>
      </c>
      <c r="H632" t="s">
        <v>2604</v>
      </c>
      <c r="I632">
        <v>330</v>
      </c>
      <c r="J632" t="s">
        <v>90</v>
      </c>
      <c r="K632" t="s">
        <v>312</v>
      </c>
      <c r="L632" t="s">
        <v>313</v>
      </c>
      <c r="M632">
        <v>12541.105665</v>
      </c>
      <c r="N632">
        <v>50.16442266</v>
      </c>
      <c r="O632">
        <v>126526.29516</v>
      </c>
      <c r="P632">
        <v>368823.108555</v>
      </c>
      <c r="Q632">
        <v>9.9118571749382434E-2</v>
      </c>
      <c r="R632">
        <v>866.094977493</v>
      </c>
      <c r="S632" t="s">
        <v>471</v>
      </c>
      <c r="T632" t="s">
        <v>93</v>
      </c>
      <c r="U632">
        <v>1</v>
      </c>
      <c r="V632" t="s">
        <v>315</v>
      </c>
      <c r="W632" t="s">
        <v>142</v>
      </c>
      <c r="X632" t="s">
        <v>150</v>
      </c>
      <c r="Y632" s="23" t="s">
        <v>151</v>
      </c>
      <c r="AA632">
        <v>174</v>
      </c>
      <c r="AB632" t="s">
        <v>2605</v>
      </c>
      <c r="AC632" t="s">
        <v>2593</v>
      </c>
      <c r="AD632" s="2">
        <v>30</v>
      </c>
      <c r="AE632" s="2" t="s">
        <v>70</v>
      </c>
      <c r="AF632" t="str">
        <f>_xlfn.CONCAT(FINI_grouping_for_wheel[[#This Row],[SEFI/Plant]],"/",IF(FINI_grouping_for_wheel[[#This Row],[RESET recipe combination]]&lt;&gt;"",FINI_grouping_for_wheel[[#This Row],[RESET recipe combination]],FINI_grouping_for_wheel[[#This Row],[Recipe Combination]]),"/",FINI_grouping_for_wheel[[#This Row],[Subgroup]])</f>
        <v>4963715/THDP/x/30</v>
      </c>
      <c r="AG6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0.5828977053871127</v>
      </c>
      <c r="AH632">
        <f>_xlfn.LET(_xlpm.pct, FINI_grouping_for_wheel[[#This Row],[% forecast within subgroup]], _xlpm.lote, FINI_grouping_for_wheel[[#This Row],[Lot size considered]], _xlpm.pct*_xlpm.lote)</f>
        <v>5093.341904729596</v>
      </c>
      <c r="AI632" cm="1">
        <f t="array" aca="1" ref="AI632" ca="1">IFERROR(INDIRECT("FINI_grouping_for_wheel[@["&amp;FINI_grouping_for_wheel[[#This Row],[Selected PV]]&amp;"]]"),"")</f>
        <v>88</v>
      </c>
      <c r="AJ63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6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15.7</v>
      </c>
      <c r="AL632" s="4"/>
      <c r="AM63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88</v>
      </c>
      <c r="AN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3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32" t="str">
        <f>_xlfn.CONCAT(FINI_grouping_for_wheel[[#This Row],[Recipe Combination]],FINI_grouping_for_wheel[[#This Row],[Subgroup]])</f>
        <v>30</v>
      </c>
    </row>
    <row r="633" spans="1:55" hidden="1">
      <c r="A633" t="s">
        <v>11</v>
      </c>
      <c r="B633">
        <v>4963715</v>
      </c>
      <c r="C633" t="s">
        <v>2589</v>
      </c>
      <c r="D633">
        <v>8737.96869958</v>
      </c>
      <c r="E633">
        <v>43</v>
      </c>
      <c r="F633">
        <v>0.86</v>
      </c>
      <c r="G633" t="s">
        <v>2606</v>
      </c>
      <c r="H633" t="s">
        <v>2607</v>
      </c>
      <c r="I633">
        <v>476</v>
      </c>
      <c r="J633" t="s">
        <v>90</v>
      </c>
      <c r="K633" t="s">
        <v>1558</v>
      </c>
      <c r="L633" t="s">
        <v>1559</v>
      </c>
      <c r="M633">
        <v>7067.91285</v>
      </c>
      <c r="N633">
        <v>28.2716514</v>
      </c>
      <c r="O633">
        <v>126526.29516</v>
      </c>
      <c r="P633">
        <v>368823.108555</v>
      </c>
      <c r="Q633">
        <v>5.5861217156972828E-2</v>
      </c>
      <c r="R633">
        <v>488.113567038</v>
      </c>
      <c r="S633" t="s">
        <v>471</v>
      </c>
      <c r="T633" t="s">
        <v>93</v>
      </c>
      <c r="U633">
        <v>1</v>
      </c>
      <c r="V633" t="s">
        <v>315</v>
      </c>
      <c r="W633" t="s">
        <v>142</v>
      </c>
      <c r="X633" t="s">
        <v>150</v>
      </c>
      <c r="Y633" s="23" t="s">
        <v>151</v>
      </c>
      <c r="AA633">
        <v>309</v>
      </c>
      <c r="AB633" t="s">
        <v>2608</v>
      </c>
      <c r="AC633" t="s">
        <v>2593</v>
      </c>
      <c r="AD633" s="2">
        <v>30</v>
      </c>
      <c r="AE633" s="2" t="s">
        <v>70</v>
      </c>
      <c r="AF633" t="str">
        <f>_xlfn.CONCAT(FINI_grouping_for_wheel[[#This Row],[SEFI/Plant]],"/",IF(FINI_grouping_for_wheel[[#This Row],[RESET recipe combination]]&lt;&gt;"",FINI_grouping_for_wheel[[#This Row],[RESET recipe combination]],FINI_grouping_for_wheel[[#This Row],[Recipe Combination]]),"/",FINI_grouping_for_wheel[[#This Row],[Subgroup]])</f>
        <v>4963715/THDP/x/30</v>
      </c>
      <c r="AG6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0.32850932702360647</v>
      </c>
      <c r="AH633">
        <f>_xlfn.LET(_xlpm.pct, FINI_grouping_for_wheel[[#This Row],[% forecast within subgroup]], _xlpm.lote, FINI_grouping_for_wheel[[#This Row],[Lot size considered]], _xlpm.pct*_xlpm.lote)</f>
        <v>2870.504217052364</v>
      </c>
      <c r="AI633" cm="1">
        <f t="array" aca="1" ref="AI633" ca="1">IFERROR(INDIRECT("FINI_grouping_for_wheel[@["&amp;FINI_grouping_for_wheel[[#This Row],[Selected PV]]&amp;"]]"),"")</f>
        <v>88</v>
      </c>
      <c r="AJ63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6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6.1</v>
      </c>
      <c r="AL633" s="4"/>
      <c r="AM63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88</v>
      </c>
      <c r="AN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3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33" t="str">
        <f>_xlfn.CONCAT(FINI_grouping_for_wheel[[#This Row],[Recipe Combination]],FINI_grouping_for_wheel[[#This Row],[Subgroup]])</f>
        <v>30</v>
      </c>
    </row>
    <row r="634" spans="1:55" hidden="1">
      <c r="A634" t="s">
        <v>11</v>
      </c>
      <c r="B634">
        <v>4963715</v>
      </c>
      <c r="C634" t="s">
        <v>2589</v>
      </c>
      <c r="D634">
        <v>8737.96869958</v>
      </c>
      <c r="E634">
        <v>43</v>
      </c>
      <c r="F634">
        <v>0.86</v>
      </c>
      <c r="G634" t="s">
        <v>2609</v>
      </c>
      <c r="H634" t="s">
        <v>2610</v>
      </c>
      <c r="J634" t="s">
        <v>90</v>
      </c>
      <c r="K634" t="s">
        <v>515</v>
      </c>
      <c r="L634" t="s">
        <v>516</v>
      </c>
      <c r="M634">
        <v>2344.1319</v>
      </c>
      <c r="N634">
        <v>9.3765276</v>
      </c>
      <c r="O634">
        <v>126526.29516</v>
      </c>
      <c r="P634">
        <v>368823.108555</v>
      </c>
      <c r="Q634">
        <v>1.8526835841006062E-2</v>
      </c>
      <c r="R634">
        <v>161.886911681</v>
      </c>
      <c r="S634" t="s">
        <v>471</v>
      </c>
      <c r="T634" t="s">
        <v>93</v>
      </c>
      <c r="U634">
        <v>5</v>
      </c>
      <c r="V634" t="s">
        <v>518</v>
      </c>
      <c r="W634" t="s">
        <v>142</v>
      </c>
      <c r="X634" t="s">
        <v>150</v>
      </c>
      <c r="Y634" s="23" t="s">
        <v>151</v>
      </c>
      <c r="AA634">
        <v>932</v>
      </c>
      <c r="AB634" t="s">
        <v>2611</v>
      </c>
      <c r="AC634" t="s">
        <v>2593</v>
      </c>
      <c r="AD634" s="2">
        <v>50</v>
      </c>
      <c r="AE634" s="2" t="s">
        <v>70</v>
      </c>
      <c r="AF634" t="str">
        <f>_xlfn.CONCAT(FINI_grouping_for_wheel[[#This Row],[SEFI/Plant]],"/",IF(FINI_grouping_for_wheel[[#This Row],[RESET recipe combination]]&lt;&gt;"",FINI_grouping_for_wheel[[#This Row],[RESET recipe combination]],FINI_grouping_for_wheel[[#This Row],[Recipe Combination]]),"/",FINI_grouping_for_wheel[[#This Row],[Subgroup]])</f>
        <v>4963715/THDP/x/50</v>
      </c>
      <c r="AG6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0.030949589683470103</v>
      </c>
      <c r="AH634">
        <f>_xlfn.LET(_xlpm.pct, FINI_grouping_for_wheel[[#This Row],[% forecast within subgroup]], _xlpm.lote, FINI_grouping_for_wheel[[#This Row],[Lot size considered]], _xlpm.pct*_xlpm.lote)</f>
        <v>270.4365459190058</v>
      </c>
      <c r="AI634" cm="1">
        <f t="array" aca="1" ref="AI634" ca="1">IFERROR(INDIRECT("FINI_grouping_for_wheel[@["&amp;FINI_grouping_for_wheel[[#This Row],[Selected PV]]&amp;"]]"),"")</f>
        <v>25</v>
      </c>
      <c r="AJ63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63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34" s="4"/>
      <c r="AM63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25</v>
      </c>
      <c r="AN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3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34" t="str">
        <f>_xlfn.CONCAT(FINI_grouping_for_wheel[[#This Row],[Recipe Combination]],FINI_grouping_for_wheel[[#This Row],[Subgroup]])</f>
        <v>50</v>
      </c>
    </row>
    <row r="635" spans="1:55" hidden="1">
      <c r="A635" t="s">
        <v>11</v>
      </c>
      <c r="B635">
        <v>4963715</v>
      </c>
      <c r="C635" t="s">
        <v>2589</v>
      </c>
      <c r="D635">
        <v>8737.96869958</v>
      </c>
      <c r="E635">
        <v>43</v>
      </c>
      <c r="F635">
        <v>0.86</v>
      </c>
      <c r="G635" t="s">
        <v>2612</v>
      </c>
      <c r="H635" t="s">
        <v>2613</v>
      </c>
      <c r="I635">
        <v>480</v>
      </c>
      <c r="J635" t="s">
        <v>90</v>
      </c>
      <c r="K635" t="s">
        <v>515</v>
      </c>
      <c r="L635" t="s">
        <v>516</v>
      </c>
      <c r="M635">
        <v>33173.0181</v>
      </c>
      <c r="N635">
        <v>132.6920724</v>
      </c>
      <c r="O635">
        <v>126526.29516</v>
      </c>
      <c r="P635">
        <v>368823.108555</v>
      </c>
      <c r="Q635">
        <v>0.26218279811363127</v>
      </c>
      <c r="R635">
        <v>2290.94508349</v>
      </c>
      <c r="S635" t="s">
        <v>471</v>
      </c>
      <c r="T635" t="s">
        <v>93</v>
      </c>
      <c r="U635">
        <v>5</v>
      </c>
      <c r="V635" t="s">
        <v>518</v>
      </c>
      <c r="W635" t="s">
        <v>142</v>
      </c>
      <c r="X635" t="s">
        <v>150</v>
      </c>
      <c r="Y635" s="23" t="s">
        <v>151</v>
      </c>
      <c r="AA635">
        <v>66</v>
      </c>
      <c r="AB635" t="s">
        <v>2614</v>
      </c>
      <c r="AC635" t="s">
        <v>2593</v>
      </c>
      <c r="AD635" s="2">
        <v>50</v>
      </c>
      <c r="AE635" s="2" t="s">
        <v>70</v>
      </c>
      <c r="AF635" t="str">
        <f>_xlfn.CONCAT(FINI_grouping_for_wheel[[#This Row],[SEFI/Plant]],"/",IF(FINI_grouping_for_wheel[[#This Row],[RESET recipe combination]]&lt;&gt;"",FINI_grouping_for_wheel[[#This Row],[RESET recipe combination]],FINI_grouping_for_wheel[[#This Row],[Recipe Combination]]),"/",FINI_grouping_for_wheel[[#This Row],[Subgroup]])</f>
        <v>4963715/THDP/x/50</v>
      </c>
      <c r="AG6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0.4379835873388042</v>
      </c>
      <c r="AH635">
        <f>_xlfn.LET(_xlpm.pct, FINI_grouping_for_wheel[[#This Row],[% forecast within subgroup]], _xlpm.lote, FINI_grouping_for_wheel[[#This Row],[Lot size considered]], _xlpm.pct*_xlpm.lote)</f>
        <v>3827.0868770962347</v>
      </c>
      <c r="AI635" cm="1">
        <f t="array" aca="1" ref="AI635" ca="1">IFERROR(INDIRECT("FINI_grouping_for_wheel[@["&amp;FINI_grouping_for_wheel[[#This Row],[Selected PV]]&amp;"]]"),"")</f>
        <v>25</v>
      </c>
      <c r="AJ63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6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8.1</v>
      </c>
      <c r="AL635" s="4"/>
      <c r="AM63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25</v>
      </c>
      <c r="AN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3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35" t="str">
        <f>_xlfn.CONCAT(FINI_grouping_for_wheel[[#This Row],[Recipe Combination]],FINI_grouping_for_wheel[[#This Row],[Subgroup]])</f>
        <v>50</v>
      </c>
    </row>
    <row r="636" spans="1:55" hidden="1">
      <c r="A636" t="s">
        <v>11</v>
      </c>
      <c r="B636">
        <v>4963715</v>
      </c>
      <c r="C636" t="s">
        <v>2589</v>
      </c>
      <c r="D636">
        <v>8737.96869958</v>
      </c>
      <c r="E636">
        <v>43</v>
      </c>
      <c r="F636">
        <v>0.86</v>
      </c>
      <c r="G636" t="s">
        <v>2615</v>
      </c>
      <c r="H636" t="s">
        <v>2616</v>
      </c>
      <c r="J636" t="s">
        <v>90</v>
      </c>
      <c r="K636" t="s">
        <v>515</v>
      </c>
      <c r="L636" t="s">
        <v>516</v>
      </c>
      <c r="M636">
        <v>40223.172375</v>
      </c>
      <c r="N636">
        <v>160.8926895</v>
      </c>
      <c r="O636">
        <v>126526.29516</v>
      </c>
      <c r="P636">
        <v>368823.108555</v>
      </c>
      <c r="Q636">
        <v>0.31790366045362678</v>
      </c>
      <c r="R636">
        <v>2777.83223453</v>
      </c>
      <c r="S636" t="s">
        <v>471</v>
      </c>
      <c r="T636" t="s">
        <v>93</v>
      </c>
      <c r="U636">
        <v>5</v>
      </c>
      <c r="V636" t="s">
        <v>518</v>
      </c>
      <c r="W636" t="s">
        <v>142</v>
      </c>
      <c r="X636" t="s">
        <v>150</v>
      </c>
      <c r="Y636" s="23" t="s">
        <v>151</v>
      </c>
      <c r="AA636">
        <v>54</v>
      </c>
      <c r="AB636" t="s">
        <v>2617</v>
      </c>
      <c r="AC636" t="s">
        <v>2593</v>
      </c>
      <c r="AD636" s="2">
        <v>50</v>
      </c>
      <c r="AE636" s="2" t="s">
        <v>70</v>
      </c>
      <c r="AF636" t="str">
        <f>_xlfn.CONCAT(FINI_grouping_for_wheel[[#This Row],[SEFI/Plant]],"/",IF(FINI_grouping_for_wheel[[#This Row],[RESET recipe combination]]&lt;&gt;"",FINI_grouping_for_wheel[[#This Row],[RESET recipe combination]],FINI_grouping_for_wheel[[#This Row],[Recipe Combination]]),"/",FINI_grouping_for_wheel[[#This Row],[Subgroup]])</f>
        <v>4963715/THDP/x/50</v>
      </c>
      <c r="AG6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0.5310668229777257</v>
      </c>
      <c r="AH636">
        <f>_xlfn.LET(_xlpm.pct, FINI_grouping_for_wheel[[#This Row],[% forecast within subgroup]], _xlpm.lote, FINI_grouping_for_wheel[[#This Row],[Lot size considered]], _xlpm.pct*_xlpm.lote)</f>
        <v>4640.44527656476</v>
      </c>
      <c r="AI636" cm="1">
        <f t="array" aca="1" ref="AI636" ca="1">IFERROR(INDIRECT("FINI_grouping_for_wheel[@["&amp;FINI_grouping_for_wheel[[#This Row],[Selected PV]]&amp;"]]"),"")</f>
        <v>25</v>
      </c>
      <c r="AJ63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63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36" s="4"/>
      <c r="AM63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25</v>
      </c>
      <c r="AN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3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36" t="str">
        <f>_xlfn.CONCAT(FINI_grouping_for_wheel[[#This Row],[Recipe Combination]],FINI_grouping_for_wheel[[#This Row],[Subgroup]])</f>
        <v>50</v>
      </c>
    </row>
    <row r="637" spans="1:55" hidden="1">
      <c r="A637" t="s">
        <v>11</v>
      </c>
      <c r="B637">
        <v>4963715</v>
      </c>
      <c r="C637" t="s">
        <v>2589</v>
      </c>
      <c r="D637">
        <v>8737.96869958</v>
      </c>
      <c r="E637">
        <v>43</v>
      </c>
      <c r="F637">
        <v>0.86</v>
      </c>
      <c r="G637" t="s">
        <v>2618</v>
      </c>
      <c r="H637" t="s">
        <v>2619</v>
      </c>
      <c r="I637">
        <v>450</v>
      </c>
      <c r="J637" t="s">
        <v>90</v>
      </c>
      <c r="K637" t="s">
        <v>264</v>
      </c>
      <c r="L637" t="s">
        <v>265</v>
      </c>
      <c r="M637">
        <v>5110.917885</v>
      </c>
      <c r="N637">
        <v>20.44367154</v>
      </c>
      <c r="O637">
        <v>5110.917885</v>
      </c>
      <c r="P637">
        <v>368823.108555</v>
      </c>
      <c r="Q637">
        <v>1</v>
      </c>
      <c r="R637">
        <v>8737.96869958</v>
      </c>
      <c r="S637" t="s">
        <v>1156</v>
      </c>
      <c r="T637" t="s">
        <v>93</v>
      </c>
      <c r="U637">
        <v>2.5</v>
      </c>
      <c r="V637" t="s">
        <v>267</v>
      </c>
      <c r="W637" t="s">
        <v>142</v>
      </c>
      <c r="X637" t="s">
        <v>150</v>
      </c>
      <c r="Y637" s="23" t="s">
        <v>151</v>
      </c>
      <c r="AA637">
        <v>427</v>
      </c>
      <c r="AB637" t="s">
        <v>2620</v>
      </c>
      <c r="AC637" t="s">
        <v>2593</v>
      </c>
      <c r="AD637" s="2">
        <v>40</v>
      </c>
      <c r="AE637" s="2" t="s">
        <v>70</v>
      </c>
      <c r="AF637" t="str">
        <f>_xlfn.CONCAT(FINI_grouping_for_wheel[[#This Row],[SEFI/Plant]],"/",IF(FINI_grouping_for_wheel[[#This Row],[RESET recipe combination]]&lt;&gt;"",FINI_grouping_for_wheel[[#This Row],[RESET recipe combination]],FINI_grouping_for_wheel[[#This Row],[Recipe Combination]]),"/",FINI_grouping_for_wheel[[#This Row],[Subgroup]])</f>
        <v>4963715/THDP/x/40</v>
      </c>
      <c r="AG6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0.14865190592610444</v>
      </c>
      <c r="AH637">
        <f>_xlfn.LET(_xlpm.pct, FINI_grouping_for_wheel[[#This Row],[% forecast within subgroup]], _xlpm.lote, FINI_grouping_for_wheel[[#This Row],[Lot size considered]], _xlpm.pct*_xlpm.lote)</f>
        <v>1298.9157011152113</v>
      </c>
      <c r="AI637" cm="1">
        <f t="array" aca="1" ref="AI637" ca="1">IFERROR(INDIRECT("FINI_grouping_for_wheel[@["&amp;FINI_grouping_for_wheel[[#This Row],[Selected PV]]&amp;"]]"),"")</f>
        <v>55</v>
      </c>
      <c r="AJ63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6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v>
      </c>
      <c r="AL637" s="4"/>
      <c r="AM63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55</v>
      </c>
      <c r="AN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3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37" t="str">
        <f>_xlfn.CONCAT(FINI_grouping_for_wheel[[#This Row],[Recipe Combination]],FINI_grouping_for_wheel[[#This Row],[Subgroup]])</f>
        <v>B40</v>
      </c>
    </row>
    <row r="638" spans="1:55" hidden="1">
      <c r="A638" t="s">
        <v>11</v>
      </c>
      <c r="B638">
        <v>4963715</v>
      </c>
      <c r="C638" t="s">
        <v>2589</v>
      </c>
      <c r="D638">
        <v>8737.96869958</v>
      </c>
      <c r="E638">
        <v>43</v>
      </c>
      <c r="F638">
        <v>0.86</v>
      </c>
      <c r="G638" t="s">
        <v>2621</v>
      </c>
      <c r="H638" t="s">
        <v>2622</v>
      </c>
      <c r="I638">
        <v>400</v>
      </c>
      <c r="J638" t="s">
        <v>90</v>
      </c>
      <c r="K638" t="s">
        <v>2623</v>
      </c>
      <c r="L638" t="s">
        <v>2624</v>
      </c>
      <c r="M638">
        <v>164529.64566</v>
      </c>
      <c r="N638">
        <v>658.11858264</v>
      </c>
      <c r="O638">
        <v>164529.64566</v>
      </c>
      <c r="P638">
        <v>368823.108555</v>
      </c>
      <c r="Q638">
        <v>1</v>
      </c>
      <c r="R638">
        <v>8737.96869958</v>
      </c>
      <c r="S638" t="s">
        <v>294</v>
      </c>
      <c r="T638" t="s">
        <v>93</v>
      </c>
      <c r="U638">
        <v>12.5</v>
      </c>
      <c r="V638" t="s">
        <v>295</v>
      </c>
      <c r="W638" t="s">
        <v>95</v>
      </c>
      <c r="X638" t="s">
        <v>128</v>
      </c>
      <c r="Y638" s="23" t="s">
        <v>120</v>
      </c>
      <c r="AA638">
        <v>13</v>
      </c>
      <c r="AB638" t="s">
        <v>2625</v>
      </c>
      <c r="AC638" t="s">
        <v>2593</v>
      </c>
      <c r="AD638" s="2">
        <v>1</v>
      </c>
      <c r="AE638" s="2" t="s">
        <v>70</v>
      </c>
      <c r="AF638" t="str">
        <f>_xlfn.CONCAT(FINI_grouping_for_wheel[[#This Row],[SEFI/Plant]],"/",IF(FINI_grouping_for_wheel[[#This Row],[RESET recipe combination]]&lt;&gt;"",FINI_grouping_for_wheel[[#This Row],[RESET recipe combination]],FINI_grouping_for_wheel[[#This Row],[Recipe Combination]]),"/",FINI_grouping_for_wheel[[#This Row],[Subgroup]])</f>
        <v>4963715/THDP/x/1</v>
      </c>
      <c r="AG6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38">
        <f>_xlfn.LET(_xlpm.pct, FINI_grouping_for_wheel[[#This Row],[% forecast within subgroup]], _xlpm.lote, FINI_grouping_for_wheel[[#This Row],[Lot size considered]], _xlpm.pct*_xlpm.lote)</f>
        <v>8737.96869958</v>
      </c>
      <c r="AI638" cm="1">
        <f t="array" aca="1" ref="AI638" ca="1">IFERROR(INDIRECT("FINI_grouping_for_wheel[@["&amp;FINI_grouping_for_wheel[[#This Row],[Selected PV]]&amp;"]]"),"")</f>
        <v>11</v>
      </c>
      <c r="AJ63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6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22.2</v>
      </c>
      <c r="AL638" s="4"/>
      <c r="AM63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3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38" t="str">
        <f>_xlfn.CONCAT(FINI_grouping_for_wheel[[#This Row],[Recipe Combination]],FINI_grouping_for_wheel[[#This Row],[Subgroup]])</f>
        <v>C1</v>
      </c>
    </row>
    <row r="639" spans="1:55" hidden="1">
      <c r="A639" t="s">
        <v>11</v>
      </c>
      <c r="B639">
        <v>4963715</v>
      </c>
      <c r="C639" t="s">
        <v>2589</v>
      </c>
      <c r="D639">
        <v>8737.96869958</v>
      </c>
      <c r="E639">
        <v>43</v>
      </c>
      <c r="F639">
        <v>0.86</v>
      </c>
      <c r="G639" t="s">
        <v>2626</v>
      </c>
      <c r="H639" t="s">
        <v>2627</v>
      </c>
      <c r="I639">
        <v>440</v>
      </c>
      <c r="J639" t="s">
        <v>90</v>
      </c>
      <c r="K639" t="s">
        <v>2628</v>
      </c>
      <c r="L639" t="s">
        <v>2629</v>
      </c>
      <c r="M639">
        <v>72656.24985</v>
      </c>
      <c r="N639">
        <v>290.6249994</v>
      </c>
      <c r="O639">
        <v>72656.24985</v>
      </c>
      <c r="P639">
        <v>368823.108555</v>
      </c>
      <c r="Q639">
        <v>1</v>
      </c>
      <c r="R639">
        <v>8737.96869958</v>
      </c>
      <c r="S639" t="s">
        <v>387</v>
      </c>
      <c r="T639" t="s">
        <v>93</v>
      </c>
      <c r="U639">
        <v>10</v>
      </c>
      <c r="V639" t="s">
        <v>94</v>
      </c>
      <c r="W639" t="s">
        <v>95</v>
      </c>
      <c r="X639" t="s">
        <v>96</v>
      </c>
      <c r="Y639" s="23" t="s">
        <v>97</v>
      </c>
      <c r="AA639">
        <v>30</v>
      </c>
      <c r="AB639" t="s">
        <v>2630</v>
      </c>
      <c r="AC639" t="s">
        <v>2593</v>
      </c>
      <c r="AD639" s="2">
        <v>2</v>
      </c>
      <c r="AE639" s="2" t="s">
        <v>70</v>
      </c>
      <c r="AF639" t="str">
        <f>_xlfn.CONCAT(FINI_grouping_for_wheel[[#This Row],[SEFI/Plant]],"/",IF(FINI_grouping_for_wheel[[#This Row],[RESET recipe combination]]&lt;&gt;"",FINI_grouping_for_wheel[[#This Row],[RESET recipe combination]],FINI_grouping_for_wheel[[#This Row],[Recipe Combination]]),"/",FINI_grouping_for_wheel[[#This Row],[Subgroup]])</f>
        <v>4963715/THDP/x/2</v>
      </c>
      <c r="AG6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39">
        <f>_xlfn.LET(_xlpm.pct, FINI_grouping_for_wheel[[#This Row],[% forecast within subgroup]], _xlpm.lote, FINI_grouping_for_wheel[[#This Row],[Lot size considered]], _xlpm.pct*_xlpm.lote)</f>
        <v>8737.96869958</v>
      </c>
      <c r="AI639" cm="1">
        <f t="array" aca="1" ref="AI639" ca="1">IFERROR(INDIRECT("FINI_grouping_for_wheel[@["&amp;FINI_grouping_for_wheel[[#This Row],[Selected PV]]&amp;"]]"),"")</f>
        <v>26</v>
      </c>
      <c r="AJ63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8876.91969</v>
      </c>
      <c r="AK6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20.2</v>
      </c>
      <c r="AL639" s="4"/>
      <c r="AM63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v>
      </c>
      <c r="AN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3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39" t="str">
        <f>_xlfn.CONCAT(FINI_grouping_for_wheel[[#This Row],[Recipe Combination]],FINI_grouping_for_wheel[[#This Row],[Subgroup]])</f>
        <v>X2</v>
      </c>
    </row>
    <row r="640" spans="1:55" hidden="1">
      <c r="A640" t="s">
        <v>11</v>
      </c>
      <c r="B640">
        <v>4095574</v>
      </c>
      <c r="C640" t="s">
        <v>2631</v>
      </c>
      <c r="D640">
        <v>8728.38167786</v>
      </c>
      <c r="E640">
        <v>42</v>
      </c>
      <c r="F640">
        <v>0.84</v>
      </c>
      <c r="G640" t="s">
        <v>2632</v>
      </c>
      <c r="H640" t="s">
        <v>2633</v>
      </c>
      <c r="I640">
        <v>300</v>
      </c>
      <c r="J640" t="s">
        <v>90</v>
      </c>
      <c r="K640" t="s">
        <v>292</v>
      </c>
      <c r="L640" t="s">
        <v>293</v>
      </c>
      <c r="M640">
        <v>33393.22443</v>
      </c>
      <c r="N640">
        <v>133.57289772</v>
      </c>
      <c r="O640">
        <v>33393.22443</v>
      </c>
      <c r="P640">
        <v>362057.09148</v>
      </c>
      <c r="Q640">
        <v>1</v>
      </c>
      <c r="R640">
        <v>8728.38167786</v>
      </c>
      <c r="S640" t="s">
        <v>294</v>
      </c>
      <c r="T640" t="s">
        <v>93</v>
      </c>
      <c r="U640">
        <v>12.5</v>
      </c>
      <c r="V640" t="s">
        <v>295</v>
      </c>
      <c r="W640" t="s">
        <v>142</v>
      </c>
      <c r="X640" t="s">
        <v>128</v>
      </c>
      <c r="Y640" s="23" t="s">
        <v>120</v>
      </c>
      <c r="AA640">
        <v>65</v>
      </c>
      <c r="AB640" t="s">
        <v>2634</v>
      </c>
      <c r="AC640" t="s">
        <v>2635</v>
      </c>
      <c r="AD640" s="2">
        <v>1</v>
      </c>
      <c r="AE640" s="2" t="s">
        <v>70</v>
      </c>
      <c r="AF640" t="str">
        <f>_xlfn.CONCAT(FINI_grouping_for_wheel[[#This Row],[SEFI/Plant]],"/",IF(FINI_grouping_for_wheel[[#This Row],[RESET recipe combination]]&lt;&gt;"",FINI_grouping_for_wheel[[#This Row],[RESET recipe combination]],FINI_grouping_for_wheel[[#This Row],[Recipe Combination]]),"/",FINI_grouping_for_wheel[[#This Row],[Subgroup]])</f>
        <v>4095574/THDP/x/1</v>
      </c>
      <c r="AG6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0.0922319303110367</v>
      </c>
      <c r="AH640">
        <f>_xlfn.LET(_xlpm.pct, FINI_grouping_for_wheel[[#This Row],[% forecast within subgroup]], _xlpm.lote, FINI_grouping_for_wheel[[#This Row],[Lot size considered]], _xlpm.pct*_xlpm.lote)</f>
        <v>805.0354906405131</v>
      </c>
      <c r="AI640" cm="1">
        <f t="array" aca="1" ref="AI640" ca="1">IFERROR(INDIRECT("FINI_grouping_for_wheel[@["&amp;FINI_grouping_for_wheel[[#This Row],[Selected PV]]&amp;"]]"),"")</f>
        <v>5</v>
      </c>
      <c r="AJ64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6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v>
      </c>
      <c r="AL640" s="4"/>
      <c r="AM64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v>
      </c>
      <c r="AN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4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40" t="str">
        <f>_xlfn.CONCAT(FINI_grouping_for_wheel[[#This Row],[Recipe Combination]],FINI_grouping_for_wheel[[#This Row],[Subgroup]])</f>
        <v>C1</v>
      </c>
    </row>
    <row r="641" spans="1:55" hidden="1">
      <c r="A641" t="s">
        <v>11</v>
      </c>
      <c r="B641">
        <v>4095574</v>
      </c>
      <c r="C641" t="s">
        <v>2631</v>
      </c>
      <c r="D641">
        <v>8728.38167786</v>
      </c>
      <c r="E641">
        <v>42</v>
      </c>
      <c r="F641">
        <v>0.84</v>
      </c>
      <c r="G641" t="s">
        <v>2636</v>
      </c>
      <c r="H641" t="s">
        <v>2637</v>
      </c>
      <c r="I641">
        <v>440</v>
      </c>
      <c r="J641" t="s">
        <v>90</v>
      </c>
      <c r="K641" t="s">
        <v>2638</v>
      </c>
      <c r="L641" t="s">
        <v>2639</v>
      </c>
      <c r="M641">
        <v>328663.86705</v>
      </c>
      <c r="N641">
        <v>1314.6554682</v>
      </c>
      <c r="O641">
        <v>328663.86705</v>
      </c>
      <c r="P641">
        <v>362057.09148</v>
      </c>
      <c r="Q641">
        <v>1</v>
      </c>
      <c r="R641">
        <v>8728.38167786</v>
      </c>
      <c r="S641" t="s">
        <v>218</v>
      </c>
      <c r="T641" t="s">
        <v>93</v>
      </c>
      <c r="U641">
        <v>10</v>
      </c>
      <c r="V641" t="s">
        <v>94</v>
      </c>
      <c r="W641" t="s">
        <v>95</v>
      </c>
      <c r="X641" t="s">
        <v>96</v>
      </c>
      <c r="Y641" s="23" t="s">
        <v>97</v>
      </c>
      <c r="AA641">
        <v>7</v>
      </c>
      <c r="AB641" t="s">
        <v>2640</v>
      </c>
      <c r="AC641" t="s">
        <v>2635</v>
      </c>
      <c r="AD641" s="2">
        <v>1</v>
      </c>
      <c r="AE641" s="2" t="s">
        <v>70</v>
      </c>
      <c r="AF641" t="str">
        <f>_xlfn.CONCAT(FINI_grouping_for_wheel[[#This Row],[SEFI/Plant]],"/",IF(FINI_grouping_for_wheel[[#This Row],[RESET recipe combination]]&lt;&gt;"",FINI_grouping_for_wheel[[#This Row],[RESET recipe combination]],FINI_grouping_for_wheel[[#This Row],[Recipe Combination]]),"/",FINI_grouping_for_wheel[[#This Row],[Subgroup]])</f>
        <v>4095574/THDP/x/1</v>
      </c>
      <c r="AG6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0.9077680696889633</v>
      </c>
      <c r="AH641">
        <f>_xlfn.LET(_xlpm.pct, FINI_grouping_for_wheel[[#This Row],[% forecast within subgroup]], _xlpm.lote, FINI_grouping_for_wheel[[#This Row],[Lot size considered]], _xlpm.pct*_xlpm.lote)</f>
        <v>7923.346187219487</v>
      </c>
      <c r="AI641" cm="1">
        <f t="array" aca="1" ref="AI641" ca="1">IFERROR(INDIRECT("FINI_grouping_for_wheel[@["&amp;FINI_grouping_for_wheel[[#This Row],[Selected PV]]&amp;"]]"),"")</f>
        <v>5</v>
      </c>
      <c r="AJ64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8906.517315</v>
      </c>
      <c r="AK6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18.4</v>
      </c>
      <c r="AL641" s="4"/>
      <c r="AM64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v>
      </c>
      <c r="AN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4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41" t="str">
        <f>_xlfn.CONCAT(FINI_grouping_for_wheel[[#This Row],[Recipe Combination]],FINI_grouping_for_wheel[[#This Row],[Subgroup]])</f>
        <v>U1</v>
      </c>
    </row>
    <row r="642" spans="1:55" hidden="1">
      <c r="A642" t="s">
        <v>11</v>
      </c>
      <c r="B642">
        <v>4705892</v>
      </c>
      <c r="C642" t="s">
        <v>2641</v>
      </c>
      <c r="D642">
        <v>8360.7575176</v>
      </c>
      <c r="E642">
        <v>41</v>
      </c>
      <c r="F642">
        <v>0.82</v>
      </c>
      <c r="G642" t="s">
        <v>2642</v>
      </c>
      <c r="H642" t="s">
        <v>2643</v>
      </c>
      <c r="I642">
        <v>270</v>
      </c>
      <c r="J642" t="s">
        <v>90</v>
      </c>
      <c r="K642" t="s">
        <v>2644</v>
      </c>
      <c r="L642" t="s">
        <v>2645</v>
      </c>
      <c r="M642">
        <v>41933.9151</v>
      </c>
      <c r="N642">
        <v>167.7356604</v>
      </c>
      <c r="O642">
        <v>41933.9151</v>
      </c>
      <c r="P642">
        <v>342586.58985</v>
      </c>
      <c r="Q642">
        <v>1</v>
      </c>
      <c r="R642">
        <v>8360.7575176</v>
      </c>
      <c r="S642" t="s">
        <v>249</v>
      </c>
      <c r="T642" t="s">
        <v>93</v>
      </c>
      <c r="U642">
        <v>5</v>
      </c>
      <c r="V642" t="s">
        <v>119</v>
      </c>
      <c r="W642" t="s">
        <v>95</v>
      </c>
      <c r="X642" t="s">
        <v>96</v>
      </c>
      <c r="Y642" s="23" t="s">
        <v>120</v>
      </c>
      <c r="AA642">
        <v>50</v>
      </c>
      <c r="AB642" t="s">
        <v>2646</v>
      </c>
      <c r="AC642" t="s">
        <v>2647</v>
      </c>
      <c r="AD642" s="2">
        <v>1</v>
      </c>
      <c r="AE642" s="2" t="s">
        <v>70</v>
      </c>
      <c r="AF642" t="str">
        <f>_xlfn.CONCAT(FINI_grouping_for_wheel[[#This Row],[SEFI/Plant]],"/",IF(FINI_grouping_for_wheel[[#This Row],[RESET recipe combination]]&lt;&gt;"",FINI_grouping_for_wheel[[#This Row],[RESET recipe combination]],FINI_grouping_for_wheel[[#This Row],[Recipe Combination]]),"/",FINI_grouping_for_wheel[[#This Row],[Subgroup]])</f>
        <v>4705892/THDP/x/1</v>
      </c>
      <c r="AG6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0.7923051112850912</v>
      </c>
      <c r="AH642">
        <f>_xlfn.LET(_xlpm.pct, FINI_grouping_for_wheel[[#This Row],[% forecast within subgroup]], _xlpm.lote, FINI_grouping_for_wheel[[#This Row],[Lot size considered]], _xlpm.pct*_xlpm.lote)</f>
        <v>6624.27091540973</v>
      </c>
      <c r="AI642" cm="1">
        <f t="array" aca="1" ref="AI642" ca="1">IFERROR(INDIRECT("FINI_grouping_for_wheel[@["&amp;FINI_grouping_for_wheel[[#This Row],[Selected PV]]&amp;"]]"),"")</f>
        <v>36</v>
      </c>
      <c r="AJ64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26.1</v>
      </c>
      <c r="AL642" s="4"/>
      <c r="AM64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36</v>
      </c>
      <c r="AN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4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42" t="str">
        <f>_xlfn.CONCAT(FINI_grouping_for_wheel[[#This Row],[Recipe Combination]],FINI_grouping_for_wheel[[#This Row],[Subgroup]])</f>
        <v>%1</v>
      </c>
    </row>
    <row r="643" spans="1:55" hidden="1">
      <c r="A643" t="s">
        <v>11</v>
      </c>
      <c r="B643">
        <v>4705892</v>
      </c>
      <c r="C643" t="s">
        <v>2641</v>
      </c>
      <c r="D643">
        <v>8360.7575176</v>
      </c>
      <c r="E643">
        <v>41</v>
      </c>
      <c r="F643">
        <v>0.82</v>
      </c>
      <c r="G643" t="s">
        <v>2648</v>
      </c>
      <c r="H643" t="s">
        <v>2649</v>
      </c>
      <c r="I643">
        <v>300</v>
      </c>
      <c r="J643" t="s">
        <v>90</v>
      </c>
      <c r="K643" t="s">
        <v>292</v>
      </c>
      <c r="L643" t="s">
        <v>293</v>
      </c>
      <c r="M643">
        <v>46950.120585</v>
      </c>
      <c r="N643">
        <v>187.80048234</v>
      </c>
      <c r="O643">
        <v>46950.120585</v>
      </c>
      <c r="P643">
        <v>342586.58985</v>
      </c>
      <c r="Q643">
        <v>1</v>
      </c>
      <c r="R643">
        <v>8360.7575176</v>
      </c>
      <c r="S643" t="s">
        <v>2650</v>
      </c>
      <c r="T643" t="s">
        <v>93</v>
      </c>
      <c r="U643">
        <v>12.5</v>
      </c>
      <c r="V643" t="s">
        <v>295</v>
      </c>
      <c r="W643" t="s">
        <v>142</v>
      </c>
      <c r="X643" t="s">
        <v>128</v>
      </c>
      <c r="Y643" s="23" t="s">
        <v>120</v>
      </c>
      <c r="AA643">
        <v>45</v>
      </c>
      <c r="AB643" t="s">
        <v>2651</v>
      </c>
      <c r="AC643" t="s">
        <v>2647</v>
      </c>
      <c r="AD643" s="2">
        <v>4</v>
      </c>
      <c r="AE643" s="2" t="s">
        <v>70</v>
      </c>
      <c r="AF643" t="str">
        <f>_xlfn.CONCAT(FINI_grouping_for_wheel[[#This Row],[SEFI/Plant]],"/",IF(FINI_grouping_for_wheel[[#This Row],[RESET recipe combination]]&lt;&gt;"",FINI_grouping_for_wheel[[#This Row],[RESET recipe combination]],FINI_grouping_for_wheel[[#This Row],[Recipe Combination]]),"/",FINI_grouping_for_wheel[[#This Row],[Subgroup]])</f>
        <v>4705892/THDP/x/4</v>
      </c>
      <c r="AG6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0.5270943817536585</v>
      </c>
      <c r="AH643">
        <f>_xlfn.LET(_xlpm.pct, FINI_grouping_for_wheel[[#This Row],[% forecast within subgroup]], _xlpm.lote, FINI_grouping_for_wheel[[#This Row],[Lot size considered]], _xlpm.pct*_xlpm.lote)</f>
        <v>4406.908314731624</v>
      </c>
      <c r="AI643" cm="1">
        <f t="array" aca="1" ref="AI643" ca="1">IFERROR(INDIRECT("FINI_grouping_for_wheel[@["&amp;FINI_grouping_for_wheel[[#This Row],[Selected PV]]&amp;"]]"),"")</f>
        <v>21</v>
      </c>
      <c r="AJ64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15.6</v>
      </c>
      <c r="AL643" s="4"/>
      <c r="AM64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4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43" s="2" t="str">
        <f>_xlfn.CONCAT(FINI_grouping_for_wheel[[#This Row],[Recipe Combination]],FINI_grouping_for_wheel[[#This Row],[Subgroup]])</f>
        <v>(4</v>
      </c>
    </row>
    <row r="644" spans="1:55" hidden="1">
      <c r="A644" t="s">
        <v>11</v>
      </c>
      <c r="B644">
        <v>4705892</v>
      </c>
      <c r="C644" t="s">
        <v>2641</v>
      </c>
      <c r="D644">
        <v>8360.7575176</v>
      </c>
      <c r="E644">
        <v>41</v>
      </c>
      <c r="F644">
        <v>0.82</v>
      </c>
      <c r="G644" t="s">
        <v>2652</v>
      </c>
      <c r="H644" t="s">
        <v>2653</v>
      </c>
      <c r="I644">
        <v>190</v>
      </c>
      <c r="J644" t="s">
        <v>90</v>
      </c>
      <c r="K644" t="s">
        <v>602</v>
      </c>
      <c r="L644" t="s">
        <v>603</v>
      </c>
      <c r="M644">
        <v>2385.568575</v>
      </c>
      <c r="N644">
        <v>9.5422743</v>
      </c>
      <c r="O644">
        <v>2385.568575</v>
      </c>
      <c r="P644">
        <v>342586.58985</v>
      </c>
      <c r="Q644">
        <v>1</v>
      </c>
      <c r="R644">
        <v>8360.7575176</v>
      </c>
      <c r="S644" t="s">
        <v>104</v>
      </c>
      <c r="T644" t="s">
        <v>93</v>
      </c>
      <c r="U644">
        <v>2.5</v>
      </c>
      <c r="V644" t="s">
        <v>604</v>
      </c>
      <c r="W644" t="s">
        <v>142</v>
      </c>
      <c r="X644" t="s">
        <v>128</v>
      </c>
      <c r="Y644" s="23" t="s">
        <v>136</v>
      </c>
      <c r="AA644">
        <v>876</v>
      </c>
      <c r="AB644" t="s">
        <v>2654</v>
      </c>
      <c r="AC644" t="s">
        <v>2647</v>
      </c>
      <c r="AD644" s="2">
        <v>200</v>
      </c>
      <c r="AE644" s="2" t="s">
        <v>70</v>
      </c>
      <c r="AF644" t="str">
        <f>_xlfn.CONCAT(FINI_grouping_for_wheel[[#This Row],[SEFI/Plant]],"/",IF(FINI_grouping_for_wheel[[#This Row],[RESET recipe combination]]&lt;&gt;"",FINI_grouping_for_wheel[[#This Row],[RESET recipe combination]],FINI_grouping_for_wheel[[#This Row],[Recipe Combination]]),"/",FINI_grouping_for_wheel[[#This Row],[Subgroup]])</f>
        <v>4705892/THDP/x/200</v>
      </c>
      <c r="AG6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0.21042188805346695</v>
      </c>
      <c r="AH644">
        <f>_xlfn.LET(_xlpm.pct, FINI_grouping_for_wheel[[#This Row],[% forecast within subgroup]], _xlpm.lote, FINI_grouping_for_wheel[[#This Row],[Lot size considered]], _xlpm.pct*_xlpm.lote)</f>
        <v>1759.2863824106093</v>
      </c>
      <c r="AI644" cm="1">
        <f t="array" aca="1" ref="AI644" ca="1">IFERROR(INDIRECT("FINI_grouping_for_wheel[@["&amp;FINI_grouping_for_wheel[[#This Row],[Selected PV]]&amp;"]]"),"")</f>
        <v>167</v>
      </c>
      <c r="AJ64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9.8</v>
      </c>
      <c r="AL644" s="4"/>
      <c r="AM64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167</v>
      </c>
      <c r="AN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4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44" t="str">
        <f>_xlfn.CONCAT(FINI_grouping_for_wheel[[#This Row],[Recipe Combination]],FINI_grouping_for_wheel[[#This Row],[Subgroup]])</f>
        <v>0200</v>
      </c>
    </row>
    <row r="645" spans="1:55" hidden="1">
      <c r="A645" t="s">
        <v>11</v>
      </c>
      <c r="B645">
        <v>4705892</v>
      </c>
      <c r="C645" t="s">
        <v>2641</v>
      </c>
      <c r="D645">
        <v>8360.7575176</v>
      </c>
      <c r="E645">
        <v>41</v>
      </c>
      <c r="F645">
        <v>0.82</v>
      </c>
      <c r="G645" t="s">
        <v>2655</v>
      </c>
      <c r="H645" t="s">
        <v>2656</v>
      </c>
      <c r="I645">
        <v>300</v>
      </c>
      <c r="J645" t="s">
        <v>90</v>
      </c>
      <c r="K645" t="s">
        <v>254</v>
      </c>
      <c r="L645" t="s">
        <v>255</v>
      </c>
      <c r="M645">
        <v>1586.4327</v>
      </c>
      <c r="N645">
        <v>6.3457308</v>
      </c>
      <c r="O645">
        <v>1586.4327</v>
      </c>
      <c r="P645">
        <v>342586.58985</v>
      </c>
      <c r="Q645">
        <v>1</v>
      </c>
      <c r="R645">
        <v>8360.7575176</v>
      </c>
      <c r="S645" t="s">
        <v>1316</v>
      </c>
      <c r="T645" t="s">
        <v>93</v>
      </c>
      <c r="U645">
        <v>5</v>
      </c>
      <c r="V645" t="s">
        <v>119</v>
      </c>
      <c r="W645" t="s">
        <v>95</v>
      </c>
      <c r="X645" t="s">
        <v>96</v>
      </c>
      <c r="Y645" s="23" t="s">
        <v>120</v>
      </c>
      <c r="AA645">
        <v>1318</v>
      </c>
      <c r="AB645" t="s">
        <v>2657</v>
      </c>
      <c r="AC645" t="s">
        <v>2647</v>
      </c>
      <c r="AD645" s="2">
        <v>100</v>
      </c>
      <c r="AE645" s="2" t="s">
        <v>70</v>
      </c>
      <c r="AF645" t="str">
        <f>_xlfn.CONCAT(FINI_grouping_for_wheel[[#This Row],[SEFI/Plant]],"/",IF(FINI_grouping_for_wheel[[#This Row],[RESET recipe combination]]&lt;&gt;"",FINI_grouping_for_wheel[[#This Row],[RESET recipe combination]],FINI_grouping_for_wheel[[#This Row],[Recipe Combination]]),"/",FINI_grouping_for_wheel[[#This Row],[Subgroup]])</f>
        <v>4705892/THDP/x/100</v>
      </c>
      <c r="AG6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0.16038300418910834</v>
      </c>
      <c r="AH645">
        <f>_xlfn.LET(_xlpm.pct, FINI_grouping_for_wheel[[#This Row],[% forecast within subgroup]], _xlpm.lote, FINI_grouping_for_wheel[[#This Row],[Lot size considered]], _xlpm.pct*_xlpm.lote)</f>
        <v>1340.9234079693597</v>
      </c>
      <c r="AI645" cm="1">
        <f t="array" aca="1" ref="AI645" ca="1">IFERROR(INDIRECT("FINI_grouping_for_wheel[@["&amp;FINI_grouping_for_wheel[[#This Row],[Selected PV]]&amp;"]]"),"")</f>
        <v>191</v>
      </c>
      <c r="AJ64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4.8</v>
      </c>
      <c r="AL645" s="4"/>
      <c r="AM64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191</v>
      </c>
      <c r="AN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4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45" t="str">
        <f>_xlfn.CONCAT(FINI_grouping_for_wheel[[#This Row],[Recipe Combination]],FINI_grouping_for_wheel[[#This Row],[Subgroup]])</f>
        <v>6100</v>
      </c>
    </row>
    <row r="646" spans="1:55" hidden="1">
      <c r="A646" t="s">
        <v>11</v>
      </c>
      <c r="B646">
        <v>4705892</v>
      </c>
      <c r="C646" t="s">
        <v>2641</v>
      </c>
      <c r="D646">
        <v>8360.7575176</v>
      </c>
      <c r="E646">
        <v>41</v>
      </c>
      <c r="F646">
        <v>0.82</v>
      </c>
      <c r="G646" t="s">
        <v>2658</v>
      </c>
      <c r="H646" t="s">
        <v>2659</v>
      </c>
      <c r="J646" t="s">
        <v>90</v>
      </c>
      <c r="K646" t="s">
        <v>666</v>
      </c>
      <c r="L646" t="s">
        <v>667</v>
      </c>
      <c r="M646">
        <v>17344.20825</v>
      </c>
      <c r="N646">
        <v>69.376833</v>
      </c>
      <c r="O646">
        <v>106788.231</v>
      </c>
      <c r="P646">
        <v>342586.58985</v>
      </c>
      <c r="Q646">
        <v>0.16241685144124168</v>
      </c>
      <c r="R646">
        <v>1357.92791167</v>
      </c>
      <c r="S646" t="s">
        <v>118</v>
      </c>
      <c r="T646" t="s">
        <v>93</v>
      </c>
      <c r="U646">
        <v>10</v>
      </c>
      <c r="V646" t="s">
        <v>94</v>
      </c>
      <c r="W646" t="s">
        <v>95</v>
      </c>
      <c r="X646" t="s">
        <v>96</v>
      </c>
      <c r="Y646" s="23" t="s">
        <v>97</v>
      </c>
      <c r="AA646">
        <v>121</v>
      </c>
      <c r="AB646" t="s">
        <v>2660</v>
      </c>
      <c r="AC646" t="s">
        <v>2647</v>
      </c>
      <c r="AD646" s="2">
        <v>7</v>
      </c>
      <c r="AE646" s="2" t="s">
        <v>70</v>
      </c>
      <c r="AF646" t="str">
        <f>_xlfn.CONCAT(FINI_grouping_for_wheel[[#This Row],[SEFI/Plant]],"/",IF(FINI_grouping_for_wheel[[#This Row],[RESET recipe combination]]&lt;&gt;"",FINI_grouping_for_wheel[[#This Row],[RESET recipe combination]],FINI_grouping_for_wheel[[#This Row],[Recipe Combination]]),"/",FINI_grouping_for_wheel[[#This Row],[Subgroup]])</f>
        <v>4705892/THDP/x/7</v>
      </c>
      <c r="AG6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0.784471218206158</v>
      </c>
      <c r="AH646">
        <f>_xlfn.LET(_xlpm.pct, FINI_grouping_for_wheel[[#This Row],[% forecast within subgroup]], _xlpm.lote, FINI_grouping_for_wheel[[#This Row],[Lot size considered]], _xlpm.pct*_xlpm.lote)</f>
        <v>6558.7736349579645</v>
      </c>
      <c r="AI646" cm="1">
        <f t="array" aca="1" ref="AI646" ca="1">IFERROR(INDIRECT("FINI_grouping_for_wheel[@["&amp;FINI_grouping_for_wheel[[#This Row],[Selected PV]]&amp;"]]"),"")</f>
        <v>85</v>
      </c>
      <c r="AJ64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4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46" s="4"/>
      <c r="AM64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85</v>
      </c>
      <c r="AN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4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46" t="str">
        <f>_xlfn.CONCAT(FINI_grouping_for_wheel[[#This Row],[Recipe Combination]],FINI_grouping_for_wheel[[#This Row],[Subgroup]])</f>
        <v>A7</v>
      </c>
    </row>
    <row r="647" spans="1:55" hidden="1">
      <c r="A647" t="s">
        <v>11</v>
      </c>
      <c r="B647">
        <v>4705892</v>
      </c>
      <c r="C647" t="s">
        <v>2641</v>
      </c>
      <c r="D647">
        <v>8360.7575176</v>
      </c>
      <c r="E647">
        <v>41</v>
      </c>
      <c r="F647">
        <v>0.82</v>
      </c>
      <c r="G647" t="s">
        <v>2661</v>
      </c>
      <c r="H647" t="s">
        <v>2662</v>
      </c>
      <c r="I647">
        <v>330</v>
      </c>
      <c r="J647" t="s">
        <v>90</v>
      </c>
      <c r="K647" t="s">
        <v>2663</v>
      </c>
      <c r="L647" t="s">
        <v>2664</v>
      </c>
      <c r="M647">
        <v>89444.02275</v>
      </c>
      <c r="N647">
        <v>357.776091</v>
      </c>
      <c r="O647">
        <v>106788.231</v>
      </c>
      <c r="P647">
        <v>342586.58985</v>
      </c>
      <c r="Q647">
        <v>0.83758314855875826</v>
      </c>
      <c r="R647">
        <v>7002.82960593</v>
      </c>
      <c r="S647" t="s">
        <v>118</v>
      </c>
      <c r="T647" t="s">
        <v>93</v>
      </c>
      <c r="U647">
        <v>10</v>
      </c>
      <c r="V647" t="s">
        <v>94</v>
      </c>
      <c r="W647" t="s">
        <v>95</v>
      </c>
      <c r="X647" t="s">
        <v>96</v>
      </c>
      <c r="Y647" s="23" t="s">
        <v>97</v>
      </c>
      <c r="AA647">
        <v>23</v>
      </c>
      <c r="AB647" t="s">
        <v>2665</v>
      </c>
      <c r="AC647" t="s">
        <v>2647</v>
      </c>
      <c r="AD647" s="2">
        <v>5</v>
      </c>
      <c r="AE647" s="2" t="s">
        <v>70</v>
      </c>
      <c r="AF647" t="str">
        <f>_xlfn.CONCAT(FINI_grouping_for_wheel[[#This Row],[SEFI/Plant]],"/",IF(FINI_grouping_for_wheel[[#This Row],[RESET recipe combination]]&lt;&gt;"",FINI_grouping_for_wheel[[#This Row],[RESET recipe combination]],FINI_grouping_for_wheel[[#This Row],[Recipe Combination]]),"/",FINI_grouping_for_wheel[[#This Row],[Subgroup]])</f>
        <v>4705892/THDP/x/5</v>
      </c>
      <c r="AG6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47">
        <f>_xlfn.LET(_xlpm.pct, FINI_grouping_for_wheel[[#This Row],[% forecast within subgroup]], _xlpm.lote, FINI_grouping_for_wheel[[#This Row],[Lot size considered]], _xlpm.pct*_xlpm.lote)</f>
        <v>8360.7575176</v>
      </c>
      <c r="AI647" cm="1">
        <f t="array" aca="1" ref="AI647" ca="1">IFERROR(INDIRECT("FINI_grouping_for_wheel[@["&amp;FINI_grouping_for_wheel[[#This Row],[Selected PV]]&amp;"]]"),"")</f>
        <v>21</v>
      </c>
      <c r="AJ64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26.9</v>
      </c>
      <c r="AL647" s="4"/>
      <c r="AM64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4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47" t="str">
        <f>_xlfn.CONCAT(FINI_grouping_for_wheel[[#This Row],[Recipe Combination]],FINI_grouping_for_wheel[[#This Row],[Subgroup]])</f>
        <v>A5</v>
      </c>
    </row>
    <row r="648" spans="1:55" hidden="1">
      <c r="A648" t="s">
        <v>11</v>
      </c>
      <c r="B648">
        <v>4705892</v>
      </c>
      <c r="C648" t="s">
        <v>2641</v>
      </c>
      <c r="D648">
        <v>8360.7575176</v>
      </c>
      <c r="E648">
        <v>41</v>
      </c>
      <c r="F648">
        <v>0.82</v>
      </c>
      <c r="G648" t="s">
        <v>2666</v>
      </c>
      <c r="H648" t="s">
        <v>2667</v>
      </c>
      <c r="I648">
        <v>300</v>
      </c>
      <c r="J648" t="s">
        <v>90</v>
      </c>
      <c r="K648" t="s">
        <v>552</v>
      </c>
      <c r="L648" t="s">
        <v>553</v>
      </c>
      <c r="M648">
        <v>1091.56041</v>
      </c>
      <c r="N648">
        <v>4.36624164</v>
      </c>
      <c r="O648">
        <v>52810.450335</v>
      </c>
      <c r="P648">
        <v>342586.58985</v>
      </c>
      <c r="Q648">
        <v>2.0669401663416055E-2</v>
      </c>
      <c r="R648">
        <v>172.811855342</v>
      </c>
      <c r="S648" t="s">
        <v>294</v>
      </c>
      <c r="T648" t="s">
        <v>93</v>
      </c>
      <c r="U648">
        <v>12.5</v>
      </c>
      <c r="V648" t="s">
        <v>295</v>
      </c>
      <c r="W648" t="s">
        <v>142</v>
      </c>
      <c r="X648" t="s">
        <v>128</v>
      </c>
      <c r="Y648" s="23" t="s">
        <v>120</v>
      </c>
      <c r="AA648">
        <v>1915</v>
      </c>
      <c r="AB648" t="s">
        <v>2668</v>
      </c>
      <c r="AC648" t="s">
        <v>2647</v>
      </c>
      <c r="AD648" s="2">
        <v>6</v>
      </c>
      <c r="AE648" s="2" t="s">
        <v>70</v>
      </c>
      <c r="AF648" t="str">
        <f>_xlfn.CONCAT(FINI_grouping_for_wheel[[#This Row],[SEFI/Plant]],"/",IF(FINI_grouping_for_wheel[[#This Row],[RESET recipe combination]]&lt;&gt;"",FINI_grouping_for_wheel[[#This Row],[RESET recipe combination]],FINI_grouping_for_wheel[[#This Row],[Recipe Combination]]),"/",FINI_grouping_for_wheel[[#This Row],[Subgroup]])</f>
        <v>4705892/THDP/x/6</v>
      </c>
      <c r="AG6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0.02610271219070268</v>
      </c>
      <c r="AH648">
        <f>_xlfn.LET(_xlpm.pct, FINI_grouping_for_wheel[[#This Row],[% forecast within subgroup]], _xlpm.lote, FINI_grouping_for_wheel[[#This Row],[Lot size considered]], _xlpm.pct*_xlpm.lote)</f>
        <v>218.23844717816658</v>
      </c>
      <c r="AI648" cm="1">
        <f t="array" aca="1" ref="AI648" ca="1">IFERROR(INDIRECT("FINI_grouping_for_wheel[@["&amp;FINI_grouping_for_wheel[[#This Row],[Selected PV]]&amp;"]]"),"")</f>
        <v>45</v>
      </c>
      <c r="AJ64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0.8</v>
      </c>
      <c r="AL648" s="4"/>
      <c r="AM64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45</v>
      </c>
      <c r="AN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4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48" t="str">
        <f>_xlfn.CONCAT(FINI_grouping_for_wheel[[#This Row],[Recipe Combination]],FINI_grouping_for_wheel[[#This Row],[Subgroup]])</f>
        <v>C6</v>
      </c>
    </row>
    <row r="649" spans="1:55" hidden="1">
      <c r="A649" t="s">
        <v>11</v>
      </c>
      <c r="B649">
        <v>4705892</v>
      </c>
      <c r="C649" t="s">
        <v>2641</v>
      </c>
      <c r="D649">
        <v>8360.7575176</v>
      </c>
      <c r="E649">
        <v>41</v>
      </c>
      <c r="F649">
        <v>0.82</v>
      </c>
      <c r="G649" t="s">
        <v>2669</v>
      </c>
      <c r="H649" t="s">
        <v>2670</v>
      </c>
      <c r="I649">
        <v>280</v>
      </c>
      <c r="J649" t="s">
        <v>90</v>
      </c>
      <c r="K649" t="s">
        <v>140</v>
      </c>
      <c r="L649" t="s">
        <v>141</v>
      </c>
      <c r="M649">
        <v>10992.557925</v>
      </c>
      <c r="N649">
        <v>43.9702317</v>
      </c>
      <c r="O649">
        <v>52810.450335</v>
      </c>
      <c r="P649">
        <v>342586.58985</v>
      </c>
      <c r="Q649">
        <v>0.20815118703342525</v>
      </c>
      <c r="R649">
        <v>1740.30160179</v>
      </c>
      <c r="S649" t="s">
        <v>294</v>
      </c>
      <c r="T649" t="s">
        <v>93</v>
      </c>
      <c r="U649">
        <v>5</v>
      </c>
      <c r="V649" t="s">
        <v>135</v>
      </c>
      <c r="W649" t="s">
        <v>142</v>
      </c>
      <c r="X649" t="s">
        <v>128</v>
      </c>
      <c r="Y649" s="23" t="s">
        <v>136</v>
      </c>
      <c r="AA649">
        <v>190</v>
      </c>
      <c r="AB649" t="s">
        <v>2671</v>
      </c>
      <c r="AC649" t="s">
        <v>2647</v>
      </c>
      <c r="AD649" s="2">
        <v>1</v>
      </c>
      <c r="AE649" s="2" t="s">
        <v>70</v>
      </c>
      <c r="AF649" t="str">
        <f>_xlfn.CONCAT(FINI_grouping_for_wheel[[#This Row],[SEFI/Plant]],"/",IF(FINI_grouping_for_wheel[[#This Row],[RESET recipe combination]]&lt;&gt;"",FINI_grouping_for_wheel[[#This Row],[RESET recipe combination]],FINI_grouping_for_wheel[[#This Row],[Recipe Combination]]),"/",FINI_grouping_for_wheel[[#This Row],[Subgroup]])</f>
        <v>4705892/THDP/x/1</v>
      </c>
      <c r="AG6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0.20769488871490882</v>
      </c>
      <c r="AH649">
        <f>_xlfn.LET(_xlpm.pct, FINI_grouping_for_wheel[[#This Row],[% forecast within subgroup]], _xlpm.lote, FINI_grouping_for_wheel[[#This Row],[Lot size considered]], _xlpm.pct*_xlpm.lote)</f>
        <v>1736.4866021902692</v>
      </c>
      <c r="AI649" cm="1">
        <f t="array" aca="1" ref="AI649" ca="1">IFERROR(INDIRECT("FINI_grouping_for_wheel[@["&amp;FINI_grouping_for_wheel[[#This Row],[Selected PV]]&amp;"]]"),"")</f>
        <v>36</v>
      </c>
      <c r="AJ64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6.6</v>
      </c>
      <c r="AL649" s="4"/>
      <c r="AM64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36</v>
      </c>
      <c r="AN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4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49" t="str">
        <f>_xlfn.CONCAT(FINI_grouping_for_wheel[[#This Row],[Recipe Combination]],FINI_grouping_for_wheel[[#This Row],[Subgroup]])</f>
        <v>C1</v>
      </c>
    </row>
    <row r="650" spans="1:55" hidden="1">
      <c r="A650" t="s">
        <v>11</v>
      </c>
      <c r="B650">
        <v>4705892</v>
      </c>
      <c r="C650" t="s">
        <v>2641</v>
      </c>
      <c r="D650">
        <v>8360.7575176</v>
      </c>
      <c r="E650">
        <v>41</v>
      </c>
      <c r="F650">
        <v>0.82</v>
      </c>
      <c r="G650" t="s">
        <v>2672</v>
      </c>
      <c r="H650" t="s">
        <v>2673</v>
      </c>
      <c r="I650">
        <v>300</v>
      </c>
      <c r="J650" t="s">
        <v>90</v>
      </c>
      <c r="K650" t="s">
        <v>292</v>
      </c>
      <c r="L650" t="s">
        <v>293</v>
      </c>
      <c r="M650">
        <v>22650.47046</v>
      </c>
      <c r="N650">
        <v>90.60188184</v>
      </c>
      <c r="O650">
        <v>52810.450335</v>
      </c>
      <c r="P650">
        <v>342586.58985</v>
      </c>
      <c r="Q650">
        <v>0.42890129351895445</v>
      </c>
      <c r="R650">
        <v>3585.9397141</v>
      </c>
      <c r="S650" t="s">
        <v>294</v>
      </c>
      <c r="T650" t="s">
        <v>93</v>
      </c>
      <c r="U650">
        <v>12.5</v>
      </c>
      <c r="V650" t="s">
        <v>295</v>
      </c>
      <c r="W650" t="s">
        <v>142</v>
      </c>
      <c r="X650" t="s">
        <v>128</v>
      </c>
      <c r="Y650" s="23" t="s">
        <v>120</v>
      </c>
      <c r="AA650">
        <v>92</v>
      </c>
      <c r="AB650" t="s">
        <v>2674</v>
      </c>
      <c r="AC650" t="s">
        <v>2647</v>
      </c>
      <c r="AD650" s="2">
        <v>6</v>
      </c>
      <c r="AE650" s="2" t="s">
        <v>70</v>
      </c>
      <c r="AF650" t="str">
        <f>_xlfn.CONCAT(FINI_grouping_for_wheel[[#This Row],[SEFI/Plant]],"/",IF(FINI_grouping_for_wheel[[#This Row],[RESET recipe combination]]&lt;&gt;"",FINI_grouping_for_wheel[[#This Row],[RESET recipe combination]],FINI_grouping_for_wheel[[#This Row],[Recipe Combination]]),"/",FINI_grouping_for_wheel[[#This Row],[Subgroup]])</f>
        <v>4705892/THDP/x/6</v>
      </c>
      <c r="AG6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0.541645433440915</v>
      </c>
      <c r="AH650">
        <f>_xlfn.LET(_xlpm.pct, FINI_grouping_for_wheel[[#This Row],[% forecast within subgroup]], _xlpm.lote, FINI_grouping_for_wheel[[#This Row],[Lot size considered]], _xlpm.pct*_xlpm.lote)</f>
        <v>4528.56612951484</v>
      </c>
      <c r="AI650" cm="1">
        <f t="array" aca="1" ref="AI650" ca="1">IFERROR(INDIRECT("FINI_grouping_for_wheel[@["&amp;FINI_grouping_for_wheel[[#This Row],[Selected PV]]&amp;"]]"),"")</f>
        <v>45</v>
      </c>
      <c r="AJ65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v>
      </c>
      <c r="AL650" s="4"/>
      <c r="AM65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45</v>
      </c>
      <c r="AN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5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50" t="str">
        <f>_xlfn.CONCAT(FINI_grouping_for_wheel[[#This Row],[Recipe Combination]],FINI_grouping_for_wheel[[#This Row],[Subgroup]])</f>
        <v>C6</v>
      </c>
    </row>
    <row r="651" spans="1:55" hidden="1">
      <c r="A651" t="s">
        <v>11</v>
      </c>
      <c r="B651">
        <v>4705892</v>
      </c>
      <c r="C651" t="s">
        <v>2641</v>
      </c>
      <c r="D651">
        <v>8360.7575176</v>
      </c>
      <c r="E651">
        <v>41</v>
      </c>
      <c r="F651">
        <v>0.82</v>
      </c>
      <c r="G651" t="s">
        <v>2675</v>
      </c>
      <c r="H651" t="s">
        <v>2676</v>
      </c>
      <c r="I651">
        <v>300</v>
      </c>
      <c r="J651" t="s">
        <v>90</v>
      </c>
      <c r="K651" t="s">
        <v>292</v>
      </c>
      <c r="L651" t="s">
        <v>293</v>
      </c>
      <c r="M651">
        <v>18075.86154</v>
      </c>
      <c r="N651">
        <v>72.30344616</v>
      </c>
      <c r="O651">
        <v>52810.450335</v>
      </c>
      <c r="P651">
        <v>342586.58985</v>
      </c>
      <c r="Q651">
        <v>0.34227811778420425</v>
      </c>
      <c r="R651">
        <v>2861.70434637</v>
      </c>
      <c r="S651" t="s">
        <v>294</v>
      </c>
      <c r="T651" t="s">
        <v>93</v>
      </c>
      <c r="U651">
        <v>12.5</v>
      </c>
      <c r="V651" t="s">
        <v>295</v>
      </c>
      <c r="W651" t="s">
        <v>142</v>
      </c>
      <c r="X651" t="s">
        <v>128</v>
      </c>
      <c r="Y651" s="23" t="s">
        <v>120</v>
      </c>
      <c r="AA651">
        <v>116</v>
      </c>
      <c r="AB651" t="s">
        <v>2677</v>
      </c>
      <c r="AC651" t="s">
        <v>2647</v>
      </c>
      <c r="AD651" s="2">
        <v>6</v>
      </c>
      <c r="AE651" s="2" t="s">
        <v>70</v>
      </c>
      <c r="AF651" t="str">
        <f>_xlfn.CONCAT(FINI_grouping_for_wheel[[#This Row],[SEFI/Plant]],"/",IF(FINI_grouping_for_wheel[[#This Row],[RESET recipe combination]]&lt;&gt;"",FINI_grouping_for_wheel[[#This Row],[RESET recipe combination]],FINI_grouping_for_wheel[[#This Row],[Recipe Combination]]),"/",FINI_grouping_for_wheel[[#This Row],[Subgroup]])</f>
        <v>4705892/THDP/x/6</v>
      </c>
      <c r="AG6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0.43225185436838237</v>
      </c>
      <c r="AH651">
        <f>_xlfn.LET(_xlpm.pct, FINI_grouping_for_wheel[[#This Row],[% forecast within subgroup]], _xlpm.lote, FINI_grouping_for_wheel[[#This Row],[Lot size considered]], _xlpm.pct*_xlpm.lote)</f>
        <v>3613.952940906993</v>
      </c>
      <c r="AI651" cm="1">
        <f t="array" aca="1" ref="AI651" ca="1">IFERROR(INDIRECT("FINI_grouping_for_wheel[@["&amp;FINI_grouping_for_wheel[[#This Row],[Selected PV]]&amp;"]]"),"")</f>
        <v>45</v>
      </c>
      <c r="AJ65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12.8</v>
      </c>
      <c r="AL651" s="4"/>
      <c r="AM65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45</v>
      </c>
      <c r="AN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5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51" t="str">
        <f>_xlfn.CONCAT(FINI_grouping_for_wheel[[#This Row],[Recipe Combination]],FINI_grouping_for_wheel[[#This Row],[Subgroup]])</f>
        <v>C6</v>
      </c>
    </row>
    <row r="652" spans="1:55" hidden="1">
      <c r="A652" t="s">
        <v>11</v>
      </c>
      <c r="B652">
        <v>4705892</v>
      </c>
      <c r="C652" t="s">
        <v>2641</v>
      </c>
      <c r="D652">
        <v>8360.7575176</v>
      </c>
      <c r="E652">
        <v>41</v>
      </c>
      <c r="F652">
        <v>0.82</v>
      </c>
      <c r="G652" t="s">
        <v>2678</v>
      </c>
      <c r="H652" t="s">
        <v>2679</v>
      </c>
      <c r="I652">
        <v>190</v>
      </c>
      <c r="J652" t="s">
        <v>90</v>
      </c>
      <c r="K652" t="s">
        <v>602</v>
      </c>
      <c r="L652" t="s">
        <v>603</v>
      </c>
      <c r="M652">
        <v>735.205005</v>
      </c>
      <c r="N652">
        <v>2.94082002</v>
      </c>
      <c r="O652">
        <v>4938.067755</v>
      </c>
      <c r="P652">
        <v>342586.58985</v>
      </c>
      <c r="Q652">
        <v>0.14888515943418845</v>
      </c>
      <c r="R652">
        <v>1244.792716</v>
      </c>
      <c r="S652" t="s">
        <v>126</v>
      </c>
      <c r="T652" t="s">
        <v>93</v>
      </c>
      <c r="U652">
        <v>2.5</v>
      </c>
      <c r="V652" t="s">
        <v>604</v>
      </c>
      <c r="W652" t="s">
        <v>142</v>
      </c>
      <c r="X652" t="s">
        <v>128</v>
      </c>
      <c r="Y652" s="23" t="s">
        <v>136</v>
      </c>
      <c r="AA652">
        <v>2843</v>
      </c>
      <c r="AB652" t="s">
        <v>2680</v>
      </c>
      <c r="AC652" t="s">
        <v>2647</v>
      </c>
      <c r="AD652" s="2">
        <v>200</v>
      </c>
      <c r="AE652" s="2" t="s">
        <v>70</v>
      </c>
      <c r="AF652" t="str">
        <f>_xlfn.CONCAT(FINI_grouping_for_wheel[[#This Row],[SEFI/Plant]],"/",IF(FINI_grouping_for_wheel[[#This Row],[RESET recipe combination]]&lt;&gt;"",FINI_grouping_for_wheel[[#This Row],[RESET recipe combination]],FINI_grouping_for_wheel[[#This Row],[Recipe Combination]]),"/",FINI_grouping_for_wheel[[#This Row],[Subgroup]])</f>
        <v>4705892/THDP/x/200</v>
      </c>
      <c r="AG6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0.06484962406015038</v>
      </c>
      <c r="AH652">
        <f>_xlfn.LET(_xlpm.pct, FINI_grouping_for_wheel[[#This Row],[% forecast within subgroup]], _xlpm.lote, FINI_grouping_for_wheel[[#This Row],[Lot size considered]], _xlpm.pct*_xlpm.lote)</f>
        <v>542.191981874436</v>
      </c>
      <c r="AI652" cm="1">
        <f t="array" aca="1" ref="AI652" ca="1">IFERROR(INDIRECT("FINI_grouping_for_wheel[@["&amp;FINI_grouping_for_wheel[[#This Row],[Selected PV]]&amp;"]]"),"")</f>
        <v>167</v>
      </c>
      <c r="AJ65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v>
      </c>
      <c r="AL652" s="4"/>
      <c r="AM65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167</v>
      </c>
      <c r="AN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5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52" t="str">
        <f>_xlfn.CONCAT(FINI_grouping_for_wheel[[#This Row],[Recipe Combination]],FINI_grouping_for_wheel[[#This Row],[Subgroup]])</f>
        <v>E200</v>
      </c>
    </row>
    <row r="653" spans="1:55" hidden="1">
      <c r="A653" t="s">
        <v>11</v>
      </c>
      <c r="B653">
        <v>4705892</v>
      </c>
      <c r="C653" t="s">
        <v>2641</v>
      </c>
      <c r="D653">
        <v>8360.7575176</v>
      </c>
      <c r="E653">
        <v>41</v>
      </c>
      <c r="F653">
        <v>0.82</v>
      </c>
      <c r="G653" t="s">
        <v>2681</v>
      </c>
      <c r="H653" t="s">
        <v>2682</v>
      </c>
      <c r="I653">
        <v>280</v>
      </c>
      <c r="J653" t="s">
        <v>90</v>
      </c>
      <c r="K653" t="s">
        <v>140</v>
      </c>
      <c r="L653" t="s">
        <v>141</v>
      </c>
      <c r="M653">
        <v>1758.098925</v>
      </c>
      <c r="N653">
        <v>7.0323957</v>
      </c>
      <c r="O653">
        <v>4938.067755</v>
      </c>
      <c r="P653">
        <v>342586.58985</v>
      </c>
      <c r="Q653">
        <v>0.35602972908175495</v>
      </c>
      <c r="R653">
        <v>2976.67823391</v>
      </c>
      <c r="S653" t="s">
        <v>126</v>
      </c>
      <c r="T653" t="s">
        <v>93</v>
      </c>
      <c r="U653">
        <v>5</v>
      </c>
      <c r="V653" t="s">
        <v>135</v>
      </c>
      <c r="W653" t="s">
        <v>142</v>
      </c>
      <c r="X653" t="s">
        <v>128</v>
      </c>
      <c r="Y653" s="23" t="s">
        <v>136</v>
      </c>
      <c r="AA653">
        <v>1189</v>
      </c>
      <c r="AB653" t="s">
        <v>2683</v>
      </c>
      <c r="AC653" t="s">
        <v>2647</v>
      </c>
      <c r="AD653" s="2">
        <v>200</v>
      </c>
      <c r="AE653" s="2" t="s">
        <v>70</v>
      </c>
      <c r="AF653" t="str">
        <f>_xlfn.CONCAT(FINI_grouping_for_wheel[[#This Row],[SEFI/Plant]],"/",IF(FINI_grouping_for_wheel[[#This Row],[RESET recipe combination]]&lt;&gt;"",FINI_grouping_for_wheel[[#This Row],[RESET recipe combination]],FINI_grouping_for_wheel[[#This Row],[Recipe Combination]]),"/",FINI_grouping_for_wheel[[#This Row],[Subgroup]])</f>
        <v>4705892/THDP/x/200</v>
      </c>
      <c r="AG6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0.1550751879699248</v>
      </c>
      <c r="AH653">
        <f>_xlfn.LET(_xlpm.pct, FINI_grouping_for_wheel[[#This Row],[% forecast within subgroup]], _xlpm.lote, FINI_grouping_for_wheel[[#This Row],[Lot size considered]], _xlpm.pct*_xlpm.lote)</f>
        <v>1296.546043612782</v>
      </c>
      <c r="AI653" cm="1">
        <f t="array" aca="1" ref="AI653" ca="1">IFERROR(INDIRECT("FINI_grouping_for_wheel[@["&amp;FINI_grouping_for_wheel[[#This Row],[Selected PV]]&amp;"]]"),"")</f>
        <v>167</v>
      </c>
      <c r="AJ65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4.9</v>
      </c>
      <c r="AL653" s="4"/>
      <c r="AM65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167</v>
      </c>
      <c r="AN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5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53" t="str">
        <f>_xlfn.CONCAT(FINI_grouping_for_wheel[[#This Row],[Recipe Combination]],FINI_grouping_for_wheel[[#This Row],[Subgroup]])</f>
        <v>E200</v>
      </c>
    </row>
    <row r="654" spans="1:55" hidden="1">
      <c r="A654" t="s">
        <v>11</v>
      </c>
      <c r="B654">
        <v>4705892</v>
      </c>
      <c r="C654" t="s">
        <v>2641</v>
      </c>
      <c r="D654">
        <v>8360.7575176</v>
      </c>
      <c r="E654">
        <v>41</v>
      </c>
      <c r="F654">
        <v>0.82</v>
      </c>
      <c r="G654" t="s">
        <v>2684</v>
      </c>
      <c r="H654" t="s">
        <v>2685</v>
      </c>
      <c r="I654">
        <v>350</v>
      </c>
      <c r="J654" t="s">
        <v>90</v>
      </c>
      <c r="K654" t="s">
        <v>140</v>
      </c>
      <c r="L654" t="s">
        <v>141</v>
      </c>
      <c r="M654">
        <v>2444.763825</v>
      </c>
      <c r="N654">
        <v>9.7790553</v>
      </c>
      <c r="O654">
        <v>4938.067755</v>
      </c>
      <c r="P654">
        <v>342586.58985</v>
      </c>
      <c r="Q654">
        <v>0.49508511148405659</v>
      </c>
      <c r="R654">
        <v>4139.28656769</v>
      </c>
      <c r="S654" t="s">
        <v>126</v>
      </c>
      <c r="T654" t="s">
        <v>93</v>
      </c>
      <c r="U654">
        <v>5</v>
      </c>
      <c r="V654" t="s">
        <v>135</v>
      </c>
      <c r="W654" t="s">
        <v>142</v>
      </c>
      <c r="X654" t="s">
        <v>128</v>
      </c>
      <c r="Y654" s="23" t="s">
        <v>136</v>
      </c>
      <c r="AA654">
        <v>855</v>
      </c>
      <c r="AB654" t="s">
        <v>2686</v>
      </c>
      <c r="AC654" t="s">
        <v>2647</v>
      </c>
      <c r="AD654" s="2">
        <v>200</v>
      </c>
      <c r="AE654" s="2" t="s">
        <v>70</v>
      </c>
      <c r="AF654" t="str">
        <f>_xlfn.CONCAT(FINI_grouping_for_wheel[[#This Row],[SEFI/Plant]],"/",IF(FINI_grouping_for_wheel[[#This Row],[RESET recipe combination]]&lt;&gt;"",FINI_grouping_for_wheel[[#This Row],[RESET recipe combination]],FINI_grouping_for_wheel[[#This Row],[Recipe Combination]]),"/",FINI_grouping_for_wheel[[#This Row],[Subgroup]])</f>
        <v>4705892/THDP/x/200</v>
      </c>
      <c r="AG6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0.21564327485380116</v>
      </c>
      <c r="AH654">
        <f>_xlfn.LET(_xlpm.pct, FINI_grouping_for_wheel[[#This Row],[% forecast within subgroup]], _xlpm.lote, FINI_grouping_for_wheel[[#This Row],[Lot size considered]], _xlpm.pct*_xlpm.lote)</f>
        <v>1802.941131353801</v>
      </c>
      <c r="AI654" cm="1">
        <f t="array" aca="1" ref="AI654" ca="1">IFERROR(INDIRECT("FINI_grouping_for_wheel[@["&amp;FINI_grouping_for_wheel[[#This Row],[Selected PV]]&amp;"]]"),"")</f>
        <v>167</v>
      </c>
      <c r="AJ65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5.5</v>
      </c>
      <c r="AL654" s="4"/>
      <c r="AM65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167</v>
      </c>
      <c r="AN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5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54" t="str">
        <f>_xlfn.CONCAT(FINI_grouping_for_wheel[[#This Row],[Recipe Combination]],FINI_grouping_for_wheel[[#This Row],[Subgroup]])</f>
        <v>E200</v>
      </c>
    </row>
    <row r="655" spans="1:55" hidden="1">
      <c r="A655" t="s">
        <v>11</v>
      </c>
      <c r="B655">
        <v>4705892</v>
      </c>
      <c r="C655" t="s">
        <v>2641</v>
      </c>
      <c r="D655">
        <v>8360.7575176</v>
      </c>
      <c r="E655">
        <v>41</v>
      </c>
      <c r="F655">
        <v>0.82</v>
      </c>
      <c r="G655" t="s">
        <v>2687</v>
      </c>
      <c r="H655" t="s">
        <v>2688</v>
      </c>
      <c r="I655">
        <v>396</v>
      </c>
      <c r="J655" t="s">
        <v>90</v>
      </c>
      <c r="K655" t="s">
        <v>912</v>
      </c>
      <c r="L655" t="s">
        <v>913</v>
      </c>
      <c r="M655">
        <v>3460.554315</v>
      </c>
      <c r="N655">
        <v>13.84221726</v>
      </c>
      <c r="O655">
        <v>5279.032395</v>
      </c>
      <c r="P655">
        <v>342586.58985</v>
      </c>
      <c r="Q655">
        <v>0.65552814532406367</v>
      </c>
      <c r="R655">
        <v>5480.71186902</v>
      </c>
      <c r="S655" t="s">
        <v>914</v>
      </c>
      <c r="T655" t="s">
        <v>93</v>
      </c>
      <c r="U655">
        <v>1</v>
      </c>
      <c r="V655" t="s">
        <v>505</v>
      </c>
      <c r="W655" t="s">
        <v>142</v>
      </c>
      <c r="X655" t="s">
        <v>150</v>
      </c>
      <c r="Y655" s="23" t="s">
        <v>151</v>
      </c>
      <c r="AA655">
        <v>604</v>
      </c>
      <c r="AB655" t="s">
        <v>2689</v>
      </c>
      <c r="AC655" t="s">
        <v>2647</v>
      </c>
      <c r="AD655" s="2">
        <v>3</v>
      </c>
      <c r="AE655" s="2" t="s">
        <v>70</v>
      </c>
      <c r="AF655" t="str">
        <f>_xlfn.CONCAT(FINI_grouping_for_wheel[[#This Row],[SEFI/Plant]],"/",IF(FINI_grouping_for_wheel[[#This Row],[RESET recipe combination]]&lt;&gt;"",FINI_grouping_for_wheel[[#This Row],[RESET recipe combination]],FINI_grouping_for_wheel[[#This Row],[Recipe Combination]]),"/",FINI_grouping_for_wheel[[#This Row],[Subgroup]])</f>
        <v>4705892/THDP/x/3</v>
      </c>
      <c r="AG6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0.4417409702282001</v>
      </c>
      <c r="AH655">
        <f>_xlfn.LET(_xlpm.pct, FINI_grouping_for_wheel[[#This Row],[% forecast within subgroup]], _xlpm.lote, FINI_grouping_for_wheel[[#This Row],[Lot size considered]], _xlpm.pct*_xlpm.lote)</f>
        <v>3693.289137667341</v>
      </c>
      <c r="AI655" cm="1">
        <f t="array" aca="1" ref="AI655" ca="1">IFERROR(INDIRECT("FINI_grouping_for_wheel[@["&amp;FINI_grouping_for_wheel[[#This Row],[Selected PV]]&amp;"]]"),"")</f>
        <v>241</v>
      </c>
      <c r="AJ65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9.9</v>
      </c>
      <c r="AL655" s="4"/>
      <c r="AM65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241</v>
      </c>
      <c r="AN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5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55" t="str">
        <f>_xlfn.CONCAT(FINI_grouping_for_wheel[[#This Row],[Recipe Combination]],FINI_grouping_for_wheel[[#This Row],[Subgroup]])</f>
        <v>G3</v>
      </c>
    </row>
    <row r="656" spans="1:55" hidden="1">
      <c r="A656" t="s">
        <v>11</v>
      </c>
      <c r="B656">
        <v>4705892</v>
      </c>
      <c r="C656" t="s">
        <v>2641</v>
      </c>
      <c r="D656">
        <v>8360.7575176</v>
      </c>
      <c r="E656">
        <v>41</v>
      </c>
      <c r="F656">
        <v>0.82</v>
      </c>
      <c r="G656" t="s">
        <v>2690</v>
      </c>
      <c r="H656" t="s">
        <v>2691</v>
      </c>
      <c r="I656">
        <v>396</v>
      </c>
      <c r="J656" t="s">
        <v>90</v>
      </c>
      <c r="K656" t="s">
        <v>503</v>
      </c>
      <c r="L656" t="s">
        <v>504</v>
      </c>
      <c r="M656">
        <v>801.503685</v>
      </c>
      <c r="N656">
        <v>3.20601474</v>
      </c>
      <c r="O656">
        <v>5279.032395</v>
      </c>
      <c r="P656">
        <v>342586.58985</v>
      </c>
      <c r="Q656">
        <v>0.15182776407266202</v>
      </c>
      <c r="R656">
        <v>1269.39511985</v>
      </c>
      <c r="S656" t="s">
        <v>914</v>
      </c>
      <c r="T656" t="s">
        <v>93</v>
      </c>
      <c r="U656">
        <v>1</v>
      </c>
      <c r="V656" t="s">
        <v>505</v>
      </c>
      <c r="W656" t="s">
        <v>142</v>
      </c>
      <c r="X656" t="s">
        <v>150</v>
      </c>
      <c r="Y656" s="23" t="s">
        <v>151</v>
      </c>
      <c r="AA656">
        <v>2608</v>
      </c>
      <c r="AB656" t="s">
        <v>2692</v>
      </c>
      <c r="AC656" t="s">
        <v>2647</v>
      </c>
      <c r="AD656" s="2">
        <v>3</v>
      </c>
      <c r="AE656" s="2" t="s">
        <v>70</v>
      </c>
      <c r="AF656" t="str">
        <f>_xlfn.CONCAT(FINI_grouping_for_wheel[[#This Row],[SEFI/Plant]],"/",IF(FINI_grouping_for_wheel[[#This Row],[RESET recipe combination]]&lt;&gt;"",FINI_grouping_for_wheel[[#This Row],[RESET recipe combination]],FINI_grouping_for_wheel[[#This Row],[Recipe Combination]]),"/",FINI_grouping_for_wheel[[#This Row],[Subgroup]])</f>
        <v>4705892/THDP/x/3</v>
      </c>
      <c r="AG6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0.10231222608432824</v>
      </c>
      <c r="AH656">
        <f>_xlfn.LET(_xlpm.pct, FINI_grouping_for_wheel[[#This Row],[% forecast within subgroup]], _xlpm.lote, FINI_grouping_for_wheel[[#This Row],[Lot size considered]], _xlpm.pct*_xlpm.lote)</f>
        <v>855.4077133769381</v>
      </c>
      <c r="AI656" cm="1">
        <f t="array" aca="1" ref="AI656" ca="1">IFERROR(INDIRECT("FINI_grouping_for_wheel[@["&amp;FINI_grouping_for_wheel[[#This Row],[Selected PV]]&amp;"]]"),"")</f>
        <v>241</v>
      </c>
      <c r="AJ65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v>
      </c>
      <c r="AL656" s="4"/>
      <c r="AM65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241</v>
      </c>
      <c r="AN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5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56" t="str">
        <f>_xlfn.CONCAT(FINI_grouping_for_wheel[[#This Row],[Recipe Combination]],FINI_grouping_for_wheel[[#This Row],[Subgroup]])</f>
        <v>G3</v>
      </c>
    </row>
    <row r="657" spans="1:55" hidden="1">
      <c r="A657" t="s">
        <v>11</v>
      </c>
      <c r="B657">
        <v>4705892</v>
      </c>
      <c r="C657" t="s">
        <v>2641</v>
      </c>
      <c r="D657">
        <v>8360.7575176</v>
      </c>
      <c r="E657">
        <v>41</v>
      </c>
      <c r="F657">
        <v>0.82</v>
      </c>
      <c r="G657" t="s">
        <v>2693</v>
      </c>
      <c r="H657" t="s">
        <v>2694</v>
      </c>
      <c r="I657">
        <v>264</v>
      </c>
      <c r="J657" t="s">
        <v>90</v>
      </c>
      <c r="K657" t="s">
        <v>912</v>
      </c>
      <c r="L657" t="s">
        <v>913</v>
      </c>
      <c r="M657">
        <v>1016.974395</v>
      </c>
      <c r="N657">
        <v>4.06789758</v>
      </c>
      <c r="O657">
        <v>5279.032395</v>
      </c>
      <c r="P657">
        <v>342586.58985</v>
      </c>
      <c r="Q657">
        <v>0.19264409060327428</v>
      </c>
      <c r="R657">
        <v>1610.65052873</v>
      </c>
      <c r="S657" t="s">
        <v>914</v>
      </c>
      <c r="T657" t="s">
        <v>93</v>
      </c>
      <c r="U657">
        <v>1</v>
      </c>
      <c r="V657" t="s">
        <v>505</v>
      </c>
      <c r="W657" t="s">
        <v>142</v>
      </c>
      <c r="X657" t="s">
        <v>150</v>
      </c>
      <c r="Y657" s="23" t="s">
        <v>151</v>
      </c>
      <c r="AA657">
        <v>2055</v>
      </c>
      <c r="AB657" t="s">
        <v>2695</v>
      </c>
      <c r="AC657" t="s">
        <v>2647</v>
      </c>
      <c r="AD657" s="2">
        <v>3</v>
      </c>
      <c r="AE657" s="2" t="s">
        <v>70</v>
      </c>
      <c r="AF657" t="str">
        <f>_xlfn.CONCAT(FINI_grouping_for_wheel[[#This Row],[SEFI/Plant]],"/",IF(FINI_grouping_for_wheel[[#This Row],[RESET recipe combination]]&lt;&gt;"",FINI_grouping_for_wheel[[#This Row],[RESET recipe combination]],FINI_grouping_for_wheel[[#This Row],[Recipe Combination]]),"/",FINI_grouping_for_wheel[[#This Row],[Subgroup]])</f>
        <v>4705892/THDP/x/3</v>
      </c>
      <c r="AG6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0.12981713767568384</v>
      </c>
      <c r="AH657">
        <f>_xlfn.LET(_xlpm.pct, FINI_grouping_for_wheel[[#This Row],[% forecast within subgroup]], _xlpm.lote, FINI_grouping_for_wheel[[#This Row],[Lot size considered]], _xlpm.pct*_xlpm.lote)</f>
        <v>1085.3696097352877</v>
      </c>
      <c r="AI657" cm="1">
        <f t="array" aca="1" ref="AI657" ca="1">IFERROR(INDIRECT("FINI_grouping_for_wheel[@["&amp;FINI_grouping_for_wheel[[#This Row],[Selected PV]]&amp;"]]"),"")</f>
        <v>241</v>
      </c>
      <c r="AJ65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4.4</v>
      </c>
      <c r="AL657" s="4"/>
      <c r="AM65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241</v>
      </c>
      <c r="AN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5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57" t="str">
        <f>_xlfn.CONCAT(FINI_grouping_for_wheel[[#This Row],[Recipe Combination]],FINI_grouping_for_wheel[[#This Row],[Subgroup]])</f>
        <v>G3</v>
      </c>
    </row>
    <row r="658" spans="1:55" hidden="1">
      <c r="A658" t="s">
        <v>11</v>
      </c>
      <c r="B658">
        <v>4705892</v>
      </c>
      <c r="C658" t="s">
        <v>2641</v>
      </c>
      <c r="D658">
        <v>8360.7575176</v>
      </c>
      <c r="E658">
        <v>41</v>
      </c>
      <c r="F658">
        <v>0.82</v>
      </c>
      <c r="G658" t="s">
        <v>2696</v>
      </c>
      <c r="H658" t="s">
        <v>2697</v>
      </c>
      <c r="I658">
        <v>462</v>
      </c>
      <c r="J658" t="s">
        <v>90</v>
      </c>
      <c r="K658" t="s">
        <v>312</v>
      </c>
      <c r="L658" t="s">
        <v>313</v>
      </c>
      <c r="M658">
        <v>78.13773</v>
      </c>
      <c r="N658">
        <v>0.31255092</v>
      </c>
      <c r="O658">
        <v>78.13773</v>
      </c>
      <c r="P658">
        <v>342586.58985</v>
      </c>
      <c r="Q658">
        <v>1</v>
      </c>
      <c r="R658">
        <v>8360.7575176</v>
      </c>
      <c r="S658" t="s">
        <v>307</v>
      </c>
      <c r="T658" t="s">
        <v>93</v>
      </c>
      <c r="U658">
        <v>1</v>
      </c>
      <c r="V658" t="s">
        <v>315</v>
      </c>
      <c r="W658" t="s">
        <v>142</v>
      </c>
      <c r="X658" t="s">
        <v>150</v>
      </c>
      <c r="Y658" s="23" t="s">
        <v>151</v>
      </c>
      <c r="AA658">
        <v>26750</v>
      </c>
      <c r="AB658" t="s">
        <v>2698</v>
      </c>
      <c r="AC658" t="s">
        <v>2647</v>
      </c>
      <c r="AD658" s="2">
        <v>3</v>
      </c>
      <c r="AE658" s="2" t="s">
        <v>70</v>
      </c>
      <c r="AF658" t="str">
        <f>_xlfn.CONCAT(FINI_grouping_for_wheel[[#This Row],[SEFI/Plant]],"/",IF(FINI_grouping_for_wheel[[#This Row],[RESET recipe combination]]&lt;&gt;"",FINI_grouping_for_wheel[[#This Row],[RESET recipe combination]],FINI_grouping_for_wheel[[#This Row],[Recipe Combination]]),"/",FINI_grouping_for_wheel[[#This Row],[Subgroup]])</f>
        <v>4705892/THDP/x/3</v>
      </c>
      <c r="AG6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0.00997430859906302</v>
      </c>
      <c r="AH658">
        <f>_xlfn.LET(_xlpm.pct, FINI_grouping_for_wheel[[#This Row],[% forecast within subgroup]], _xlpm.lote, FINI_grouping_for_wheel[[#This Row],[Lot size considered]], _xlpm.pct*_xlpm.lote)</f>
        <v>83.39277560247847</v>
      </c>
      <c r="AI658" cm="1">
        <f t="array" aca="1" ref="AI658" ca="1">IFERROR(INDIRECT("FINI_grouping_for_wheel[@["&amp;FINI_grouping_for_wheel[[#This Row],[Selected PV]]&amp;"]]"),"")</f>
        <v>241</v>
      </c>
      <c r="AJ65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658" s="4"/>
      <c r="AM65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241</v>
      </c>
      <c r="AN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5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58" t="str">
        <f>_xlfn.CONCAT(FINI_grouping_for_wheel[[#This Row],[Recipe Combination]],FINI_grouping_for_wheel[[#This Row],[Subgroup]])</f>
        <v>H3</v>
      </c>
    </row>
    <row r="659" spans="1:55" hidden="1">
      <c r="A659" t="s">
        <v>11</v>
      </c>
      <c r="B659">
        <v>4705892</v>
      </c>
      <c r="C659" t="s">
        <v>2641</v>
      </c>
      <c r="D659">
        <v>8360.7575176</v>
      </c>
      <c r="E659">
        <v>41</v>
      </c>
      <c r="F659">
        <v>0.82</v>
      </c>
      <c r="G659" t="s">
        <v>2699</v>
      </c>
      <c r="H659" t="s">
        <v>2700</v>
      </c>
      <c r="I659">
        <v>462</v>
      </c>
      <c r="J659" t="s">
        <v>90</v>
      </c>
      <c r="K659" t="s">
        <v>312</v>
      </c>
      <c r="L659" t="s">
        <v>313</v>
      </c>
      <c r="M659">
        <v>2476.72926</v>
      </c>
      <c r="N659">
        <v>9.90691704</v>
      </c>
      <c r="O659">
        <v>2476.72926</v>
      </c>
      <c r="P659">
        <v>342586.58985</v>
      </c>
      <c r="Q659">
        <v>1</v>
      </c>
      <c r="R659">
        <v>8360.7575176</v>
      </c>
      <c r="S659" t="s">
        <v>314</v>
      </c>
      <c r="T659" t="s">
        <v>93</v>
      </c>
      <c r="U659">
        <v>1</v>
      </c>
      <c r="V659" t="s">
        <v>315</v>
      </c>
      <c r="W659" t="s">
        <v>142</v>
      </c>
      <c r="X659" t="s">
        <v>150</v>
      </c>
      <c r="Y659" s="23" t="s">
        <v>151</v>
      </c>
      <c r="AA659">
        <v>844</v>
      </c>
      <c r="AB659" t="s">
        <v>2701</v>
      </c>
      <c r="AC659" t="s">
        <v>2647</v>
      </c>
      <c r="AD659" s="2">
        <v>3</v>
      </c>
      <c r="AE659" s="2" t="s">
        <v>70</v>
      </c>
      <c r="AF659" t="str">
        <f>_xlfn.CONCAT(FINI_grouping_for_wheel[[#This Row],[SEFI/Plant]],"/",IF(FINI_grouping_for_wheel[[#This Row],[RESET recipe combination]]&lt;&gt;"",FINI_grouping_for_wheel[[#This Row],[RESET recipe combination]],FINI_grouping_for_wheel[[#This Row],[Recipe Combination]]),"/",FINI_grouping_for_wheel[[#This Row],[Subgroup]])</f>
        <v>4705892/THDP/x/3</v>
      </c>
      <c r="AG6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0.3161553574127248</v>
      </c>
      <c r="AH659">
        <f>_xlfn.LET(_xlpm.pct, FINI_grouping_for_wheel[[#This Row],[% forecast within subgroup]], _xlpm.lote, FINI_grouping_for_wheel[[#This Row],[Lot size considered]], _xlpm.pct*_xlpm.lote)</f>
        <v>2643.298281217954</v>
      </c>
      <c r="AI659" cm="1">
        <f t="array" aca="1" ref="AI659" ca="1">IFERROR(INDIRECT("FINI_grouping_for_wheel[@["&amp;FINI_grouping_for_wheel[[#This Row],[Selected PV]]&amp;"]]"),"")</f>
        <v>241</v>
      </c>
      <c r="AJ65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6.1</v>
      </c>
      <c r="AL659" s="4"/>
      <c r="AM65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241</v>
      </c>
      <c r="AN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5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59" t="str">
        <f>_xlfn.CONCAT(FINI_grouping_for_wheel[[#This Row],[Recipe Combination]],FINI_grouping_for_wheel[[#This Row],[Subgroup]])</f>
        <v>K3</v>
      </c>
    </row>
    <row r="660" spans="1:55" hidden="1">
      <c r="A660" t="s">
        <v>11</v>
      </c>
      <c r="B660">
        <v>4705892</v>
      </c>
      <c r="C660" t="s">
        <v>2641</v>
      </c>
      <c r="D660">
        <v>8360.7575176</v>
      </c>
      <c r="E660">
        <v>41</v>
      </c>
      <c r="F660">
        <v>0.82</v>
      </c>
      <c r="G660" t="s">
        <v>2702</v>
      </c>
      <c r="H660" t="s">
        <v>2703</v>
      </c>
      <c r="I660">
        <v>405</v>
      </c>
      <c r="J660" t="s">
        <v>90</v>
      </c>
      <c r="K660" t="s">
        <v>406</v>
      </c>
      <c r="L660" t="s">
        <v>407</v>
      </c>
      <c r="M660">
        <v>1864.650375</v>
      </c>
      <c r="N660">
        <v>7.4586015</v>
      </c>
      <c r="O660">
        <v>4765.217625</v>
      </c>
      <c r="P660">
        <v>342586.58985</v>
      </c>
      <c r="Q660">
        <v>0.39130434782608697</v>
      </c>
      <c r="R660">
        <v>3271.60076776</v>
      </c>
      <c r="S660" t="s">
        <v>157</v>
      </c>
      <c r="T660" t="s">
        <v>93</v>
      </c>
      <c r="U660">
        <v>15</v>
      </c>
      <c r="V660" t="s">
        <v>408</v>
      </c>
      <c r="W660" t="s">
        <v>142</v>
      </c>
      <c r="X660" t="s">
        <v>96</v>
      </c>
      <c r="Y660" s="23" t="s">
        <v>97</v>
      </c>
      <c r="AA660">
        <v>1121</v>
      </c>
      <c r="AB660" t="s">
        <v>2704</v>
      </c>
      <c r="AC660" t="s">
        <v>2647</v>
      </c>
      <c r="AD660" s="2">
        <v>7</v>
      </c>
      <c r="AE660" s="2" t="s">
        <v>70</v>
      </c>
      <c r="AF660" t="str">
        <f>_xlfn.CONCAT(FINI_grouping_for_wheel[[#This Row],[SEFI/Plant]],"/",IF(FINI_grouping_for_wheel[[#This Row],[RESET recipe combination]]&lt;&gt;"",FINI_grouping_for_wheel[[#This Row],[RESET recipe combination]],FINI_grouping_for_wheel[[#This Row],[Recipe Combination]]),"/",FINI_grouping_for_wheel[[#This Row],[Subgroup]])</f>
        <v>4705892/THDP/x/7</v>
      </c>
      <c r="AG6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0.08433734939759036</v>
      </c>
      <c r="AH660">
        <f>_xlfn.LET(_xlpm.pct, FINI_grouping_for_wheel[[#This Row],[% forecast within subgroup]], _xlpm.lote, FINI_grouping_for_wheel[[#This Row],[Lot size considered]], _xlpm.pct*_xlpm.lote)</f>
        <v>705.1241279903613</v>
      </c>
      <c r="AI660" cm="1">
        <f t="array" aca="1" ref="AI660" ca="1">IFERROR(INDIRECT("FINI_grouping_for_wheel[@["&amp;FINI_grouping_for_wheel[[#This Row],[Selected PV]]&amp;"]]"),"")</f>
        <v>85</v>
      </c>
      <c r="AJ66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v>
      </c>
      <c r="AL660" s="4"/>
      <c r="AM66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85</v>
      </c>
      <c r="AN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6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60" t="str">
        <f>_xlfn.CONCAT(FINI_grouping_for_wheel[[#This Row],[Recipe Combination]],FINI_grouping_for_wheel[[#This Row],[Subgroup]])</f>
        <v>M7</v>
      </c>
    </row>
    <row r="661" spans="1:55" hidden="1">
      <c r="A661" t="s">
        <v>11</v>
      </c>
      <c r="B661">
        <v>4705892</v>
      </c>
      <c r="C661" t="s">
        <v>2641</v>
      </c>
      <c r="D661">
        <v>8360.7575176</v>
      </c>
      <c r="E661">
        <v>41</v>
      </c>
      <c r="F661">
        <v>0.82</v>
      </c>
      <c r="G661" t="s">
        <v>2705</v>
      </c>
      <c r="H661" t="s">
        <v>2706</v>
      </c>
      <c r="I661">
        <v>440</v>
      </c>
      <c r="J661" t="s">
        <v>90</v>
      </c>
      <c r="K661" t="s">
        <v>385</v>
      </c>
      <c r="L661" t="s">
        <v>386</v>
      </c>
      <c r="M661">
        <v>2900.56725</v>
      </c>
      <c r="N661">
        <v>11.602269</v>
      </c>
      <c r="O661">
        <v>4765.217625</v>
      </c>
      <c r="P661">
        <v>342586.58985</v>
      </c>
      <c r="Q661">
        <v>0.60869565217391308</v>
      </c>
      <c r="R661">
        <v>5089.15674984</v>
      </c>
      <c r="S661" t="s">
        <v>157</v>
      </c>
      <c r="T661" t="s">
        <v>93</v>
      </c>
      <c r="U661">
        <v>10</v>
      </c>
      <c r="V661" t="s">
        <v>94</v>
      </c>
      <c r="W661" t="s">
        <v>95</v>
      </c>
      <c r="X661" t="s">
        <v>96</v>
      </c>
      <c r="Y661" s="23" t="s">
        <v>97</v>
      </c>
      <c r="AA661">
        <v>721</v>
      </c>
      <c r="AB661" t="s">
        <v>2707</v>
      </c>
      <c r="AC661" t="s">
        <v>2647</v>
      </c>
      <c r="AD661" s="2">
        <v>7</v>
      </c>
      <c r="AE661" s="2" t="s">
        <v>70</v>
      </c>
      <c r="AF661" t="str">
        <f>_xlfn.CONCAT(FINI_grouping_for_wheel[[#This Row],[SEFI/Plant]],"/",IF(FINI_grouping_for_wheel[[#This Row],[RESET recipe combination]]&lt;&gt;"",FINI_grouping_for_wheel[[#This Row],[RESET recipe combination]],FINI_grouping_for_wheel[[#This Row],[Recipe Combination]]),"/",FINI_grouping_for_wheel[[#This Row],[Subgroup]])</f>
        <v>4705892/THDP/x/7</v>
      </c>
      <c r="AG6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0.13119143239625167</v>
      </c>
      <c r="AH661">
        <f>_xlfn.LET(_xlpm.pct, FINI_grouping_for_wheel[[#This Row],[% forecast within subgroup]], _xlpm.lote, FINI_grouping_for_wheel[[#This Row],[Lot size considered]], _xlpm.pct*_xlpm.lote)</f>
        <v>1096.8597546516733</v>
      </c>
      <c r="AI661" cm="1">
        <f t="array" aca="1" ref="AI661" ca="1">IFERROR(INDIRECT("FINI_grouping_for_wheel[@["&amp;FINI_grouping_for_wheel[[#This Row],[Selected PV]]&amp;"]]"),"")</f>
        <v>85</v>
      </c>
      <c r="AJ66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v>
      </c>
      <c r="AL661" s="4"/>
      <c r="AM66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85</v>
      </c>
      <c r="AN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6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61" t="str">
        <f>_xlfn.CONCAT(FINI_grouping_for_wheel[[#This Row],[Recipe Combination]],FINI_grouping_for_wheel[[#This Row],[Subgroup]])</f>
        <v>M7</v>
      </c>
    </row>
    <row r="662" spans="1:55" hidden="1">
      <c r="A662" t="s">
        <v>11</v>
      </c>
      <c r="B662">
        <v>4705892</v>
      </c>
      <c r="C662" t="s">
        <v>2641</v>
      </c>
      <c r="D662">
        <v>8360.7575176</v>
      </c>
      <c r="E662">
        <v>41</v>
      </c>
      <c r="F662">
        <v>0.82</v>
      </c>
      <c r="G662" t="s">
        <v>2708</v>
      </c>
      <c r="H662" t="s">
        <v>2709</v>
      </c>
      <c r="I662">
        <v>360</v>
      </c>
      <c r="J662" t="s">
        <v>90</v>
      </c>
      <c r="K662" t="s">
        <v>632</v>
      </c>
      <c r="L662" t="s">
        <v>633</v>
      </c>
      <c r="M662">
        <v>1024.077825</v>
      </c>
      <c r="N662">
        <v>4.0963113</v>
      </c>
      <c r="O662">
        <v>12318.531525</v>
      </c>
      <c r="P662">
        <v>342586.58985</v>
      </c>
      <c r="Q662">
        <v>8.313310908217203E-2</v>
      </c>
      <c r="R662">
        <v>695.05576672</v>
      </c>
      <c r="S662" t="s">
        <v>173</v>
      </c>
      <c r="T662" t="s">
        <v>93</v>
      </c>
      <c r="U662">
        <v>2.5</v>
      </c>
      <c r="V662" t="s">
        <v>166</v>
      </c>
      <c r="W662" t="s">
        <v>142</v>
      </c>
      <c r="X662" t="s">
        <v>96</v>
      </c>
      <c r="Y662" s="23" t="s">
        <v>167</v>
      </c>
      <c r="AA662">
        <v>2041</v>
      </c>
      <c r="AB662" t="s">
        <v>2710</v>
      </c>
      <c r="AC662" t="s">
        <v>2647</v>
      </c>
      <c r="AD662" s="2">
        <v>100</v>
      </c>
      <c r="AE662" s="2" t="s">
        <v>70</v>
      </c>
      <c r="AF662" t="str">
        <f>_xlfn.CONCAT(FINI_grouping_for_wheel[[#This Row],[SEFI/Plant]],"/",IF(FINI_grouping_for_wheel[[#This Row],[RESET recipe combination]]&lt;&gt;"",FINI_grouping_for_wheel[[#This Row],[RESET recipe combination]],FINI_grouping_for_wheel[[#This Row],[Recipe Combination]]),"/",FINI_grouping_for_wheel[[#This Row],[Subgroup]])</f>
        <v>4705892/THDP/x/100</v>
      </c>
      <c r="AG6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0.10353081986834231</v>
      </c>
      <c r="AH662">
        <f>_xlfn.LET(_xlpm.pct, FINI_grouping_for_wheel[[#This Row],[% forecast within subgroup]], _xlpm.lote, FINI_grouping_for_wheel[[#This Row],[Lot size considered]], _xlpm.pct*_xlpm.lote)</f>
        <v>865.5960805175343</v>
      </c>
      <c r="AI662" cm="1">
        <f t="array" aca="1" ref="AI662" ca="1">IFERROR(INDIRECT("FINI_grouping_for_wheel[@["&amp;FINI_grouping_for_wheel[[#This Row],[Selected PV]]&amp;"]]"),"")</f>
        <v>191</v>
      </c>
      <c r="AJ66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v>
      </c>
      <c r="AL662" s="4"/>
      <c r="AM66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191</v>
      </c>
      <c r="AN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6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62" t="str">
        <f>_xlfn.CONCAT(FINI_grouping_for_wheel[[#This Row],[Recipe Combination]],FINI_grouping_for_wheel[[#This Row],[Subgroup]])</f>
        <v>P100</v>
      </c>
    </row>
    <row r="663" spans="1:55" hidden="1">
      <c r="A663" t="s">
        <v>11</v>
      </c>
      <c r="B663">
        <v>4705892</v>
      </c>
      <c r="C663" t="s">
        <v>2641</v>
      </c>
      <c r="D663">
        <v>8360.7575176</v>
      </c>
      <c r="E663">
        <v>41</v>
      </c>
      <c r="F663">
        <v>0.82</v>
      </c>
      <c r="G663" t="s">
        <v>2711</v>
      </c>
      <c r="H663" t="s">
        <v>2712</v>
      </c>
      <c r="J663" t="s">
        <v>90</v>
      </c>
      <c r="K663" t="s">
        <v>440</v>
      </c>
      <c r="L663" t="s">
        <v>441</v>
      </c>
      <c r="M663">
        <v>4013.43795</v>
      </c>
      <c r="N663">
        <v>16.0537518</v>
      </c>
      <c r="O663">
        <v>12318.531525</v>
      </c>
      <c r="P663">
        <v>342586.58985</v>
      </c>
      <c r="Q663">
        <v>0.32580490148966845</v>
      </c>
      <c r="R663">
        <v>2723.9757794</v>
      </c>
      <c r="S663" t="s">
        <v>173</v>
      </c>
      <c r="T663" t="s">
        <v>93</v>
      </c>
      <c r="U663">
        <v>5</v>
      </c>
      <c r="V663" t="s">
        <v>119</v>
      </c>
      <c r="W663" t="s">
        <v>95</v>
      </c>
      <c r="X663" t="s">
        <v>96</v>
      </c>
      <c r="Y663" s="23" t="s">
        <v>120</v>
      </c>
      <c r="AA663">
        <v>521</v>
      </c>
      <c r="AB663" t="s">
        <v>2713</v>
      </c>
      <c r="AC663" t="s">
        <v>2647</v>
      </c>
      <c r="AD663" s="2">
        <v>200</v>
      </c>
      <c r="AE663" s="2" t="s">
        <v>70</v>
      </c>
      <c r="AF663" t="str">
        <f>_xlfn.CONCAT(FINI_grouping_for_wheel[[#This Row],[SEFI/Plant]],"/",IF(FINI_grouping_for_wheel[[#This Row],[RESET recipe combination]]&lt;&gt;"",FINI_grouping_for_wheel[[#This Row],[RESET recipe combination]],FINI_grouping_for_wheel[[#This Row],[Recipe Combination]]),"/",FINI_grouping_for_wheel[[#This Row],[Subgroup]])</f>
        <v>4705892/THDP/x/200</v>
      </c>
      <c r="AG6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0.3540100250626566</v>
      </c>
      <c r="AH663">
        <f>_xlfn.LET(_xlpm.pct, FINI_grouping_for_wheel[[#This Row],[% forecast within subgroup]], _xlpm.lote, FINI_grouping_for_wheel[[#This Row],[Lot size considered]], _xlpm.pct*_xlpm.lote)</f>
        <v>2959.7919783483703</v>
      </c>
      <c r="AI663" cm="1">
        <f t="array" aca="1" ref="AI663" ca="1">IFERROR(INDIRECT("FINI_grouping_for_wheel[@["&amp;FINI_grouping_for_wheel[[#This Row],[Selected PV]]&amp;"]]"),"")</f>
        <v>167</v>
      </c>
      <c r="AJ66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6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63" s="4"/>
      <c r="AM66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167</v>
      </c>
      <c r="AN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6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63" t="str">
        <f>_xlfn.CONCAT(FINI_grouping_for_wheel[[#This Row],[Recipe Combination]],FINI_grouping_for_wheel[[#This Row],[Subgroup]])</f>
        <v>P200</v>
      </c>
    </row>
    <row r="664" spans="1:55" hidden="1">
      <c r="A664" t="s">
        <v>11</v>
      </c>
      <c r="B664">
        <v>4705892</v>
      </c>
      <c r="C664" t="s">
        <v>2641</v>
      </c>
      <c r="D664">
        <v>8360.7575176</v>
      </c>
      <c r="E664">
        <v>41</v>
      </c>
      <c r="F664">
        <v>0.82</v>
      </c>
      <c r="G664" t="s">
        <v>2714</v>
      </c>
      <c r="H664" t="s">
        <v>2715</v>
      </c>
      <c r="I664">
        <v>300</v>
      </c>
      <c r="J664" t="s">
        <v>90</v>
      </c>
      <c r="K664" t="s">
        <v>188</v>
      </c>
      <c r="L664" t="s">
        <v>189</v>
      </c>
      <c r="M664">
        <v>6647.626575</v>
      </c>
      <c r="N664">
        <v>26.5905063</v>
      </c>
      <c r="O664">
        <v>12318.531525</v>
      </c>
      <c r="P664">
        <v>342586.58985</v>
      </c>
      <c r="Q664">
        <v>0.53964440172993755</v>
      </c>
      <c r="R664">
        <v>4511.83598859</v>
      </c>
      <c r="S664" t="s">
        <v>173</v>
      </c>
      <c r="T664" t="s">
        <v>93</v>
      </c>
      <c r="U664">
        <v>5</v>
      </c>
      <c r="V664" t="s">
        <v>119</v>
      </c>
      <c r="W664" t="s">
        <v>142</v>
      </c>
      <c r="X664" t="s">
        <v>96</v>
      </c>
      <c r="Y664" s="23" t="s">
        <v>120</v>
      </c>
      <c r="AA664">
        <v>314</v>
      </c>
      <c r="AB664" t="s">
        <v>2716</v>
      </c>
      <c r="AC664" t="s">
        <v>2647</v>
      </c>
      <c r="AD664" s="2">
        <v>100</v>
      </c>
      <c r="AE664" s="2" t="s">
        <v>70</v>
      </c>
      <c r="AF664" t="str">
        <f>_xlfn.CONCAT(FINI_grouping_for_wheel[[#This Row],[SEFI/Plant]],"/",IF(FINI_grouping_for_wheel[[#This Row],[RESET recipe combination]]&lt;&gt;"",FINI_grouping_for_wheel[[#This Row],[RESET recipe combination]],FINI_grouping_for_wheel[[#This Row],[Recipe Combination]]),"/",FINI_grouping_for_wheel[[#This Row],[Subgroup]])</f>
        <v>4705892/THDP/x/100</v>
      </c>
      <c r="AG6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0.6720526630760024</v>
      </c>
      <c r="AH664">
        <f>_xlfn.LET(_xlpm.pct, FINI_grouping_for_wheel[[#This Row],[% forecast within subgroup]], _xlpm.lote, FINI_grouping_for_wheel[[#This Row],[Lot size considered]], _xlpm.pct*_xlpm.lote)</f>
        <v>5618.869355035787</v>
      </c>
      <c r="AI664" cm="1">
        <f t="array" aca="1" ref="AI664" ca="1">IFERROR(INDIRECT("FINI_grouping_for_wheel[@["&amp;FINI_grouping_for_wheel[[#This Row],[Selected PV]]&amp;"]]"),"")</f>
        <v>191</v>
      </c>
      <c r="AJ66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19.9</v>
      </c>
      <c r="AL664" s="4"/>
      <c r="AM66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191</v>
      </c>
      <c r="AN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6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64" t="str">
        <f>_xlfn.CONCAT(FINI_grouping_for_wheel[[#This Row],[Recipe Combination]],FINI_grouping_for_wheel[[#This Row],[Subgroup]])</f>
        <v>P100</v>
      </c>
    </row>
    <row r="665" spans="1:55" hidden="1">
      <c r="A665" t="s">
        <v>11</v>
      </c>
      <c r="B665">
        <v>4705892</v>
      </c>
      <c r="C665" t="s">
        <v>2641</v>
      </c>
      <c r="D665">
        <v>8360.7575176</v>
      </c>
      <c r="E665">
        <v>41</v>
      </c>
      <c r="F665">
        <v>0.82</v>
      </c>
      <c r="G665" t="s">
        <v>2717</v>
      </c>
      <c r="H665" t="s">
        <v>2718</v>
      </c>
      <c r="I665">
        <v>300</v>
      </c>
      <c r="J665" t="s">
        <v>90</v>
      </c>
      <c r="K665" t="s">
        <v>188</v>
      </c>
      <c r="L665" t="s">
        <v>189</v>
      </c>
      <c r="M665">
        <v>633.389175</v>
      </c>
      <c r="N665">
        <v>2.5335567</v>
      </c>
      <c r="O665">
        <v>12318.531525</v>
      </c>
      <c r="P665">
        <v>342586.58985</v>
      </c>
      <c r="Q665">
        <v>5.1417587698222009E-2</v>
      </c>
      <c r="R665">
        <v>429.889982885</v>
      </c>
      <c r="S665" t="s">
        <v>173</v>
      </c>
      <c r="T665" t="s">
        <v>93</v>
      </c>
      <c r="U665">
        <v>5</v>
      </c>
      <c r="V665" t="s">
        <v>119</v>
      </c>
      <c r="W665" t="s">
        <v>142</v>
      </c>
      <c r="X665" t="s">
        <v>96</v>
      </c>
      <c r="Y665" s="23" t="s">
        <v>120</v>
      </c>
      <c r="AA665">
        <v>3300</v>
      </c>
      <c r="AB665" t="s">
        <v>2719</v>
      </c>
      <c r="AC665" t="s">
        <v>2647</v>
      </c>
      <c r="AD665" s="2">
        <v>100</v>
      </c>
      <c r="AE665" s="2" t="s">
        <v>70</v>
      </c>
      <c r="AF665" t="str">
        <f>_xlfn.CONCAT(FINI_grouping_for_wheel[[#This Row],[SEFI/Plant]],"/",IF(FINI_grouping_for_wheel[[#This Row],[RESET recipe combination]]&lt;&gt;"",FINI_grouping_for_wheel[[#This Row],[RESET recipe combination]],FINI_grouping_for_wheel[[#This Row],[Recipe Combination]]),"/",FINI_grouping_for_wheel[[#This Row],[Subgroup]])</f>
        <v>4705892/THDP/x/100</v>
      </c>
      <c r="AG6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0.06403351286654697</v>
      </c>
      <c r="AH665">
        <f>_xlfn.LET(_xlpm.pct, FINI_grouping_for_wheel[[#This Row],[% forecast within subgroup]], _xlpm.lote, FINI_grouping_for_wheel[[#This Row],[Lot size considered]], _xlpm.pct*_xlpm.lote)</f>
        <v>535.3686740773189</v>
      </c>
      <c r="AI665" cm="1">
        <f t="array" aca="1" ref="AI665" ca="1">IFERROR(INDIRECT("FINI_grouping_for_wheel[@["&amp;FINI_grouping_for_wheel[[#This Row],[Selected PV]]&amp;"]]"),"")</f>
        <v>191</v>
      </c>
      <c r="AJ66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v>
      </c>
      <c r="AL665" s="4"/>
      <c r="AM66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191</v>
      </c>
      <c r="AN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6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65" t="str">
        <f>_xlfn.CONCAT(FINI_grouping_for_wheel[[#This Row],[Recipe Combination]],FINI_grouping_for_wheel[[#This Row],[Subgroup]])</f>
        <v>P100</v>
      </c>
    </row>
    <row r="666" spans="1:55" hidden="1">
      <c r="A666" t="s">
        <v>11</v>
      </c>
      <c r="B666">
        <v>4705892</v>
      </c>
      <c r="C666" t="s">
        <v>2641</v>
      </c>
      <c r="D666">
        <v>8360.7575176</v>
      </c>
      <c r="E666">
        <v>41</v>
      </c>
      <c r="F666">
        <v>0.82</v>
      </c>
      <c r="G666" t="s">
        <v>2720</v>
      </c>
      <c r="H666" t="s">
        <v>2721</v>
      </c>
      <c r="I666">
        <v>462</v>
      </c>
      <c r="J666" t="s">
        <v>90</v>
      </c>
      <c r="K666" t="s">
        <v>312</v>
      </c>
      <c r="L666" t="s">
        <v>313</v>
      </c>
      <c r="M666">
        <v>18152.815365</v>
      </c>
      <c r="N666">
        <v>72.61126146</v>
      </c>
      <c r="O666">
        <v>18152.815365</v>
      </c>
      <c r="P666">
        <v>342586.58985</v>
      </c>
      <c r="Q666">
        <v>1</v>
      </c>
      <c r="R666">
        <v>8360.7575176</v>
      </c>
      <c r="S666" t="s">
        <v>356</v>
      </c>
      <c r="T666" t="s">
        <v>93</v>
      </c>
      <c r="U666">
        <v>1</v>
      </c>
      <c r="V666" t="s">
        <v>315</v>
      </c>
      <c r="W666" t="s">
        <v>142</v>
      </c>
      <c r="X666" t="s">
        <v>150</v>
      </c>
      <c r="Y666" s="23" t="s">
        <v>151</v>
      </c>
      <c r="AA666">
        <v>115</v>
      </c>
      <c r="AB666" t="s">
        <v>2722</v>
      </c>
      <c r="AC666" t="s">
        <v>2647</v>
      </c>
      <c r="AD666" s="2">
        <v>30</v>
      </c>
      <c r="AE666" s="2" t="s">
        <v>70</v>
      </c>
      <c r="AF666" t="str">
        <f>_xlfn.CONCAT(FINI_grouping_for_wheel[[#This Row],[SEFI/Plant]],"/",IF(FINI_grouping_for_wheel[[#This Row],[RESET recipe combination]]&lt;&gt;"",FINI_grouping_for_wheel[[#This Row],[RESET recipe combination]],FINI_grouping_for_wheel[[#This Row],[Recipe Combination]]),"/",FINI_grouping_for_wheel[[#This Row],[Subgroup]])</f>
        <v>4705892/THDP/x/30</v>
      </c>
      <c r="AG6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66">
        <f>_xlfn.LET(_xlpm.pct, FINI_grouping_for_wheel[[#This Row],[% forecast within subgroup]], _xlpm.lote, FINI_grouping_for_wheel[[#This Row],[Lot size considered]], _xlpm.pct*_xlpm.lote)</f>
        <v>8360.7575176</v>
      </c>
      <c r="AI666" cm="1">
        <f t="array" aca="1" ref="AI666" ca="1">IFERROR(INDIRECT("FINI_grouping_for_wheel[@["&amp;FINI_grouping_for_wheel[[#This Row],[Selected PV]]&amp;"]]"),"")</f>
        <v>104</v>
      </c>
      <c r="AJ66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19.2</v>
      </c>
      <c r="AL666" s="4"/>
      <c r="AM66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104</v>
      </c>
      <c r="AN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6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66" t="str">
        <f>_xlfn.CONCAT(FINI_grouping_for_wheel[[#This Row],[Recipe Combination]],FINI_grouping_for_wheel[[#This Row],[Subgroup]])</f>
        <v>R30</v>
      </c>
    </row>
    <row r="667" spans="1:55" hidden="1">
      <c r="A667" t="s">
        <v>11</v>
      </c>
      <c r="B667">
        <v>4705892</v>
      </c>
      <c r="C667" t="s">
        <v>2641</v>
      </c>
      <c r="D667">
        <v>8360.7575176</v>
      </c>
      <c r="E667">
        <v>41</v>
      </c>
      <c r="F667">
        <v>0.82</v>
      </c>
      <c r="G667" t="s">
        <v>2723</v>
      </c>
      <c r="H667" t="s">
        <v>2724</v>
      </c>
      <c r="I667">
        <v>495</v>
      </c>
      <c r="J667" t="s">
        <v>90</v>
      </c>
      <c r="K667" t="s">
        <v>412</v>
      </c>
      <c r="L667" t="s">
        <v>413</v>
      </c>
      <c r="M667">
        <v>42123.3399</v>
      </c>
      <c r="N667">
        <v>168.4933596</v>
      </c>
      <c r="O667">
        <v>42123.3399</v>
      </c>
      <c r="P667">
        <v>342586.58985</v>
      </c>
      <c r="Q667">
        <v>1</v>
      </c>
      <c r="R667">
        <v>8360.7575176</v>
      </c>
      <c r="S667" t="s">
        <v>387</v>
      </c>
      <c r="T667" t="s">
        <v>93</v>
      </c>
      <c r="U667">
        <v>15</v>
      </c>
      <c r="V667" t="s">
        <v>408</v>
      </c>
      <c r="W667" t="s">
        <v>95</v>
      </c>
      <c r="X667" t="s">
        <v>96</v>
      </c>
      <c r="Y667" s="23" t="s">
        <v>97</v>
      </c>
      <c r="AA667">
        <v>50</v>
      </c>
      <c r="AB667" t="s">
        <v>2725</v>
      </c>
      <c r="AC667" t="s">
        <v>2647</v>
      </c>
      <c r="AD667" s="2">
        <v>4</v>
      </c>
      <c r="AE667" s="2" t="s">
        <v>70</v>
      </c>
      <c r="AF667" t="str">
        <f>_xlfn.CONCAT(FINI_grouping_for_wheel[[#This Row],[SEFI/Plant]],"/",IF(FINI_grouping_for_wheel[[#This Row],[RESET recipe combination]]&lt;&gt;"",FINI_grouping_for_wheel[[#This Row],[RESET recipe combination]],FINI_grouping_for_wheel[[#This Row],[Recipe Combination]]),"/",FINI_grouping_for_wheel[[#This Row],[Subgroup]])</f>
        <v>4705892/THDP/x/4</v>
      </c>
      <c r="AG6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0.4729056182463416</v>
      </c>
      <c r="AH667">
        <f>_xlfn.LET(_xlpm.pct, FINI_grouping_for_wheel[[#This Row],[% forecast within subgroup]], _xlpm.lote, FINI_grouping_for_wheel[[#This Row],[Lot size considered]], _xlpm.pct*_xlpm.lote)</f>
        <v>3953.849202868376</v>
      </c>
      <c r="AI667" cm="1">
        <f t="array" aca="1" ref="AI667" ca="1">IFERROR(INDIRECT("FINI_grouping_for_wheel[@["&amp;FINI_grouping_for_wheel[[#This Row],[Selected PV]]&amp;"]]"),"")</f>
        <v>21</v>
      </c>
      <c r="AJ66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6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8.5</v>
      </c>
      <c r="AL667" s="4"/>
      <c r="AM66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6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67" t="str">
        <f>_xlfn.CONCAT(FINI_grouping_for_wheel[[#This Row],[Recipe Combination]],FINI_grouping_for_wheel[[#This Row],[Subgroup]])</f>
        <v>X4</v>
      </c>
    </row>
    <row r="668" spans="1:55" hidden="1">
      <c r="A668" t="s">
        <v>11</v>
      </c>
      <c r="B668">
        <v>4652786</v>
      </c>
      <c r="C668" t="s">
        <v>2726</v>
      </c>
      <c r="D668">
        <v>8468.78386633</v>
      </c>
      <c r="E668">
        <v>39</v>
      </c>
      <c r="F668">
        <v>0.78</v>
      </c>
      <c r="G668" t="s">
        <v>2727</v>
      </c>
      <c r="H668" t="s">
        <v>2728</v>
      </c>
      <c r="I668">
        <v>315</v>
      </c>
      <c r="J668" t="s">
        <v>90</v>
      </c>
      <c r="K668" t="s">
        <v>140</v>
      </c>
      <c r="L668" t="s">
        <v>141</v>
      </c>
      <c r="M668">
        <v>7884.8073</v>
      </c>
      <c r="N668">
        <v>31.5392292</v>
      </c>
      <c r="O668">
        <v>37932.3162</v>
      </c>
      <c r="P668">
        <v>322179.619365</v>
      </c>
      <c r="Q668">
        <v>0.20786516853932585</v>
      </c>
      <c r="R668">
        <v>1760.3651857</v>
      </c>
      <c r="S668" t="s">
        <v>866</v>
      </c>
      <c r="T668" t="s">
        <v>93</v>
      </c>
      <c r="U668">
        <v>5</v>
      </c>
      <c r="V668" t="s">
        <v>135</v>
      </c>
      <c r="W668" t="s">
        <v>142</v>
      </c>
      <c r="X668" t="s">
        <v>128</v>
      </c>
      <c r="Y668" s="23" t="s">
        <v>136</v>
      </c>
      <c r="AA668">
        <v>269</v>
      </c>
      <c r="AB668" t="s">
        <v>2729</v>
      </c>
      <c r="AC668" t="s">
        <v>2730</v>
      </c>
      <c r="AD668" s="2">
        <v>4</v>
      </c>
      <c r="AE668" s="2" t="s">
        <v>70</v>
      </c>
      <c r="AF668" t="str">
        <f>_xlfn.CONCAT(FINI_grouping_for_wheel[[#This Row],[SEFI/Plant]],"/",IF(FINI_grouping_for_wheel[[#This Row],[RESET recipe combination]]&lt;&gt;"",FINI_grouping_for_wheel[[#This Row],[RESET recipe combination]],FINI_grouping_for_wheel[[#This Row],[Recipe Combination]]),"/",FINI_grouping_for_wheel[[#This Row],[Subgroup]])</f>
        <v>4652786/THDP/x/4</v>
      </c>
      <c r="AG6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0.31951640759930916</v>
      </c>
      <c r="AH668">
        <f>_xlfn.LET(_xlpm.pct, FINI_grouping_for_wheel[[#This Row],[% forecast within subgroup]], _xlpm.lote, FINI_grouping_for_wheel[[#This Row],[Lot size considered]], _xlpm.pct*_xlpm.lote)</f>
        <v>2705.91539770475</v>
      </c>
      <c r="AI668" cm="1">
        <f t="array" aca="1" ref="AI668" ca="1">IFERROR(INDIRECT("FINI_grouping_for_wheel[@["&amp;FINI_grouping_for_wheel[[#This Row],[Selected PV]]&amp;"]]"),"")</f>
        <v>77</v>
      </c>
      <c r="AJ66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8913.620745</v>
      </c>
      <c r="AK6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v>
      </c>
      <c r="AL668" s="4"/>
      <c r="AM66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77</v>
      </c>
      <c r="AN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6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68" t="str">
        <f>_xlfn.CONCAT(FINI_grouping_for_wheel[[#This Row],[Recipe Combination]],FINI_grouping_for_wheel[[#This Row],[Subgroup]])</f>
        <v>&lt;4</v>
      </c>
    </row>
    <row r="669" spans="1:55" hidden="1">
      <c r="A669" t="s">
        <v>11</v>
      </c>
      <c r="B669">
        <v>4652786</v>
      </c>
      <c r="C669" t="s">
        <v>2726</v>
      </c>
      <c r="D669">
        <v>8468.78386633</v>
      </c>
      <c r="E669">
        <v>39</v>
      </c>
      <c r="F669">
        <v>0.78</v>
      </c>
      <c r="G669" t="s">
        <v>2731</v>
      </c>
      <c r="H669" t="s">
        <v>2732</v>
      </c>
      <c r="I669">
        <v>300</v>
      </c>
      <c r="J669" t="s">
        <v>90</v>
      </c>
      <c r="K669" t="s">
        <v>562</v>
      </c>
      <c r="L669" t="s">
        <v>563</v>
      </c>
      <c r="M669">
        <v>23678.1</v>
      </c>
      <c r="N669">
        <v>94.7124</v>
      </c>
      <c r="O669">
        <v>37932.3162</v>
      </c>
      <c r="P669">
        <v>322179.619365</v>
      </c>
      <c r="Q669">
        <v>0.62421972534332082</v>
      </c>
      <c r="R669">
        <v>5286.38193903</v>
      </c>
      <c r="S669" t="s">
        <v>866</v>
      </c>
      <c r="T669" t="s">
        <v>93</v>
      </c>
      <c r="U669">
        <v>10</v>
      </c>
      <c r="V669" t="s">
        <v>127</v>
      </c>
      <c r="W669" t="s">
        <v>142</v>
      </c>
      <c r="X669" t="s">
        <v>128</v>
      </c>
      <c r="Y669" s="23" t="s">
        <v>129</v>
      </c>
      <c r="AA669">
        <v>89</v>
      </c>
      <c r="AB669" t="s">
        <v>2733</v>
      </c>
      <c r="AC669" t="s">
        <v>2730</v>
      </c>
      <c r="AD669" s="2">
        <v>3</v>
      </c>
      <c r="AE669" s="2" t="s">
        <v>70</v>
      </c>
      <c r="AF669" t="str">
        <f>_xlfn.CONCAT(FINI_grouping_for_wheel[[#This Row],[SEFI/Plant]],"/",IF(FINI_grouping_for_wheel[[#This Row],[RESET recipe combination]]&lt;&gt;"",FINI_grouping_for_wheel[[#This Row],[RESET recipe combination]],FINI_grouping_for_wheel[[#This Row],[Recipe Combination]]),"/",FINI_grouping_for_wheel[[#This Row],[Subgroup]])</f>
        <v>4652786/THDP/x/3</v>
      </c>
      <c r="AG6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0.3011776044333343</v>
      </c>
      <c r="AH669">
        <f>_xlfn.LET(_xlpm.pct, FINI_grouping_for_wheel[[#This Row],[% forecast within subgroup]], _xlpm.lote, FINI_grouping_for_wheel[[#This Row],[Lot size considered]], _xlpm.pct*_xlpm.lote)</f>
        <v>2550.6080373249406</v>
      </c>
      <c r="AI669" cm="1">
        <f t="array" aca="1" ref="AI669" ca="1">IFERROR(INDIRECT("FINI_grouping_for_wheel[@["&amp;FINI_grouping_for_wheel[[#This Row],[Selected PV]]&amp;"]]"),"")</f>
        <v>24</v>
      </c>
      <c r="AJ66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8913.620745</v>
      </c>
      <c r="AK6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8.9</v>
      </c>
      <c r="AL669" s="4"/>
      <c r="AM66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v>
      </c>
      <c r="AN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6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69" t="str">
        <f>_xlfn.CONCAT(FINI_grouping_for_wheel[[#This Row],[Recipe Combination]],FINI_grouping_for_wheel[[#This Row],[Subgroup]])</f>
        <v>&lt;3</v>
      </c>
    </row>
    <row r="670" spans="1:55" hidden="1">
      <c r="A670" t="s">
        <v>11</v>
      </c>
      <c r="B670">
        <v>4652786</v>
      </c>
      <c r="C670" t="s">
        <v>2726</v>
      </c>
      <c r="D670">
        <v>8468.78386633</v>
      </c>
      <c r="E670">
        <v>39</v>
      </c>
      <c r="F670">
        <v>0.78</v>
      </c>
      <c r="G670" t="s">
        <v>2734</v>
      </c>
      <c r="H670" t="s">
        <v>2735</v>
      </c>
      <c r="I670">
        <v>315</v>
      </c>
      <c r="J670" t="s">
        <v>90</v>
      </c>
      <c r="K670" t="s">
        <v>557</v>
      </c>
      <c r="L670" t="s">
        <v>558</v>
      </c>
      <c r="M670">
        <v>6369.4089</v>
      </c>
      <c r="N670">
        <v>25.4776356</v>
      </c>
      <c r="O670">
        <v>37932.3162</v>
      </c>
      <c r="P670">
        <v>322179.619365</v>
      </c>
      <c r="Q670">
        <v>0.1679151061173533</v>
      </c>
      <c r="R670">
        <v>1422.0367416</v>
      </c>
      <c r="S670" t="s">
        <v>866</v>
      </c>
      <c r="T670" t="s">
        <v>93</v>
      </c>
      <c r="U670">
        <v>5</v>
      </c>
      <c r="V670" t="s">
        <v>135</v>
      </c>
      <c r="W670" t="s">
        <v>142</v>
      </c>
      <c r="X670" t="s">
        <v>128</v>
      </c>
      <c r="Y670" s="23" t="s">
        <v>136</v>
      </c>
      <c r="AA670">
        <v>332</v>
      </c>
      <c r="AB670" t="s">
        <v>2736</v>
      </c>
      <c r="AC670" t="s">
        <v>2730</v>
      </c>
      <c r="AD670" s="2">
        <v>4</v>
      </c>
      <c r="AE670" s="2" t="s">
        <v>70</v>
      </c>
      <c r="AF670" t="str">
        <f>_xlfn.CONCAT(FINI_grouping_for_wheel[[#This Row],[SEFI/Plant]],"/",IF(FINI_grouping_for_wheel[[#This Row],[RESET recipe combination]]&lt;&gt;"",FINI_grouping_for_wheel[[#This Row],[RESET recipe combination]],FINI_grouping_for_wheel[[#This Row],[Recipe Combination]]),"/",FINI_grouping_for_wheel[[#This Row],[Subgroup]])</f>
        <v>4652786/THDP/x/4</v>
      </c>
      <c r="AG6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0.25810784878142395</v>
      </c>
      <c r="AH670">
        <f>_xlfn.LET(_xlpm.pct, FINI_grouping_for_wheel[[#This Row],[% forecast within subgroup]], _xlpm.lote, FINI_grouping_for_wheel[[#This Row],[Lot size considered]], _xlpm.pct*_xlpm.lote)</f>
        <v>2185.859585533267</v>
      </c>
      <c r="AI670" cm="1">
        <f t="array" aca="1" ref="AI670" ca="1">IFERROR(INDIRECT("FINI_grouping_for_wheel[@["&amp;FINI_grouping_for_wheel[[#This Row],[Selected PV]]&amp;"]]"),"")</f>
        <v>77</v>
      </c>
      <c r="AJ67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8913.620745</v>
      </c>
      <c r="AK6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7.3</v>
      </c>
      <c r="AL670" s="4"/>
      <c r="AM67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77</v>
      </c>
      <c r="AN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7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70" t="str">
        <f>_xlfn.CONCAT(FINI_grouping_for_wheel[[#This Row],[Recipe Combination]],FINI_grouping_for_wheel[[#This Row],[Subgroup]])</f>
        <v>&lt;4</v>
      </c>
    </row>
    <row r="671" spans="1:55" hidden="1">
      <c r="A671" t="s">
        <v>11</v>
      </c>
      <c r="B671">
        <v>4652786</v>
      </c>
      <c r="C671" t="s">
        <v>2726</v>
      </c>
      <c r="D671">
        <v>8468.78386633</v>
      </c>
      <c r="E671">
        <v>39</v>
      </c>
      <c r="F671">
        <v>0.78</v>
      </c>
      <c r="G671" t="s">
        <v>2737</v>
      </c>
      <c r="H671" t="s">
        <v>2738</v>
      </c>
      <c r="I671">
        <v>190</v>
      </c>
      <c r="J671" t="s">
        <v>90</v>
      </c>
      <c r="K671" t="s">
        <v>1700</v>
      </c>
      <c r="L671" t="s">
        <v>1701</v>
      </c>
      <c r="M671">
        <v>2368.993905</v>
      </c>
      <c r="N671">
        <v>9.47597562</v>
      </c>
      <c r="O671">
        <v>5166.56142</v>
      </c>
      <c r="P671">
        <v>322179.619365</v>
      </c>
      <c r="Q671">
        <v>0.45852428964252978</v>
      </c>
      <c r="R671">
        <v>3883.14310645</v>
      </c>
      <c r="S671" t="s">
        <v>2739</v>
      </c>
      <c r="T671" t="s">
        <v>93</v>
      </c>
      <c r="U671">
        <v>2.5</v>
      </c>
      <c r="V671" t="s">
        <v>604</v>
      </c>
      <c r="W671" t="s">
        <v>142</v>
      </c>
      <c r="X671" t="s">
        <v>128</v>
      </c>
      <c r="Y671" s="23" t="s">
        <v>136</v>
      </c>
      <c r="AA671">
        <v>894</v>
      </c>
      <c r="AB671" t="s">
        <v>2740</v>
      </c>
      <c r="AC671" t="s">
        <v>2730</v>
      </c>
      <c r="AD671" s="2">
        <v>4</v>
      </c>
      <c r="AE671" s="2" t="s">
        <v>70</v>
      </c>
      <c r="AF671" t="str">
        <f>_xlfn.CONCAT(FINI_grouping_for_wheel[[#This Row],[SEFI/Plant]],"/",IF(FINI_grouping_for_wheel[[#This Row],[RESET recipe combination]]&lt;&gt;"",FINI_grouping_for_wheel[[#This Row],[RESET recipe combination]],FINI_grouping_for_wheel[[#This Row],[Recipe Combination]]),"/",FINI_grouping_for_wheel[[#This Row],[Subgroup]])</f>
        <v>4652786/THDP/x/4</v>
      </c>
      <c r="AG6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0.09599884858952215</v>
      </c>
      <c r="AH671">
        <f>_xlfn.LET(_xlpm.pct, FINI_grouping_for_wheel[[#This Row],[% forecast within subgroup]], _xlpm.lote, FINI_grouping_for_wheel[[#This Row],[Lot size considered]], _xlpm.pct*_xlpm.lote)</f>
        <v>812.9935001212017</v>
      </c>
      <c r="AI671" cm="1">
        <f t="array" aca="1" ref="AI671" ca="1">IFERROR(INDIRECT("FINI_grouping_for_wheel[@["&amp;FINI_grouping_for_wheel[[#This Row],[Selected PV]]&amp;"]]"),"")</f>
        <v>77</v>
      </c>
      <c r="AJ67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8913.620745</v>
      </c>
      <c r="AK6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4.5</v>
      </c>
      <c r="AL671" s="4"/>
      <c r="AM67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77</v>
      </c>
      <c r="AN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7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71" t="str">
        <f>_xlfn.CONCAT(FINI_grouping_for_wheel[[#This Row],[Recipe Combination]],FINI_grouping_for_wheel[[#This Row],[Subgroup]])</f>
        <v>&gt;4</v>
      </c>
    </row>
    <row r="672" spans="1:55" hidden="1">
      <c r="A672" t="s">
        <v>11</v>
      </c>
      <c r="B672">
        <v>4652786</v>
      </c>
      <c r="C672" t="s">
        <v>2726</v>
      </c>
      <c r="D672">
        <v>8468.78386633</v>
      </c>
      <c r="E672">
        <v>39</v>
      </c>
      <c r="F672">
        <v>0.78</v>
      </c>
      <c r="G672" t="s">
        <v>2741</v>
      </c>
      <c r="H672" t="s">
        <v>2742</v>
      </c>
      <c r="I672">
        <v>213.75</v>
      </c>
      <c r="J672" t="s">
        <v>90</v>
      </c>
      <c r="K672" t="s">
        <v>602</v>
      </c>
      <c r="L672" t="s">
        <v>603</v>
      </c>
      <c r="M672">
        <v>2797.567515</v>
      </c>
      <c r="N672">
        <v>11.19027006</v>
      </c>
      <c r="O672">
        <v>5166.56142</v>
      </c>
      <c r="P672">
        <v>322179.619365</v>
      </c>
      <c r="Q672">
        <v>0.54147571035747022</v>
      </c>
      <c r="R672">
        <v>4585.64075989</v>
      </c>
      <c r="S672" t="s">
        <v>2739</v>
      </c>
      <c r="T672" t="s">
        <v>93</v>
      </c>
      <c r="U672">
        <v>2.5</v>
      </c>
      <c r="V672" t="s">
        <v>604</v>
      </c>
      <c r="W672" t="s">
        <v>142</v>
      </c>
      <c r="X672" t="s">
        <v>128</v>
      </c>
      <c r="Y672" s="23" t="s">
        <v>136</v>
      </c>
      <c r="AA672">
        <v>757</v>
      </c>
      <c r="AB672" t="s">
        <v>2743</v>
      </c>
      <c r="AC672" t="s">
        <v>2730</v>
      </c>
      <c r="AD672" s="2">
        <v>4</v>
      </c>
      <c r="AE672" s="2" t="s">
        <v>70</v>
      </c>
      <c r="AF672" t="str">
        <f>_xlfn.CONCAT(FINI_grouping_for_wheel[[#This Row],[SEFI/Plant]],"/",IF(FINI_grouping_for_wheel[[#This Row],[RESET recipe combination]]&lt;&gt;"",FINI_grouping_for_wheel[[#This Row],[RESET recipe combination]],FINI_grouping_for_wheel[[#This Row],[Recipe Combination]]),"/",FINI_grouping_for_wheel[[#This Row],[Subgroup]])</f>
        <v>4652786/THDP/x/4</v>
      </c>
      <c r="AG6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0.11336595663020535</v>
      </c>
      <c r="AH672">
        <f>_xlfn.LET(_xlpm.pct, FINI_grouping_for_wheel[[#This Row],[% forecast within subgroup]], _xlpm.lote, FINI_grouping_for_wheel[[#This Row],[Lot size considered]], _xlpm.pct*_xlpm.lote)</f>
        <v>960.0717845009497</v>
      </c>
      <c r="AI672" cm="1">
        <f t="array" aca="1" ref="AI672" ca="1">IFERROR(INDIRECT("FINI_grouping_for_wheel[@["&amp;FINI_grouping_for_wheel[[#This Row],[Selected PV]]&amp;"]]"),"")</f>
        <v>77</v>
      </c>
      <c r="AJ67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8913.620745</v>
      </c>
      <c r="AK6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4.7</v>
      </c>
      <c r="AL672" s="4"/>
      <c r="AM67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77</v>
      </c>
      <c r="AN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7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72" t="str">
        <f>_xlfn.CONCAT(FINI_grouping_for_wheel[[#This Row],[Recipe Combination]],FINI_grouping_for_wheel[[#This Row],[Subgroup]])</f>
        <v>&gt;4</v>
      </c>
    </row>
    <row r="673" spans="1:55" hidden="1">
      <c r="A673" t="s">
        <v>11</v>
      </c>
      <c r="B673">
        <v>4652786</v>
      </c>
      <c r="C673" t="s">
        <v>2726</v>
      </c>
      <c r="D673">
        <v>8468.78386633</v>
      </c>
      <c r="E673">
        <v>39</v>
      </c>
      <c r="F673">
        <v>0.78</v>
      </c>
      <c r="G673" t="s">
        <v>2744</v>
      </c>
      <c r="H673" t="s">
        <v>2745</v>
      </c>
      <c r="I673">
        <v>300</v>
      </c>
      <c r="J673" t="s">
        <v>90</v>
      </c>
      <c r="K673" t="s">
        <v>552</v>
      </c>
      <c r="L673" t="s">
        <v>553</v>
      </c>
      <c r="M673">
        <v>54940.29543</v>
      </c>
      <c r="N673">
        <v>219.76118172</v>
      </c>
      <c r="O673">
        <v>54940.29543</v>
      </c>
      <c r="P673">
        <v>322179.619365</v>
      </c>
      <c r="Q673">
        <v>1</v>
      </c>
      <c r="R673">
        <v>8468.78386633</v>
      </c>
      <c r="S673" t="s">
        <v>294</v>
      </c>
      <c r="T673" t="s">
        <v>93</v>
      </c>
      <c r="U673">
        <v>12.5</v>
      </c>
      <c r="V673" t="s">
        <v>295</v>
      </c>
      <c r="W673" t="s">
        <v>142</v>
      </c>
      <c r="X673" t="s">
        <v>128</v>
      </c>
      <c r="Y673" s="23" t="s">
        <v>120</v>
      </c>
      <c r="AA673">
        <v>39</v>
      </c>
      <c r="AB673" t="s">
        <v>2746</v>
      </c>
      <c r="AC673" t="s">
        <v>2730</v>
      </c>
      <c r="AD673" s="2">
        <v>3</v>
      </c>
      <c r="AE673" s="2" t="s">
        <v>70</v>
      </c>
      <c r="AF673" t="str">
        <f>_xlfn.CONCAT(FINI_grouping_for_wheel[[#This Row],[SEFI/Plant]],"/",IF(FINI_grouping_for_wheel[[#This Row],[RESET recipe combination]]&lt;&gt;"",FINI_grouping_for_wheel[[#This Row],[RESET recipe combination]],FINI_grouping_for_wheel[[#This Row],[Recipe Combination]]),"/",FINI_grouping_for_wheel[[#This Row],[Subgroup]])</f>
        <v>4652786/THDP/x/3</v>
      </c>
      <c r="AG6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0.6988223955666656</v>
      </c>
      <c r="AH673">
        <f>_xlfn.LET(_xlpm.pct, FINI_grouping_for_wheel[[#This Row],[% forecast within subgroup]], _xlpm.lote, FINI_grouping_for_wheel[[#This Row],[Lot size considered]], _xlpm.pct*_xlpm.lote)</f>
        <v>5918.175829005059</v>
      </c>
      <c r="AI673" cm="1">
        <f t="array" aca="1" ref="AI673" ca="1">IFERROR(INDIRECT("FINI_grouping_for_wheel[@["&amp;FINI_grouping_for_wheel[[#This Row],[Selected PV]]&amp;"]]"),"")</f>
        <v>24</v>
      </c>
      <c r="AJ67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8913.620745</v>
      </c>
      <c r="AK6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20.8</v>
      </c>
      <c r="AL673" s="4"/>
      <c r="AM67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v>
      </c>
      <c r="AN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7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73" t="str">
        <f>_xlfn.CONCAT(FINI_grouping_for_wheel[[#This Row],[Recipe Combination]],FINI_grouping_for_wheel[[#This Row],[Subgroup]])</f>
        <v>C3</v>
      </c>
    </row>
    <row r="674" spans="1:55" hidden="1">
      <c r="A674" t="s">
        <v>11</v>
      </c>
      <c r="B674">
        <v>4652786</v>
      </c>
      <c r="C674" t="s">
        <v>2726</v>
      </c>
      <c r="D674">
        <v>8468.78386633</v>
      </c>
      <c r="E674">
        <v>39</v>
      </c>
      <c r="F674">
        <v>0.78</v>
      </c>
      <c r="G674" t="s">
        <v>2747</v>
      </c>
      <c r="H674" t="s">
        <v>2748</v>
      </c>
      <c r="I674">
        <v>240</v>
      </c>
      <c r="J674" t="s">
        <v>90</v>
      </c>
      <c r="K674" t="s">
        <v>2749</v>
      </c>
      <c r="L674" t="s">
        <v>2750</v>
      </c>
      <c r="M674">
        <v>5256.5382</v>
      </c>
      <c r="N674">
        <v>21.0261528</v>
      </c>
      <c r="O674">
        <v>5256.5382</v>
      </c>
      <c r="P674">
        <v>322179.619365</v>
      </c>
      <c r="Q674">
        <v>1</v>
      </c>
      <c r="R674">
        <v>8468.78386633</v>
      </c>
      <c r="S674" t="s">
        <v>173</v>
      </c>
      <c r="T674" t="s">
        <v>93</v>
      </c>
      <c r="U674">
        <v>5</v>
      </c>
      <c r="V674" t="s">
        <v>119</v>
      </c>
      <c r="W674" t="s">
        <v>95</v>
      </c>
      <c r="X674" t="s">
        <v>96</v>
      </c>
      <c r="Y674" s="23" t="s">
        <v>120</v>
      </c>
      <c r="AA674">
        <v>403</v>
      </c>
      <c r="AB674" t="s">
        <v>2751</v>
      </c>
      <c r="AC674" t="s">
        <v>2730</v>
      </c>
      <c r="AD674" s="2">
        <v>4</v>
      </c>
      <c r="AE674" s="2" t="s">
        <v>70</v>
      </c>
      <c r="AF674" t="str">
        <f>_xlfn.CONCAT(FINI_grouping_for_wheel[[#This Row],[SEFI/Plant]],"/",IF(FINI_grouping_for_wheel[[#This Row],[RESET recipe combination]]&lt;&gt;"",FINI_grouping_for_wheel[[#This Row],[RESET recipe combination]],FINI_grouping_for_wheel[[#This Row],[Recipe Combination]]),"/",FINI_grouping_for_wheel[[#This Row],[Subgroup]])</f>
        <v>4652786/THDP/x/4</v>
      </c>
      <c r="AG6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0.21301093839953944</v>
      </c>
      <c r="AH674">
        <f>_xlfn.LET(_xlpm.pct, FINI_grouping_for_wheel[[#This Row],[% forecast within subgroup]], _xlpm.lote, FINI_grouping_for_wheel[[#This Row],[Lot size considered]], _xlpm.pct*_xlpm.lote)</f>
        <v>1803.9435984698332</v>
      </c>
      <c r="AI674" cm="1">
        <f t="array" aca="1" ref="AI674" ca="1">IFERROR(INDIRECT("FINI_grouping_for_wheel[@["&amp;FINI_grouping_for_wheel[[#This Row],[Selected PV]]&amp;"]]"),"")</f>
        <v>77</v>
      </c>
      <c r="AJ67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8913.620745</v>
      </c>
      <c r="AK6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7.9</v>
      </c>
      <c r="AL674" s="4"/>
      <c r="AM67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77</v>
      </c>
      <c r="AN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7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74" t="str">
        <f>_xlfn.CONCAT(FINI_grouping_for_wheel[[#This Row],[Recipe Combination]],FINI_grouping_for_wheel[[#This Row],[Subgroup]])</f>
        <v>P4</v>
      </c>
    </row>
    <row r="675" spans="1:55" hidden="1">
      <c r="A675" t="s">
        <v>11</v>
      </c>
      <c r="B675">
        <v>4652786</v>
      </c>
      <c r="C675" t="s">
        <v>2726</v>
      </c>
      <c r="D675">
        <v>8468.78386633</v>
      </c>
      <c r="E675">
        <v>39</v>
      </c>
      <c r="F675">
        <v>0.78</v>
      </c>
      <c r="G675" t="s">
        <v>2752</v>
      </c>
      <c r="H675" t="s">
        <v>2753</v>
      </c>
      <c r="I675">
        <v>300</v>
      </c>
      <c r="J675" t="s">
        <v>90</v>
      </c>
      <c r="K675" t="s">
        <v>292</v>
      </c>
      <c r="L675" t="s">
        <v>293</v>
      </c>
      <c r="M675">
        <v>104949.626535</v>
      </c>
      <c r="N675">
        <v>419.79850614</v>
      </c>
      <c r="O675">
        <v>104949.626535</v>
      </c>
      <c r="P675">
        <v>322179.619365</v>
      </c>
      <c r="Q675">
        <v>1</v>
      </c>
      <c r="R675">
        <v>8468.78386633</v>
      </c>
      <c r="S675" t="s">
        <v>218</v>
      </c>
      <c r="T675" t="s">
        <v>93</v>
      </c>
      <c r="U675">
        <v>12.5</v>
      </c>
      <c r="V675" t="s">
        <v>295</v>
      </c>
      <c r="W675" t="s">
        <v>142</v>
      </c>
      <c r="X675" t="s">
        <v>128</v>
      </c>
      <c r="Y675" s="23" t="s">
        <v>120</v>
      </c>
      <c r="AA675">
        <v>20</v>
      </c>
      <c r="AB675" t="s">
        <v>2754</v>
      </c>
      <c r="AC675" t="s">
        <v>2730</v>
      </c>
      <c r="AD675" s="2">
        <v>2</v>
      </c>
      <c r="AE675" s="2" t="s">
        <v>70</v>
      </c>
      <c r="AF675" t="str">
        <f>_xlfn.CONCAT(FINI_grouping_for_wheel[[#This Row],[SEFI/Plant]],"/",IF(FINI_grouping_for_wheel[[#This Row],[RESET recipe combination]]&lt;&gt;"",FINI_grouping_for_wheel[[#This Row],[RESET recipe combination]],FINI_grouping_for_wheel[[#This Row],[Recipe Combination]]),"/",FINI_grouping_for_wheel[[#This Row],[Subgroup]])</f>
        <v>4652786/THDP/x/2</v>
      </c>
      <c r="AG6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75">
        <f>_xlfn.LET(_xlpm.pct, FINI_grouping_for_wheel[[#This Row],[% forecast within subgroup]], _xlpm.lote, FINI_grouping_for_wheel[[#This Row],[Lot size considered]], _xlpm.pct*_xlpm.lote)</f>
        <v>8468.78386633</v>
      </c>
      <c r="AI675" cm="1">
        <f t="array" aca="1" ref="AI675" ca="1">IFERROR(INDIRECT("FINI_grouping_for_wheel[@["&amp;FINI_grouping_for_wheel[[#This Row],[Selected PV]]&amp;"]]"),"")</f>
        <v>18</v>
      </c>
      <c r="AJ67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8913.620745</v>
      </c>
      <c r="AK6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29.7</v>
      </c>
      <c r="AL675" s="4"/>
      <c r="AM67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v>
      </c>
      <c r="AN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7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75" t="str">
        <f>_xlfn.CONCAT(FINI_grouping_for_wheel[[#This Row],[Recipe Combination]],FINI_grouping_for_wheel[[#This Row],[Subgroup]])</f>
        <v>U2</v>
      </c>
    </row>
    <row r="676" spans="1:55" hidden="1">
      <c r="A676" t="s">
        <v>11</v>
      </c>
      <c r="B676">
        <v>4652786</v>
      </c>
      <c r="C676" t="s">
        <v>2726</v>
      </c>
      <c r="D676">
        <v>8468.78386633</v>
      </c>
      <c r="E676">
        <v>39</v>
      </c>
      <c r="F676">
        <v>0.78</v>
      </c>
      <c r="G676" t="s">
        <v>2755</v>
      </c>
      <c r="H676" t="s">
        <v>2756</v>
      </c>
      <c r="I676">
        <v>462</v>
      </c>
      <c r="J676" t="s">
        <v>90</v>
      </c>
      <c r="K676" t="s">
        <v>2757</v>
      </c>
      <c r="L676" t="s">
        <v>2758</v>
      </c>
      <c r="M676">
        <v>113934.28158</v>
      </c>
      <c r="N676">
        <v>455.73712632</v>
      </c>
      <c r="O676">
        <v>113934.28158</v>
      </c>
      <c r="P676">
        <v>322179.619365</v>
      </c>
      <c r="Q676">
        <v>1</v>
      </c>
      <c r="R676">
        <v>8468.78386633</v>
      </c>
      <c r="S676" t="s">
        <v>387</v>
      </c>
      <c r="T676" t="s">
        <v>93</v>
      </c>
      <c r="U676">
        <v>14</v>
      </c>
      <c r="V676" t="s">
        <v>408</v>
      </c>
      <c r="W676" t="s">
        <v>95</v>
      </c>
      <c r="X676" t="s">
        <v>96</v>
      </c>
      <c r="Y676" s="23" t="s">
        <v>97</v>
      </c>
      <c r="AA676">
        <v>19</v>
      </c>
      <c r="AB676" t="s">
        <v>2759</v>
      </c>
      <c r="AC676" t="s">
        <v>2730</v>
      </c>
      <c r="AD676" s="2">
        <v>1</v>
      </c>
      <c r="AE676" s="2" t="s">
        <v>70</v>
      </c>
      <c r="AF676" t="str">
        <f>_xlfn.CONCAT(FINI_grouping_for_wheel[[#This Row],[SEFI/Plant]],"/",IF(FINI_grouping_for_wheel[[#This Row],[RESET recipe combination]]&lt;&gt;"",FINI_grouping_for_wheel[[#This Row],[RESET recipe combination]],FINI_grouping_for_wheel[[#This Row],[Recipe Combination]]),"/",FINI_grouping_for_wheel[[#This Row],[Subgroup]])</f>
        <v>4652786/THDP/x/1</v>
      </c>
      <c r="AG6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76">
        <f>_xlfn.LET(_xlpm.pct, FINI_grouping_for_wheel[[#This Row],[% forecast within subgroup]], _xlpm.lote, FINI_grouping_for_wheel[[#This Row],[Lot size considered]], _xlpm.pct*_xlpm.lote)</f>
        <v>8468.78386633</v>
      </c>
      <c r="AI676" cm="1">
        <f t="array" aca="1" ref="AI676" ca="1">IFERROR(INDIRECT("FINI_grouping_for_wheel[@["&amp;FINI_grouping_for_wheel[[#This Row],[Selected PV]]&amp;"]]"),"")</f>
        <v>17</v>
      </c>
      <c r="AJ67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8913.620745</v>
      </c>
      <c r="AK6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19.3</v>
      </c>
      <c r="AL676" s="4"/>
      <c r="AM67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v>
      </c>
      <c r="AN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7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76" t="str">
        <f>_xlfn.CONCAT(FINI_grouping_for_wheel[[#This Row],[Recipe Combination]],FINI_grouping_for_wheel[[#This Row],[Subgroup]])</f>
        <v>X1</v>
      </c>
    </row>
    <row r="677" spans="1:55" hidden="1">
      <c r="A677" t="s">
        <v>11</v>
      </c>
      <c r="B677">
        <v>4368102</v>
      </c>
      <c r="C677" t="s">
        <v>2760</v>
      </c>
      <c r="D677">
        <v>8578.76219703</v>
      </c>
      <c r="E677">
        <v>39</v>
      </c>
      <c r="F677">
        <v>0.78</v>
      </c>
      <c r="G677" t="s">
        <v>2761</v>
      </c>
      <c r="H677" t="s">
        <v>2762</v>
      </c>
      <c r="I677">
        <v>280</v>
      </c>
      <c r="J677" t="s">
        <v>90</v>
      </c>
      <c r="K677" t="s">
        <v>860</v>
      </c>
      <c r="L677" t="s">
        <v>861</v>
      </c>
      <c r="M677">
        <v>3807.43848</v>
      </c>
      <c r="N677">
        <v>15.22975392</v>
      </c>
      <c r="O677">
        <v>3807.43848</v>
      </c>
      <c r="P677">
        <v>333798.463035</v>
      </c>
      <c r="Q677">
        <v>1</v>
      </c>
      <c r="R677">
        <v>8578.76219703</v>
      </c>
      <c r="S677" t="s">
        <v>266</v>
      </c>
      <c r="T677" t="s">
        <v>93</v>
      </c>
      <c r="U677">
        <v>2.5</v>
      </c>
      <c r="V677" t="s">
        <v>862</v>
      </c>
      <c r="W677" t="s">
        <v>142</v>
      </c>
      <c r="X677" t="s">
        <v>150</v>
      </c>
      <c r="Y677" s="23" t="s">
        <v>151</v>
      </c>
      <c r="AA677">
        <v>563</v>
      </c>
      <c r="AB677" t="s">
        <v>2763</v>
      </c>
      <c r="AC677" t="s">
        <v>2764</v>
      </c>
      <c r="AD677" s="2">
        <v>4</v>
      </c>
      <c r="AE677" s="2" t="s">
        <v>70</v>
      </c>
      <c r="AF677" t="str">
        <f>_xlfn.CONCAT(FINI_grouping_for_wheel[[#This Row],[SEFI/Plant]],"/",IF(FINI_grouping_for_wheel[[#This Row],[RESET recipe combination]]&lt;&gt;"",FINI_grouping_for_wheel[[#This Row],[RESET recipe combination]],FINI_grouping_for_wheel[[#This Row],[Recipe Combination]]),"/",FINI_grouping_for_wheel[[#This Row],[Subgroup]])</f>
        <v>4368102/THDP/x/4</v>
      </c>
      <c r="AG6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0.2783692547390288</v>
      </c>
      <c r="AH677">
        <f>_xlfn.LET(_xlpm.pct, FINI_grouping_for_wheel[[#This Row],[% forecast within subgroup]], _xlpm.lote, FINI_grouping_for_wheel[[#This Row],[Lot size considered]], _xlpm.pct*_xlpm.lote)</f>
        <v>2388.0636393705945</v>
      </c>
      <c r="AI677" cm="1">
        <f t="array" aca="1" ref="AI677" ca="1">IFERROR(INDIRECT("FINI_grouping_for_wheel[@["&amp;FINI_grouping_for_wheel[[#This Row],[Selected PV]]&amp;"]]"),"")</f>
        <v>137</v>
      </c>
      <c r="AJ67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6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8.8</v>
      </c>
      <c r="AL677" s="4"/>
      <c r="AM67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137</v>
      </c>
      <c r="AN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7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77" t="str">
        <f>_xlfn.CONCAT(FINI_grouping_for_wheel[[#This Row],[Recipe Combination]],FINI_grouping_for_wheel[[#This Row],[Subgroup]])</f>
        <v>14</v>
      </c>
    </row>
    <row r="678" spans="1:55" hidden="1">
      <c r="A678" t="s">
        <v>11</v>
      </c>
      <c r="B678">
        <v>4368102</v>
      </c>
      <c r="C678" t="s">
        <v>2760</v>
      </c>
      <c r="D678">
        <v>8578.76219703</v>
      </c>
      <c r="E678">
        <v>39</v>
      </c>
      <c r="F678">
        <v>0.78</v>
      </c>
      <c r="G678" t="s">
        <v>2765</v>
      </c>
      <c r="H678" t="s">
        <v>2766</v>
      </c>
      <c r="I678">
        <v>420</v>
      </c>
      <c r="J678" t="s">
        <v>90</v>
      </c>
      <c r="K678" t="s">
        <v>469</v>
      </c>
      <c r="L678" t="s">
        <v>470</v>
      </c>
      <c r="M678">
        <v>6808.637655</v>
      </c>
      <c r="N678">
        <v>27.23455062</v>
      </c>
      <c r="O678">
        <v>6808.637655</v>
      </c>
      <c r="P678">
        <v>333798.463035</v>
      </c>
      <c r="Q678">
        <v>1</v>
      </c>
      <c r="R678">
        <v>8578.76219703</v>
      </c>
      <c r="S678" t="s">
        <v>990</v>
      </c>
      <c r="T678" t="s">
        <v>93</v>
      </c>
      <c r="U678">
        <v>3</v>
      </c>
      <c r="V678" t="s">
        <v>472</v>
      </c>
      <c r="W678" t="s">
        <v>142</v>
      </c>
      <c r="X678" t="s">
        <v>150</v>
      </c>
      <c r="Y678" s="23" t="s">
        <v>151</v>
      </c>
      <c r="AA678">
        <v>315</v>
      </c>
      <c r="AB678" t="s">
        <v>2767</v>
      </c>
      <c r="AC678" t="s">
        <v>2764</v>
      </c>
      <c r="AD678" s="2">
        <v>4</v>
      </c>
      <c r="AE678" s="2" t="s">
        <v>70</v>
      </c>
      <c r="AF678" t="str">
        <f>_xlfn.CONCAT(FINI_grouping_for_wheel[[#This Row],[SEFI/Plant]],"/",IF(FINI_grouping_for_wheel[[#This Row],[RESET recipe combination]]&lt;&gt;"",FINI_grouping_for_wheel[[#This Row],[RESET recipe combination]],FINI_grouping_for_wheel[[#This Row],[Recipe Combination]]),"/",FINI_grouping_for_wheel[[#This Row],[Subgroup]])</f>
        <v>4368102/THDP/x/4</v>
      </c>
      <c r="AG6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0.4977927810958193</v>
      </c>
      <c r="AH678">
        <f>_xlfn.LET(_xlpm.pct, FINI_grouping_for_wheel[[#This Row],[% forecast within subgroup]], _xlpm.lote, FINI_grouping_for_wheel[[#This Row],[Lot size considered]], _xlpm.pct*_xlpm.lote)</f>
        <v>4270.445892419245</v>
      </c>
      <c r="AI678" cm="1">
        <f t="array" aca="1" ref="AI678" ca="1">IFERROR(INDIRECT("FINI_grouping_for_wheel[@["&amp;FINI_grouping_for_wheel[[#This Row],[Selected PV]]&amp;"]]"),"")</f>
        <v>137</v>
      </c>
      <c r="AJ67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6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10.5</v>
      </c>
      <c r="AL678" s="4"/>
      <c r="AM67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137</v>
      </c>
      <c r="AN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7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78" t="str">
        <f>_xlfn.CONCAT(FINI_grouping_for_wheel[[#This Row],[Recipe Combination]],FINI_grouping_for_wheel[[#This Row],[Subgroup]])</f>
        <v>24</v>
      </c>
    </row>
    <row r="679" spans="1:55" hidden="1">
      <c r="A679" t="s">
        <v>11</v>
      </c>
      <c r="B679">
        <v>4368102</v>
      </c>
      <c r="C679" t="s">
        <v>2760</v>
      </c>
      <c r="D679">
        <v>8578.76219703</v>
      </c>
      <c r="E679">
        <v>39</v>
      </c>
      <c r="F679">
        <v>0.78</v>
      </c>
      <c r="G679" t="s">
        <v>2768</v>
      </c>
      <c r="H679" t="s">
        <v>2769</v>
      </c>
      <c r="I679">
        <v>288</v>
      </c>
      <c r="J679" t="s">
        <v>90</v>
      </c>
      <c r="K679" t="s">
        <v>2770</v>
      </c>
      <c r="L679" t="s">
        <v>2771</v>
      </c>
      <c r="M679">
        <v>50619.04218</v>
      </c>
      <c r="N679">
        <v>202.47616872</v>
      </c>
      <c r="O679">
        <v>106842.69063</v>
      </c>
      <c r="P679">
        <v>333798.463035</v>
      </c>
      <c r="Q679">
        <v>0.47377169071205372</v>
      </c>
      <c r="R679">
        <v>4064.3746703</v>
      </c>
      <c r="S679" t="s">
        <v>118</v>
      </c>
      <c r="T679" t="s">
        <v>93</v>
      </c>
      <c r="U679">
        <v>12</v>
      </c>
      <c r="V679" t="s">
        <v>238</v>
      </c>
      <c r="W679" t="s">
        <v>95</v>
      </c>
      <c r="X679" t="s">
        <v>96</v>
      </c>
      <c r="Y679" s="23" t="s">
        <v>97</v>
      </c>
      <c r="AA679">
        <v>42</v>
      </c>
      <c r="AB679" t="s">
        <v>2772</v>
      </c>
      <c r="AC679" t="s">
        <v>2764</v>
      </c>
      <c r="AD679" s="2">
        <v>2</v>
      </c>
      <c r="AE679" s="2" t="s">
        <v>70</v>
      </c>
      <c r="AF679" t="str">
        <f>_xlfn.CONCAT(FINI_grouping_for_wheel[[#This Row],[SEFI/Plant]],"/",IF(FINI_grouping_for_wheel[[#This Row],[RESET recipe combination]]&lt;&gt;"",FINI_grouping_for_wheel[[#This Row],[RESET recipe combination]],FINI_grouping_for_wheel[[#This Row],[Recipe Combination]]),"/",FINI_grouping_for_wheel[[#This Row],[Subgroup]])</f>
        <v>4368102/THDP/x/2</v>
      </c>
      <c r="AG6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0.4737716907120537</v>
      </c>
      <c r="AH679">
        <f>_xlfn.LET(_xlpm.pct, FINI_grouping_for_wheel[[#This Row],[% forecast within subgroup]], _xlpm.lote, FINI_grouping_for_wheel[[#This Row],[Lot size considered]], _xlpm.pct*_xlpm.lote)</f>
        <v>4064.374670303556</v>
      </c>
      <c r="AI679" cm="1">
        <f t="array" aca="1" ref="AI679" ca="1">IFERROR(INDIRECT("FINI_grouping_for_wheel[@["&amp;FINI_grouping_for_wheel[[#This Row],[Selected PV]]&amp;"]]"),"")</f>
        <v>18</v>
      </c>
      <c r="AJ67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6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14.5</v>
      </c>
      <c r="AL679" s="4"/>
      <c r="AM67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v>
      </c>
      <c r="AN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7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79" t="str">
        <f>_xlfn.CONCAT(FINI_grouping_for_wheel[[#This Row],[Recipe Combination]],FINI_grouping_for_wheel[[#This Row],[Subgroup]])</f>
        <v>A2</v>
      </c>
    </row>
    <row r="680" spans="1:55" hidden="1">
      <c r="A680" t="s">
        <v>11</v>
      </c>
      <c r="B680">
        <v>4368102</v>
      </c>
      <c r="C680" t="s">
        <v>2760</v>
      </c>
      <c r="D680">
        <v>8578.76219703</v>
      </c>
      <c r="E680">
        <v>39</v>
      </c>
      <c r="F680">
        <v>0.78</v>
      </c>
      <c r="G680" t="s">
        <v>2773</v>
      </c>
      <c r="H680" t="s">
        <v>2774</v>
      </c>
      <c r="I680">
        <v>440</v>
      </c>
      <c r="J680" t="s">
        <v>90</v>
      </c>
      <c r="K680" t="s">
        <v>2775</v>
      </c>
      <c r="L680" t="s">
        <v>2776</v>
      </c>
      <c r="M680">
        <v>56223.64845</v>
      </c>
      <c r="N680">
        <v>224.8945938</v>
      </c>
      <c r="O680">
        <v>106842.69063</v>
      </c>
      <c r="P680">
        <v>333798.463035</v>
      </c>
      <c r="Q680">
        <v>0.52622830928794628</v>
      </c>
      <c r="R680">
        <v>4514.38752673</v>
      </c>
      <c r="S680" t="s">
        <v>118</v>
      </c>
      <c r="T680" t="s">
        <v>93</v>
      </c>
      <c r="U680">
        <v>10</v>
      </c>
      <c r="V680" t="s">
        <v>94</v>
      </c>
      <c r="W680" t="s">
        <v>95</v>
      </c>
      <c r="X680" t="s">
        <v>96</v>
      </c>
      <c r="Y680" s="23" t="s">
        <v>97</v>
      </c>
      <c r="AA680">
        <v>38</v>
      </c>
      <c r="AB680" t="s">
        <v>2777</v>
      </c>
      <c r="AC680" t="s">
        <v>2764</v>
      </c>
      <c r="AD680" s="2">
        <v>2</v>
      </c>
      <c r="AE680" s="2" t="s">
        <v>70</v>
      </c>
      <c r="AF680" t="str">
        <f>_xlfn.CONCAT(FINI_grouping_for_wheel[[#This Row],[SEFI/Plant]],"/",IF(FINI_grouping_for_wheel[[#This Row],[RESET recipe combination]]&lt;&gt;"",FINI_grouping_for_wheel[[#This Row],[RESET recipe combination]],FINI_grouping_for_wheel[[#This Row],[Recipe Combination]]),"/",FINI_grouping_for_wheel[[#This Row],[Subgroup]])</f>
        <v>4368102/THDP/x/2</v>
      </c>
      <c r="AG6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0.5262283092879463</v>
      </c>
      <c r="AH680">
        <f>_xlfn.LET(_xlpm.pct, FINI_grouping_for_wheel[[#This Row],[% forecast within subgroup]], _xlpm.lote, FINI_grouping_for_wheel[[#This Row],[Lot size considered]], _xlpm.pct*_xlpm.lote)</f>
        <v>4514.387526726445</v>
      </c>
      <c r="AI680" cm="1">
        <f t="array" aca="1" ref="AI680" ca="1">IFERROR(INDIRECT("FINI_grouping_for_wheel[@["&amp;FINI_grouping_for_wheel[[#This Row],[Selected PV]]&amp;"]]"),"")</f>
        <v>18</v>
      </c>
      <c r="AJ68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6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10.6</v>
      </c>
      <c r="AL680" s="4"/>
      <c r="AM68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v>
      </c>
      <c r="AN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8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80" t="str">
        <f>_xlfn.CONCAT(FINI_grouping_for_wheel[[#This Row],[Recipe Combination]],FINI_grouping_for_wheel[[#This Row],[Subgroup]])</f>
        <v>A2</v>
      </c>
    </row>
    <row r="681" spans="1:55" hidden="1">
      <c r="A681" t="s">
        <v>11</v>
      </c>
      <c r="B681">
        <v>4368102</v>
      </c>
      <c r="C681" t="s">
        <v>2760</v>
      </c>
      <c r="D681">
        <v>8578.76219703</v>
      </c>
      <c r="E681">
        <v>39</v>
      </c>
      <c r="F681">
        <v>0.78</v>
      </c>
      <c r="G681" t="s">
        <v>2778</v>
      </c>
      <c r="H681" t="s">
        <v>2779</v>
      </c>
      <c r="I681">
        <v>380</v>
      </c>
      <c r="J681" t="s">
        <v>90</v>
      </c>
      <c r="M681">
        <v>3061.57833</v>
      </c>
      <c r="N681">
        <v>12.24631332</v>
      </c>
      <c r="O681">
        <v>3061.57833</v>
      </c>
      <c r="P681">
        <v>333798.463035</v>
      </c>
      <c r="Q681">
        <v>1</v>
      </c>
      <c r="R681">
        <v>8578.76219703</v>
      </c>
      <c r="S681" t="s">
        <v>148</v>
      </c>
      <c r="T681" t="s">
        <v>93</v>
      </c>
      <c r="U681">
        <v>0.5</v>
      </c>
      <c r="AA681">
        <v>701</v>
      </c>
      <c r="AB681" t="s">
        <v>2780</v>
      </c>
      <c r="AC681" t="s">
        <v>2764</v>
      </c>
      <c r="AD681" s="2">
        <v>4</v>
      </c>
      <c r="AE681" s="2" t="s">
        <v>70</v>
      </c>
      <c r="AF681" t="str">
        <f>_xlfn.CONCAT(FINI_grouping_for_wheel[[#This Row],[SEFI/Plant]],"/",IF(FINI_grouping_for_wheel[[#This Row],[RESET recipe combination]]&lt;&gt;"",FINI_grouping_for_wheel[[#This Row],[RESET recipe combination]],FINI_grouping_for_wheel[[#This Row],[Recipe Combination]]),"/",FINI_grouping_for_wheel[[#This Row],[Subgroup]])</f>
        <v>4368102/THDP/x/4</v>
      </c>
      <c r="AG6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0.2238379641651519</v>
      </c>
      <c r="AH681">
        <f>_xlfn.LET(_xlpm.pct, FINI_grouping_for_wheel[[#This Row],[% forecast within subgroup]], _xlpm.lote, FINI_grouping_for_wheel[[#This Row],[Lot size considered]], _xlpm.pct*_xlpm.lote)</f>
        <v>1920.252665240161</v>
      </c>
      <c r="AI681" cm="1">
        <f t="array" aca="1" ref="AI681" ca="1">IFERROR(INDIRECT("FINI_grouping_for_wheel[@["&amp;FINI_grouping_for_wheel[[#This Row],[Selected PV]]&amp;"]]"),"")</f>
        <v>137</v>
      </c>
      <c r="AJ68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6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5.2</v>
      </c>
      <c r="AL681" s="4"/>
      <c r="AM68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137</v>
      </c>
      <c r="AN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8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81" t="str">
        <f>_xlfn.CONCAT(FINI_grouping_for_wheel[[#This Row],[Recipe Combination]],FINI_grouping_for_wheel[[#This Row],[Subgroup]])</f>
        <v>I4</v>
      </c>
    </row>
    <row r="682" spans="1:55" hidden="1">
      <c r="A682" t="s">
        <v>11</v>
      </c>
      <c r="B682">
        <v>4368102</v>
      </c>
      <c r="C682" t="s">
        <v>2760</v>
      </c>
      <c r="D682">
        <v>8578.76219703</v>
      </c>
      <c r="E682">
        <v>39</v>
      </c>
      <c r="F682">
        <v>0.78</v>
      </c>
      <c r="G682" t="s">
        <v>2781</v>
      </c>
      <c r="H682" t="s">
        <v>2782</v>
      </c>
      <c r="I682">
        <v>330</v>
      </c>
      <c r="J682" t="s">
        <v>90</v>
      </c>
      <c r="K682" t="s">
        <v>617</v>
      </c>
      <c r="L682" t="s">
        <v>618</v>
      </c>
      <c r="M682">
        <v>7020.55665</v>
      </c>
      <c r="N682">
        <v>28.0822266</v>
      </c>
      <c r="O682">
        <v>7020.55665</v>
      </c>
      <c r="P682">
        <v>333798.463035</v>
      </c>
      <c r="Q682">
        <v>1</v>
      </c>
      <c r="R682">
        <v>8578.76219703</v>
      </c>
      <c r="S682" t="s">
        <v>157</v>
      </c>
      <c r="T682" t="s">
        <v>93</v>
      </c>
      <c r="U682">
        <v>10</v>
      </c>
      <c r="V682" t="s">
        <v>94</v>
      </c>
      <c r="W682" t="s">
        <v>142</v>
      </c>
      <c r="X682" t="s">
        <v>96</v>
      </c>
      <c r="Y682" s="23" t="s">
        <v>97</v>
      </c>
      <c r="AA682">
        <v>305</v>
      </c>
      <c r="AB682" t="s">
        <v>2783</v>
      </c>
      <c r="AC682" t="s">
        <v>2764</v>
      </c>
      <c r="AD682" s="2">
        <v>3</v>
      </c>
      <c r="AE682" s="2" t="s">
        <v>70</v>
      </c>
      <c r="AF682" t="str">
        <f>_xlfn.CONCAT(FINI_grouping_for_wheel[[#This Row],[SEFI/Plant]],"/",IF(FINI_grouping_for_wheel[[#This Row],[RESET recipe combination]]&lt;&gt;"",FINI_grouping_for_wheel[[#This Row],[RESET recipe combination]],FINI_grouping_for_wheel[[#This Row],[Recipe Combination]]),"/",FINI_grouping_for_wheel[[#This Row],[Subgroup]])</f>
        <v>4368102/THDP/x/3</v>
      </c>
      <c r="AG6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0.424785100286533</v>
      </c>
      <c r="AH682">
        <f>_xlfn.LET(_xlpm.pct, FINI_grouping_for_wheel[[#This Row],[% forecast within subgroup]], _xlpm.lote, FINI_grouping_for_wheel[[#This Row],[Lot size considered]], _xlpm.pct*_xlpm.lote)</f>
        <v>3644.130360199707</v>
      </c>
      <c r="AI682" cm="1">
        <f t="array" aca="1" ref="AI682" ca="1">IFERROR(INDIRECT("FINI_grouping_for_wheel[@["&amp;FINI_grouping_for_wheel[[#This Row],[Selected PV]]&amp;"]]"),"")</f>
        <v>114</v>
      </c>
      <c r="AJ68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6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11.4</v>
      </c>
      <c r="AL682" s="4"/>
      <c r="AM68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114</v>
      </c>
      <c r="AN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8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82" t="str">
        <f>_xlfn.CONCAT(FINI_grouping_for_wheel[[#This Row],[Recipe Combination]],FINI_grouping_for_wheel[[#This Row],[Subgroup]])</f>
        <v>M3</v>
      </c>
    </row>
    <row r="683" spans="1:55" hidden="1">
      <c r="A683" t="s">
        <v>11</v>
      </c>
      <c r="B683">
        <v>4368102</v>
      </c>
      <c r="C683" t="s">
        <v>2760</v>
      </c>
      <c r="D683">
        <v>8578.76219703</v>
      </c>
      <c r="E683">
        <v>39</v>
      </c>
      <c r="F683">
        <v>0.78</v>
      </c>
      <c r="G683" t="s">
        <v>2784</v>
      </c>
      <c r="H683" t="s">
        <v>2785</v>
      </c>
      <c r="I683">
        <v>300</v>
      </c>
      <c r="J683" t="s">
        <v>90</v>
      </c>
      <c r="K683" t="s">
        <v>2786</v>
      </c>
      <c r="L683" t="s">
        <v>2787</v>
      </c>
      <c r="M683">
        <v>9506.75715</v>
      </c>
      <c r="N683">
        <v>38.0270286</v>
      </c>
      <c r="O683">
        <v>9506.75715</v>
      </c>
      <c r="P683">
        <v>333798.463035</v>
      </c>
      <c r="Q683">
        <v>1</v>
      </c>
      <c r="R683">
        <v>8578.76219703</v>
      </c>
      <c r="S683" t="s">
        <v>195</v>
      </c>
      <c r="T683" t="s">
        <v>93</v>
      </c>
      <c r="U683">
        <v>5</v>
      </c>
      <c r="V683" t="s">
        <v>119</v>
      </c>
      <c r="W683" t="s">
        <v>95</v>
      </c>
      <c r="X683" t="s">
        <v>96</v>
      </c>
      <c r="Y683" s="23" t="s">
        <v>120</v>
      </c>
      <c r="AA683">
        <v>226</v>
      </c>
      <c r="AB683" t="s">
        <v>2788</v>
      </c>
      <c r="AC683" t="s">
        <v>2764</v>
      </c>
      <c r="AD683" s="2">
        <v>3</v>
      </c>
      <c r="AE683" s="2" t="s">
        <v>70</v>
      </c>
      <c r="AF683" t="str">
        <f>_xlfn.CONCAT(FINI_grouping_for_wheel[[#This Row],[SEFI/Plant]],"/",IF(FINI_grouping_for_wheel[[#This Row],[RESET recipe combination]]&lt;&gt;"",FINI_grouping_for_wheel[[#This Row],[RESET recipe combination]],FINI_grouping_for_wheel[[#This Row],[Recipe Combination]]),"/",FINI_grouping_for_wheel[[#This Row],[Subgroup]])</f>
        <v>4368102/THDP/x/3</v>
      </c>
      <c r="AG6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0.5752148997134671</v>
      </c>
      <c r="AH683">
        <f>_xlfn.LET(_xlpm.pct, FINI_grouping_for_wheel[[#This Row],[% forecast within subgroup]], _xlpm.lote, FINI_grouping_for_wheel[[#This Row],[Lot size considered]], _xlpm.pct*_xlpm.lote)</f>
        <v>4934.631836830295</v>
      </c>
      <c r="AI683" cm="1">
        <f t="array" aca="1" ref="AI683" ca="1">IFERROR(INDIRECT("FINI_grouping_for_wheel[@["&amp;FINI_grouping_for_wheel[[#This Row],[Selected PV]]&amp;"]]"),"")</f>
        <v>114</v>
      </c>
      <c r="AJ68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6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v>
      </c>
      <c r="AL683" s="4"/>
      <c r="AM68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114</v>
      </c>
      <c r="AN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8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83" t="str">
        <f>_xlfn.CONCAT(FINI_grouping_for_wheel[[#This Row],[Recipe Combination]],FINI_grouping_for_wheel[[#This Row],[Subgroup]])</f>
        <v>S3</v>
      </c>
    </row>
    <row r="684" spans="1:55" hidden="1">
      <c r="A684" t="s">
        <v>11</v>
      </c>
      <c r="B684">
        <v>4368102</v>
      </c>
      <c r="C684" t="s">
        <v>2760</v>
      </c>
      <c r="D684">
        <v>8578.76219703</v>
      </c>
      <c r="E684">
        <v>39</v>
      </c>
      <c r="F684">
        <v>0.78</v>
      </c>
      <c r="G684" t="s">
        <v>2789</v>
      </c>
      <c r="H684" t="s">
        <v>2790</v>
      </c>
      <c r="I684">
        <v>288</v>
      </c>
      <c r="J684" t="s">
        <v>90</v>
      </c>
      <c r="K684" t="s">
        <v>2791</v>
      </c>
      <c r="L684" t="s">
        <v>2792</v>
      </c>
      <c r="M684">
        <v>196750.80414</v>
      </c>
      <c r="N684">
        <v>787.00321656</v>
      </c>
      <c r="O684">
        <v>196750.80414</v>
      </c>
      <c r="P684">
        <v>333798.463035</v>
      </c>
      <c r="Q684">
        <v>1</v>
      </c>
      <c r="R684">
        <v>8578.76219703</v>
      </c>
      <c r="S684" t="s">
        <v>387</v>
      </c>
      <c r="T684" t="s">
        <v>93</v>
      </c>
      <c r="U684">
        <v>12</v>
      </c>
      <c r="V684" t="s">
        <v>238</v>
      </c>
      <c r="W684" t="s">
        <v>95</v>
      </c>
      <c r="X684" t="s">
        <v>96</v>
      </c>
      <c r="Y684" s="23" t="s">
        <v>97</v>
      </c>
      <c r="AA684">
        <v>11</v>
      </c>
      <c r="AB684" t="s">
        <v>2793</v>
      </c>
      <c r="AC684" t="s">
        <v>2764</v>
      </c>
      <c r="AD684" s="2">
        <v>1</v>
      </c>
      <c r="AE684" s="2" t="s">
        <v>70</v>
      </c>
      <c r="AF684" t="str">
        <f>_xlfn.CONCAT(FINI_grouping_for_wheel[[#This Row],[SEFI/Plant]],"/",IF(FINI_grouping_for_wheel[[#This Row],[RESET recipe combination]]&lt;&gt;"",FINI_grouping_for_wheel[[#This Row],[RESET recipe combination]],FINI_grouping_for_wheel[[#This Row],[Recipe Combination]]),"/",FINI_grouping_for_wheel[[#This Row],[Subgroup]])</f>
        <v>4368102/THDP/x/1</v>
      </c>
      <c r="AG6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84">
        <f>_xlfn.LET(_xlpm.pct, FINI_grouping_for_wheel[[#This Row],[% forecast within subgroup]], _xlpm.lote, FINI_grouping_for_wheel[[#This Row],[Lot size considered]], _xlpm.pct*_xlpm.lote)</f>
        <v>8578.76219703</v>
      </c>
      <c r="AI684" cm="1">
        <f t="array" aca="1" ref="AI684" ca="1">IFERROR(INDIRECT("FINI_grouping_for_wheel[@["&amp;FINI_grouping_for_wheel[[#This Row],[Selected PV]]&amp;"]]"),"")</f>
        <v>10</v>
      </c>
      <c r="AJ68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6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30.7</v>
      </c>
      <c r="AL684" s="4"/>
      <c r="AM68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v>
      </c>
      <c r="AN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8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84" t="str">
        <f>_xlfn.CONCAT(FINI_grouping_for_wheel[[#This Row],[Recipe Combination]],FINI_grouping_for_wheel[[#This Row],[Subgroup]])</f>
        <v>X1</v>
      </c>
    </row>
    <row r="685" spans="1:55" hidden="1">
      <c r="A685" t="s">
        <v>11</v>
      </c>
      <c r="B685">
        <v>4769831</v>
      </c>
      <c r="C685" t="s">
        <v>2794</v>
      </c>
      <c r="D685">
        <v>8679.77605976</v>
      </c>
      <c r="E685">
        <v>34</v>
      </c>
      <c r="F685">
        <v>0.68</v>
      </c>
      <c r="G685" t="s">
        <v>2795</v>
      </c>
      <c r="H685" t="s">
        <v>2796</v>
      </c>
      <c r="J685" t="s">
        <v>90</v>
      </c>
      <c r="K685" t="s">
        <v>292</v>
      </c>
      <c r="L685" t="s">
        <v>293</v>
      </c>
      <c r="M685">
        <v>5773.904685</v>
      </c>
      <c r="N685">
        <v>23.09561874</v>
      </c>
      <c r="O685">
        <v>293806.152135</v>
      </c>
      <c r="P685">
        <v>293806.152135</v>
      </c>
      <c r="Q685">
        <v>1.9652089117408841E-2</v>
      </c>
      <c r="R685">
        <v>170.575732646</v>
      </c>
      <c r="S685" t="s">
        <v>471</v>
      </c>
      <c r="T685" t="s">
        <v>93</v>
      </c>
      <c r="U685">
        <v>12.5</v>
      </c>
      <c r="V685" t="s">
        <v>295</v>
      </c>
      <c r="W685" t="s">
        <v>142</v>
      </c>
      <c r="X685" t="s">
        <v>128</v>
      </c>
      <c r="Y685" s="23" t="s">
        <v>120</v>
      </c>
      <c r="AA685">
        <v>376</v>
      </c>
      <c r="AB685" t="s">
        <v>2797</v>
      </c>
      <c r="AC685" t="s">
        <v>2798</v>
      </c>
      <c r="AD685" s="2">
        <v>1</v>
      </c>
      <c r="AE685" s="2" t="s">
        <v>70</v>
      </c>
      <c r="AF685" t="str">
        <f>_xlfn.CONCAT(FINI_grouping_for_wheel[[#This Row],[SEFI/Plant]],"/",IF(FINI_grouping_for_wheel[[#This Row],[RESET recipe combination]]&lt;&gt;"",FINI_grouping_for_wheel[[#This Row],[RESET recipe combination]],FINI_grouping_for_wheel[[#This Row],[Recipe Combination]]),"/",FINI_grouping_for_wheel[[#This Row],[Subgroup]])</f>
        <v>4769831/THDP/x/1</v>
      </c>
      <c r="AG6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0.01965208911740884</v>
      </c>
      <c r="AH685">
        <f>_xlfn.LET(_xlpm.pct, FINI_grouping_for_wheel[[#This Row],[% forecast within subgroup]], _xlpm.lote, FINI_grouping_for_wheel[[#This Row],[Lot size considered]], _xlpm.pct*_xlpm.lote)</f>
        <v>170.5757326455553</v>
      </c>
      <c r="AI685" cm="1">
        <f t="array" aca="1" ref="AI685" ca="1">IFERROR(INDIRECT("FINI_grouping_for_wheel[@["&amp;FINI_grouping_for_wheel[[#This Row],[Selected PV]]&amp;"]]"),"")</f>
        <v>6</v>
      </c>
      <c r="AJ68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8681.575365</v>
      </c>
      <c r="AK68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85" s="4"/>
      <c r="AM68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v>
      </c>
      <c r="AN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8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85" t="str">
        <f>_xlfn.CONCAT(FINI_grouping_for_wheel[[#This Row],[Recipe Combination]],FINI_grouping_for_wheel[[#This Row],[Subgroup]])</f>
        <v>1</v>
      </c>
    </row>
    <row r="686" spans="1:55" hidden="1">
      <c r="A686" t="s">
        <v>11</v>
      </c>
      <c r="B686">
        <v>4769831</v>
      </c>
      <c r="C686" t="s">
        <v>2794</v>
      </c>
      <c r="D686">
        <v>8679.77605976</v>
      </c>
      <c r="E686">
        <v>34</v>
      </c>
      <c r="F686">
        <v>0.68</v>
      </c>
      <c r="G686" t="s">
        <v>2799</v>
      </c>
      <c r="H686" t="s">
        <v>2800</v>
      </c>
      <c r="J686" t="s">
        <v>90</v>
      </c>
      <c r="K686" t="s">
        <v>2108</v>
      </c>
      <c r="L686" t="s">
        <v>2109</v>
      </c>
      <c r="M686">
        <v>288032.24745</v>
      </c>
      <c r="N686">
        <v>1152.1289898</v>
      </c>
      <c r="O686">
        <v>293806.152135</v>
      </c>
      <c r="P686">
        <v>293806.152135</v>
      </c>
      <c r="Q686">
        <v>0.98034791088259121</v>
      </c>
      <c r="R686">
        <v>8509.20032712</v>
      </c>
      <c r="S686" t="s">
        <v>471</v>
      </c>
      <c r="T686" t="s">
        <v>93</v>
      </c>
      <c r="U686">
        <v>10</v>
      </c>
      <c r="V686" t="s">
        <v>295</v>
      </c>
      <c r="W686" t="s">
        <v>95</v>
      </c>
      <c r="X686" t="s">
        <v>128</v>
      </c>
      <c r="Y686" s="23" t="s">
        <v>120</v>
      </c>
      <c r="AA686">
        <v>8</v>
      </c>
      <c r="AB686" t="s">
        <v>2801</v>
      </c>
      <c r="AC686" t="s">
        <v>2798</v>
      </c>
      <c r="AD686" s="2">
        <v>1</v>
      </c>
      <c r="AE686" s="2" t="s">
        <v>70</v>
      </c>
      <c r="AF686" t="str">
        <f>_xlfn.CONCAT(FINI_grouping_for_wheel[[#This Row],[SEFI/Plant]],"/",IF(FINI_grouping_for_wheel[[#This Row],[RESET recipe combination]]&lt;&gt;"",FINI_grouping_for_wheel[[#This Row],[RESET recipe combination]],FINI_grouping_for_wheel[[#This Row],[Recipe Combination]]),"/",FINI_grouping_for_wheel[[#This Row],[Subgroup]])</f>
        <v>4769831/THDP/x/1</v>
      </c>
      <c r="AG6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0.9803479108825911</v>
      </c>
      <c r="AH686">
        <f>_xlfn.LET(_xlpm.pct, FINI_grouping_for_wheel[[#This Row],[% forecast within subgroup]], _xlpm.lote, FINI_grouping_for_wheel[[#This Row],[Lot size considered]], _xlpm.pct*_xlpm.lote)</f>
        <v>8509.200327114446</v>
      </c>
      <c r="AI686" cm="1">
        <f t="array" aca="1" ref="AI686" ca="1">IFERROR(INDIRECT("FINI_grouping_for_wheel[@["&amp;FINI_grouping_for_wheel[[#This Row],[Selected PV]]&amp;"]]"),"")</f>
        <v>6</v>
      </c>
      <c r="AJ68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8681.575365</v>
      </c>
      <c r="AK68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86" s="4"/>
      <c r="AM68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v>
      </c>
      <c r="AN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8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86" t="str">
        <f>_xlfn.CONCAT(FINI_grouping_for_wheel[[#This Row],[Recipe Combination]],FINI_grouping_for_wheel[[#This Row],[Subgroup]])</f>
        <v>1</v>
      </c>
    </row>
    <row r="687" spans="1:55" hidden="1">
      <c r="A687" t="s">
        <v>11</v>
      </c>
      <c r="B687">
        <v>4491401</v>
      </c>
      <c r="C687" t="s">
        <v>2802</v>
      </c>
      <c r="D687">
        <v>8148.91550528</v>
      </c>
      <c r="E687">
        <v>32</v>
      </c>
      <c r="F687">
        <v>0.64</v>
      </c>
      <c r="G687" t="s">
        <v>2803</v>
      </c>
      <c r="H687" t="s">
        <v>2804</v>
      </c>
      <c r="I687">
        <v>462</v>
      </c>
      <c r="J687" t="s">
        <v>90</v>
      </c>
      <c r="K687" t="s">
        <v>312</v>
      </c>
      <c r="L687" t="s">
        <v>313</v>
      </c>
      <c r="M687">
        <v>2225.7414</v>
      </c>
      <c r="N687">
        <v>8.9029656</v>
      </c>
      <c r="O687">
        <v>212106.05199</v>
      </c>
      <c r="P687">
        <v>259418.447505</v>
      </c>
      <c r="Q687">
        <v>1.0493530849864366E-2</v>
      </c>
      <c r="R687">
        <v>85.5108962476</v>
      </c>
      <c r="S687" t="s">
        <v>471</v>
      </c>
      <c r="T687" t="s">
        <v>93</v>
      </c>
      <c r="U687">
        <v>1</v>
      </c>
      <c r="V687" t="s">
        <v>315</v>
      </c>
      <c r="W687" t="s">
        <v>142</v>
      </c>
      <c r="X687" t="s">
        <v>150</v>
      </c>
      <c r="Y687" s="23" t="s">
        <v>151</v>
      </c>
      <c r="AA687">
        <v>915</v>
      </c>
      <c r="AB687" t="s">
        <v>2805</v>
      </c>
      <c r="AC687" t="s">
        <v>2806</v>
      </c>
      <c r="AD687" s="2">
        <v>20</v>
      </c>
      <c r="AE687" s="2" t="s">
        <v>70</v>
      </c>
      <c r="AF687" t="str">
        <f>_xlfn.CONCAT(FINI_grouping_for_wheel[[#This Row],[SEFI/Plant]],"/",IF(FINI_grouping_for_wheel[[#This Row],[RESET recipe combination]]&lt;&gt;"",FINI_grouping_for_wheel[[#This Row],[RESET recipe combination]],FINI_grouping_for_wheel[[#This Row],[Recipe Combination]]),"/",FINI_grouping_for_wheel[[#This Row],[Subgroup]])</f>
        <v>4491401/THDP/x/20</v>
      </c>
      <c r="AG6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0.14364303178484109</v>
      </c>
      <c r="AH687">
        <f>_xlfn.LET(_xlpm.pct, FINI_grouping_for_wheel[[#This Row],[% forecast within subgroup]], _xlpm.lote, FINI_grouping_for_wheel[[#This Row],[Lot size considered]], _xlpm.pct*_xlpm.lote)</f>
        <v>1170.5349289369194</v>
      </c>
      <c r="AI687" cm="1">
        <f t="array" aca="1" ref="AI687" ca="1">IFERROR(INDIRECT("FINI_grouping_for_wheel[@["&amp;FINI_grouping_for_wheel[[#This Row],[Selected PV]]&amp;"]]"),"")</f>
        <v>123</v>
      </c>
      <c r="AJ68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v>
      </c>
      <c r="AL687" s="4"/>
      <c r="AM68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123</v>
      </c>
      <c r="AN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8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87" t="str">
        <f>_xlfn.CONCAT(FINI_grouping_for_wheel[[#This Row],[Recipe Combination]],FINI_grouping_for_wheel[[#This Row],[Subgroup]])</f>
        <v>20</v>
      </c>
    </row>
    <row r="688" spans="1:55" hidden="1">
      <c r="A688" t="s">
        <v>11</v>
      </c>
      <c r="B688">
        <v>4491401</v>
      </c>
      <c r="C688" t="s">
        <v>2802</v>
      </c>
      <c r="D688">
        <v>8148.91550528</v>
      </c>
      <c r="E688">
        <v>32</v>
      </c>
      <c r="F688">
        <v>0.64</v>
      </c>
      <c r="G688" t="s">
        <v>2807</v>
      </c>
      <c r="H688" t="s">
        <v>2808</v>
      </c>
      <c r="I688">
        <v>462</v>
      </c>
      <c r="J688" t="s">
        <v>90</v>
      </c>
      <c r="K688" t="s">
        <v>312</v>
      </c>
      <c r="L688" t="s">
        <v>313</v>
      </c>
      <c r="M688">
        <v>10041.88221</v>
      </c>
      <c r="N688">
        <v>40.16752884</v>
      </c>
      <c r="O688">
        <v>212106.05199</v>
      </c>
      <c r="P688">
        <v>259418.447505</v>
      </c>
      <c r="Q688">
        <v>4.7343685461994439E-2</v>
      </c>
      <c r="R688">
        <v>385.799692538</v>
      </c>
      <c r="S688" t="s">
        <v>471</v>
      </c>
      <c r="T688" t="s">
        <v>93</v>
      </c>
      <c r="U688">
        <v>1</v>
      </c>
      <c r="V688" t="s">
        <v>315</v>
      </c>
      <c r="W688" t="s">
        <v>142</v>
      </c>
      <c r="X688" t="s">
        <v>150</v>
      </c>
      <c r="Y688" s="23" t="s">
        <v>151</v>
      </c>
      <c r="AA688">
        <v>203</v>
      </c>
      <c r="AB688" t="s">
        <v>2809</v>
      </c>
      <c r="AC688" t="s">
        <v>2806</v>
      </c>
      <c r="AD688" s="2">
        <v>20</v>
      </c>
      <c r="AE688" s="2" t="s">
        <v>70</v>
      </c>
      <c r="AF688" t="str">
        <f>_xlfn.CONCAT(FINI_grouping_for_wheel[[#This Row],[SEFI/Plant]],"/",IF(FINI_grouping_for_wheel[[#This Row],[RESET recipe combination]]&lt;&gt;"",FINI_grouping_for_wheel[[#This Row],[RESET recipe combination]],FINI_grouping_for_wheel[[#This Row],[Recipe Combination]]),"/",FINI_grouping_for_wheel[[#This Row],[Subgroup]])</f>
        <v>4491401/THDP/x/20</v>
      </c>
      <c r="AG6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0.6480745721271394</v>
      </c>
      <c r="AH688" s="14">
        <f>_xlfn.LET(_xlpm.pct, FINI_grouping_for_wheel[[#This Row],[% forecast within subgroup]], _xlpm.lote, FINI_grouping_for_wheel[[#This Row],[Lot size considered]], _xlpm.pct*_xlpm.lote)</f>
        <v>5281.104929384547</v>
      </c>
      <c r="AI688" cm="1">
        <f t="array" aca="1" ref="AI688" ca="1">IFERROR(INDIRECT("FINI_grouping_for_wheel[@["&amp;FINI_grouping_for_wheel[[#This Row],[Selected PV]]&amp;"]]"),"")</f>
        <v>123</v>
      </c>
      <c r="AJ68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12.6</v>
      </c>
      <c r="AL688" s="4"/>
      <c r="AM68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123</v>
      </c>
      <c r="AN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8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88" s="2" t="str">
        <f>_xlfn.CONCAT(FINI_grouping_for_wheel[[#This Row],[Recipe Combination]],FINI_grouping_for_wheel[[#This Row],[Subgroup]])</f>
        <v>20</v>
      </c>
    </row>
    <row r="689" spans="1:55" hidden="1">
      <c r="A689" t="s">
        <v>11</v>
      </c>
      <c r="B689">
        <v>4491401</v>
      </c>
      <c r="C689" t="s">
        <v>2802</v>
      </c>
      <c r="D689">
        <v>8148.91550528</v>
      </c>
      <c r="E689">
        <v>32</v>
      </c>
      <c r="F689">
        <v>0.64</v>
      </c>
      <c r="G689" t="s">
        <v>2810</v>
      </c>
      <c r="H689" t="s">
        <v>2811</v>
      </c>
      <c r="I689">
        <v>300</v>
      </c>
      <c r="J689" t="s">
        <v>90</v>
      </c>
      <c r="K689" t="s">
        <v>188</v>
      </c>
      <c r="L689" t="s">
        <v>189</v>
      </c>
      <c r="M689">
        <v>22802.0103</v>
      </c>
      <c r="N689">
        <v>91.2080412</v>
      </c>
      <c r="O689">
        <v>212106.05199</v>
      </c>
      <c r="P689">
        <v>259418.447505</v>
      </c>
      <c r="Q689">
        <v>0.10750287455765302</v>
      </c>
      <c r="R689">
        <v>876.031841345</v>
      </c>
      <c r="S689" t="s">
        <v>471</v>
      </c>
      <c r="T689" t="s">
        <v>93</v>
      </c>
      <c r="U689">
        <v>5</v>
      </c>
      <c r="V689" t="s">
        <v>119</v>
      </c>
      <c r="W689" t="s">
        <v>142</v>
      </c>
      <c r="X689" t="s">
        <v>96</v>
      </c>
      <c r="Y689" s="23" t="s">
        <v>120</v>
      </c>
      <c r="AA689">
        <v>89</v>
      </c>
      <c r="AB689" t="s">
        <v>2812</v>
      </c>
      <c r="AC689" t="s">
        <v>2806</v>
      </c>
      <c r="AD689" s="2">
        <v>3</v>
      </c>
      <c r="AE689" s="2" t="s">
        <v>70</v>
      </c>
      <c r="AF689" t="str">
        <f>_xlfn.CONCAT(FINI_grouping_for_wheel[[#This Row],[SEFI/Plant]],"/",IF(FINI_grouping_for_wheel[[#This Row],[RESET recipe combination]]&lt;&gt;"",FINI_grouping_for_wheel[[#This Row],[RESET recipe combination]],FINI_grouping_for_wheel[[#This Row],[Recipe Combination]]),"/",FINI_grouping_for_wheel[[#This Row],[Subgroup]])</f>
        <v>4491401/THDP/x/3</v>
      </c>
      <c r="AG6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0.7140209090235041</v>
      </c>
      <c r="AH689">
        <f>_xlfn.LET(_xlpm.pct, FINI_grouping_for_wheel[[#This Row],[% forecast within subgroup]], _xlpm.lote, FINI_grouping_for_wheel[[#This Row],[Lot size considered]], _xlpm.pct*_xlpm.lote)</f>
        <v>5818.496056635753</v>
      </c>
      <c r="AI689" cm="1">
        <f t="array" aca="1" ref="AI689" ca="1">IFERROR(INDIRECT("FINI_grouping_for_wheel[@["&amp;FINI_grouping_for_wheel[[#This Row],[Selected PV]]&amp;"]]"),"")</f>
        <v>60</v>
      </c>
      <c r="AJ68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21.3</v>
      </c>
      <c r="AL689" s="4"/>
      <c r="AM68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60</v>
      </c>
      <c r="AN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8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89" s="2" t="str">
        <f>_xlfn.CONCAT(FINI_grouping_for_wheel[[#This Row],[Recipe Combination]],FINI_grouping_for_wheel[[#This Row],[Subgroup]])</f>
        <v>3</v>
      </c>
    </row>
    <row r="690" spans="1:55" hidden="1">
      <c r="A690" t="s">
        <v>11</v>
      </c>
      <c r="B690">
        <v>4491401</v>
      </c>
      <c r="C690" t="s">
        <v>2802</v>
      </c>
      <c r="D690">
        <v>8148.91550528</v>
      </c>
      <c r="E690">
        <v>32</v>
      </c>
      <c r="F690">
        <v>0.64</v>
      </c>
      <c r="G690" t="s">
        <v>2813</v>
      </c>
      <c r="H690" t="s">
        <v>2814</v>
      </c>
      <c r="I690">
        <v>450</v>
      </c>
      <c r="J690" t="s">
        <v>90</v>
      </c>
      <c r="K690" t="s">
        <v>264</v>
      </c>
      <c r="L690" t="s">
        <v>265</v>
      </c>
      <c r="M690">
        <v>718.630335</v>
      </c>
      <c r="N690">
        <v>2.87452134</v>
      </c>
      <c r="O690">
        <v>212106.05199</v>
      </c>
      <c r="P690">
        <v>259418.447505</v>
      </c>
      <c r="Q690">
        <v>3.3880708648232286E-3</v>
      </c>
      <c r="R690">
        <v>27.6091032033</v>
      </c>
      <c r="S690" t="s">
        <v>471</v>
      </c>
      <c r="T690" t="s">
        <v>93</v>
      </c>
      <c r="U690">
        <v>2.5</v>
      </c>
      <c r="V690" t="s">
        <v>267</v>
      </c>
      <c r="W690" t="s">
        <v>142</v>
      </c>
      <c r="X690" t="s">
        <v>150</v>
      </c>
      <c r="Y690" s="23" t="s">
        <v>151</v>
      </c>
      <c r="AA690">
        <v>2835</v>
      </c>
      <c r="AB690" t="s">
        <v>2815</v>
      </c>
      <c r="AC690" t="s">
        <v>2806</v>
      </c>
      <c r="AD690" s="2">
        <v>4</v>
      </c>
      <c r="AE690" s="2" t="s">
        <v>70</v>
      </c>
      <c r="AF690" t="str">
        <f>_xlfn.CONCAT(FINI_grouping_for_wheel[[#This Row],[SEFI/Plant]],"/",IF(FINI_grouping_for_wheel[[#This Row],[RESET recipe combination]]&lt;&gt;"",FINI_grouping_for_wheel[[#This Row],[RESET recipe combination]],FINI_grouping_for_wheel[[#This Row],[Recipe Combination]]),"/",FINI_grouping_for_wheel[[#This Row],[Subgroup]])</f>
        <v>4491401/THDP/x/4</v>
      </c>
      <c r="AG6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0.07939829954218443</v>
      </c>
      <c r="AH690">
        <f>_xlfn.LET(_xlpm.pct, FINI_grouping_for_wheel[[#This Row],[% forecast within subgroup]], _xlpm.lote, FINI_grouping_for_wheel[[#This Row],[Lot size considered]], _xlpm.pct*_xlpm.lote)</f>
        <v>647.0100342321726</v>
      </c>
      <c r="AI690" cm="1">
        <f t="array" aca="1" ref="AI690" ca="1">IFERROR(INDIRECT("FINI_grouping_for_wheel[@["&amp;FINI_grouping_for_wheel[[#This Row],[Selected PV]]&amp;"]]"),"")</f>
        <v>211</v>
      </c>
      <c r="AJ69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v>
      </c>
      <c r="AL690" s="4"/>
      <c r="AM69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211</v>
      </c>
      <c r="AN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9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90" s="2" t="str">
        <f>_xlfn.CONCAT(FINI_grouping_for_wheel[[#This Row],[Recipe Combination]],FINI_grouping_for_wheel[[#This Row],[Subgroup]])</f>
        <v>4</v>
      </c>
    </row>
    <row r="691" spans="1:55" hidden="1">
      <c r="A691" t="s">
        <v>11</v>
      </c>
      <c r="B691">
        <v>4491401</v>
      </c>
      <c r="C691" t="s">
        <v>2802</v>
      </c>
      <c r="D691">
        <v>8148.91550528</v>
      </c>
      <c r="E691">
        <v>32</v>
      </c>
      <c r="F691">
        <v>0.64</v>
      </c>
      <c r="G691" t="s">
        <v>2816</v>
      </c>
      <c r="H691" t="s">
        <v>2817</v>
      </c>
      <c r="I691">
        <v>480</v>
      </c>
      <c r="J691" t="s">
        <v>90</v>
      </c>
      <c r="K691" t="s">
        <v>515</v>
      </c>
      <c r="L691" t="s">
        <v>516</v>
      </c>
      <c r="M691">
        <v>899.7678</v>
      </c>
      <c r="N691">
        <v>3.5990712</v>
      </c>
      <c r="O691">
        <v>212106.05199</v>
      </c>
      <c r="P691">
        <v>259418.447505</v>
      </c>
      <c r="Q691">
        <v>4.2420656627111262E-3</v>
      </c>
      <c r="R691">
        <v>34.5682346533</v>
      </c>
      <c r="S691" t="s">
        <v>471</v>
      </c>
      <c r="T691" t="s">
        <v>93</v>
      </c>
      <c r="U691">
        <v>5</v>
      </c>
      <c r="V691" t="s">
        <v>518</v>
      </c>
      <c r="W691" t="s">
        <v>142</v>
      </c>
      <c r="X691" t="s">
        <v>150</v>
      </c>
      <c r="Y691" s="23" t="s">
        <v>151</v>
      </c>
      <c r="AA691">
        <v>2264</v>
      </c>
      <c r="AB691" t="s">
        <v>2818</v>
      </c>
      <c r="AC691" t="s">
        <v>2806</v>
      </c>
      <c r="AD691" s="2">
        <v>4</v>
      </c>
      <c r="AE691" s="2" t="s">
        <v>70</v>
      </c>
      <c r="AF691" t="str">
        <f>_xlfn.CONCAT(FINI_grouping_for_wheel[[#This Row],[SEFI/Plant]],"/",IF(FINI_grouping_for_wheel[[#This Row],[RESET recipe combination]]&lt;&gt;"",FINI_grouping_for_wheel[[#This Row],[RESET recipe combination]],FINI_grouping_for_wheel[[#This Row],[Recipe Combination]]),"/",FINI_grouping_for_wheel[[#This Row],[Subgroup]])</f>
        <v>4491401/THDP/x/4</v>
      </c>
      <c r="AG6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0.09941137998691955</v>
      </c>
      <c r="AH691">
        <f>_xlfn.LET(_xlpm.pct, FINI_grouping_for_wheel[[#This Row],[% forecast within subgroup]], _xlpm.lote, FINI_grouping_for_wheel[[#This Row],[Lot size considered]], _xlpm.pct*_xlpm.lote)</f>
        <v>810.0949357766906</v>
      </c>
      <c r="AI691" cm="1">
        <f t="array" aca="1" ref="AI691" ca="1">IFERROR(INDIRECT("FINI_grouping_for_wheel[@["&amp;FINI_grouping_for_wheel[[#This Row],[Selected PV]]&amp;"]]"),"")</f>
        <v>211</v>
      </c>
      <c r="AJ69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v>
      </c>
      <c r="AL691" s="4"/>
      <c r="AM69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211</v>
      </c>
      <c r="AN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9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91" s="2" t="str">
        <f>_xlfn.CONCAT(FINI_grouping_for_wheel[[#This Row],[Recipe Combination]],FINI_grouping_for_wheel[[#This Row],[Subgroup]])</f>
        <v>4</v>
      </c>
    </row>
    <row r="692" spans="1:55" hidden="1">
      <c r="A692" t="s">
        <v>11</v>
      </c>
      <c r="B692">
        <v>4491401</v>
      </c>
      <c r="C692" t="s">
        <v>2802</v>
      </c>
      <c r="D692">
        <v>8148.91550528</v>
      </c>
      <c r="E692">
        <v>32</v>
      </c>
      <c r="F692">
        <v>0.64</v>
      </c>
      <c r="G692" t="s">
        <v>2819</v>
      </c>
      <c r="H692" t="s">
        <v>2820</v>
      </c>
      <c r="I692">
        <v>570</v>
      </c>
      <c r="J692" t="s">
        <v>90</v>
      </c>
      <c r="K692" t="s">
        <v>2821</v>
      </c>
      <c r="L692" t="s">
        <v>2822</v>
      </c>
      <c r="M692">
        <v>2642.47596</v>
      </c>
      <c r="N692">
        <v>10.56990384</v>
      </c>
      <c r="O692">
        <v>212106.05199</v>
      </c>
      <c r="P692">
        <v>259418.447505</v>
      </c>
      <c r="Q692">
        <v>1.2458277051541098E-2</v>
      </c>
      <c r="R692">
        <v>101.521447034</v>
      </c>
      <c r="S692" t="s">
        <v>471</v>
      </c>
      <c r="T692" t="s">
        <v>93</v>
      </c>
      <c r="U692">
        <v>2.5</v>
      </c>
      <c r="V692" t="s">
        <v>2823</v>
      </c>
      <c r="W692" t="s">
        <v>142</v>
      </c>
      <c r="X692" t="s">
        <v>150</v>
      </c>
      <c r="Y692" s="23" t="s">
        <v>151</v>
      </c>
      <c r="AA692">
        <v>771</v>
      </c>
      <c r="AB692" t="s">
        <v>2824</v>
      </c>
      <c r="AC692" t="s">
        <v>2806</v>
      </c>
      <c r="AD692" s="2">
        <v>4</v>
      </c>
      <c r="AE692" s="2" t="s">
        <v>70</v>
      </c>
      <c r="AF692" t="str">
        <f>_xlfn.CONCAT(FINI_grouping_for_wheel[[#This Row],[SEFI/Plant]],"/",IF(FINI_grouping_for_wheel[[#This Row],[RESET recipe combination]]&lt;&gt;"",FINI_grouping_for_wheel[[#This Row],[RESET recipe combination]],FINI_grouping_for_wheel[[#This Row],[Recipe Combination]]),"/",FINI_grouping_for_wheel[[#This Row],[Subgroup]])</f>
        <v>4491401/THDP/x/4</v>
      </c>
      <c r="AG6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0.29195552648790063</v>
      </c>
      <c r="AH692">
        <f>_xlfn.LET(_xlpm.pct, FINI_grouping_for_wheel[[#This Row],[% forecast within subgroup]], _xlpm.lote, FINI_grouping_for_wheel[[#This Row],[Lot size considered]], _xlpm.pct*_xlpm.lote)</f>
        <v>2379.120916649439</v>
      </c>
      <c r="AI692" cm="1">
        <f t="array" aca="1" ref="AI692" ca="1">IFERROR(INDIRECT("FINI_grouping_for_wheel[@["&amp;FINI_grouping_for_wheel[[#This Row],[Selected PV]]&amp;"]]"),"")</f>
        <v>211</v>
      </c>
      <c r="AJ69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4.6</v>
      </c>
      <c r="AL692" s="4"/>
      <c r="AM69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211</v>
      </c>
      <c r="AN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9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92" s="2" t="str">
        <f>_xlfn.CONCAT(FINI_grouping_for_wheel[[#This Row],[Recipe Combination]],FINI_grouping_for_wheel[[#This Row],[Subgroup]])</f>
        <v>4</v>
      </c>
    </row>
    <row r="693" spans="1:55" hidden="1">
      <c r="A693" t="s">
        <v>11</v>
      </c>
      <c r="B693">
        <v>4491401</v>
      </c>
      <c r="C693" t="s">
        <v>2802</v>
      </c>
      <c r="D693">
        <v>8148.91550528</v>
      </c>
      <c r="E693">
        <v>32</v>
      </c>
      <c r="F693">
        <v>0.64</v>
      </c>
      <c r="G693" t="s">
        <v>2825</v>
      </c>
      <c r="H693" t="s">
        <v>2826</v>
      </c>
      <c r="I693">
        <v>432</v>
      </c>
      <c r="J693" t="s">
        <v>90</v>
      </c>
      <c r="K693" t="s">
        <v>608</v>
      </c>
      <c r="L693" t="s">
        <v>609</v>
      </c>
      <c r="M693">
        <v>13747.50486</v>
      </c>
      <c r="N693">
        <v>54.99001944</v>
      </c>
      <c r="O693">
        <v>212106.05199</v>
      </c>
      <c r="P693">
        <v>259418.447505</v>
      </c>
      <c r="Q693">
        <v>6.4814297993949471E-2</v>
      </c>
      <c r="R693">
        <v>528.166237887</v>
      </c>
      <c r="S693" t="s">
        <v>471</v>
      </c>
      <c r="T693" t="s">
        <v>93</v>
      </c>
      <c r="U693">
        <v>0.75</v>
      </c>
      <c r="V693" t="s">
        <v>610</v>
      </c>
      <c r="W693" t="s">
        <v>142</v>
      </c>
      <c r="X693" t="s">
        <v>150</v>
      </c>
      <c r="Y693" s="23" t="s">
        <v>151</v>
      </c>
      <c r="AA693">
        <v>148</v>
      </c>
      <c r="AB693" t="s">
        <v>2827</v>
      </c>
      <c r="AC693" t="s">
        <v>2806</v>
      </c>
      <c r="AD693" s="2">
        <v>30</v>
      </c>
      <c r="AE693" s="2" t="s">
        <v>70</v>
      </c>
      <c r="AF693" t="str">
        <f>_xlfn.CONCAT(FINI_grouping_for_wheel[[#This Row],[SEFI/Plant]],"/",IF(FINI_grouping_for_wheel[[#This Row],[RESET recipe combination]]&lt;&gt;"",FINI_grouping_for_wheel[[#This Row],[RESET recipe combination]],FINI_grouping_for_wheel[[#This Row],[Recipe Combination]]),"/",FINI_grouping_for_wheel[[#This Row],[Subgroup]])</f>
        <v>4491401/THDP/x/30</v>
      </c>
      <c r="AG6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693">
        <f>_xlfn.LET(_xlpm.pct, FINI_grouping_for_wheel[[#This Row],[% forecast within subgroup]], _xlpm.lote, FINI_grouping_for_wheel[[#This Row],[Lot size considered]], _xlpm.pct*_xlpm.lote)</f>
        <v>8148.91550528</v>
      </c>
      <c r="AI693" cm="1">
        <f t="array" aca="1" ref="AI693" ca="1">IFERROR(INDIRECT("FINI_grouping_for_wheel[@["&amp;FINI_grouping_for_wheel[[#This Row],[Selected PV]]&amp;"]]"),"")</f>
        <v>139</v>
      </c>
      <c r="AJ69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20.8</v>
      </c>
      <c r="AL693" s="4"/>
      <c r="AM69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139</v>
      </c>
      <c r="AN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9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93" s="2" t="str">
        <f>_xlfn.CONCAT(FINI_grouping_for_wheel[[#This Row],[Recipe Combination]],FINI_grouping_for_wheel[[#This Row],[Subgroup]])</f>
        <v>30</v>
      </c>
    </row>
    <row r="694" spans="1:55" hidden="1">
      <c r="A694" t="s">
        <v>11</v>
      </c>
      <c r="B694">
        <v>4491401</v>
      </c>
      <c r="C694" t="s">
        <v>2802</v>
      </c>
      <c r="D694">
        <v>8148.91550528</v>
      </c>
      <c r="E694">
        <v>32</v>
      </c>
      <c r="F694">
        <v>0.64</v>
      </c>
      <c r="G694" t="s">
        <v>2828</v>
      </c>
      <c r="H694" t="s">
        <v>2829</v>
      </c>
      <c r="I694">
        <v>450</v>
      </c>
      <c r="J694" t="s">
        <v>90</v>
      </c>
      <c r="K694" t="s">
        <v>264</v>
      </c>
      <c r="L694" t="s">
        <v>265</v>
      </c>
      <c r="M694">
        <v>9840.61836</v>
      </c>
      <c r="N694">
        <v>39.36247344</v>
      </c>
      <c r="O694">
        <v>212106.05199</v>
      </c>
      <c r="P694">
        <v>259418.447505</v>
      </c>
      <c r="Q694">
        <v>4.6394802353230111E-2</v>
      </c>
      <c r="R694">
        <v>378.067324261</v>
      </c>
      <c r="S694" t="s">
        <v>471</v>
      </c>
      <c r="T694" t="s">
        <v>93</v>
      </c>
      <c r="U694">
        <v>2.5</v>
      </c>
      <c r="V694" t="s">
        <v>267</v>
      </c>
      <c r="W694" t="s">
        <v>142</v>
      </c>
      <c r="X694" t="s">
        <v>150</v>
      </c>
      <c r="Y694" s="23" t="s">
        <v>151</v>
      </c>
      <c r="AA694">
        <v>207</v>
      </c>
      <c r="AB694" t="s">
        <v>2830</v>
      </c>
      <c r="AC694" t="s">
        <v>2806</v>
      </c>
      <c r="AD694" s="2">
        <v>5</v>
      </c>
      <c r="AE694" s="2" t="s">
        <v>70</v>
      </c>
      <c r="AF694" t="str">
        <f>_xlfn.CONCAT(FINI_grouping_for_wheel[[#This Row],[SEFI/Plant]],"/",IF(FINI_grouping_for_wheel[[#This Row],[RESET recipe combination]]&lt;&gt;"",FINI_grouping_for_wheel[[#This Row],[RESET recipe combination]],FINI_grouping_for_wheel[[#This Row],[Recipe Combination]]),"/",FINI_grouping_for_wheel[[#This Row],[Subgroup]])</f>
        <v>4491401/THDP/x/5</v>
      </c>
      <c r="AG6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0.33813359368643725</v>
      </c>
      <c r="AH694">
        <f>_xlfn.LET(_xlpm.pct, FINI_grouping_for_wheel[[#This Row],[% forecast within subgroup]], _xlpm.lote, FINI_grouping_for_wheel[[#This Row],[Lot size considered]], _xlpm.pct*_xlpm.lote)</f>
        <v>2755.4220844474557</v>
      </c>
      <c r="AI694" cm="1">
        <f t="array" aca="1" ref="AI694" ca="1">IFERROR(INDIRECT("FINI_grouping_for_wheel[@["&amp;FINI_grouping_for_wheel[[#This Row],[Selected PV]]&amp;"]]"),"")</f>
        <v>65</v>
      </c>
      <c r="AJ69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6.7</v>
      </c>
      <c r="AL694" s="4"/>
      <c r="AM69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65</v>
      </c>
      <c r="AN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9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94" t="str">
        <f>_xlfn.CONCAT(FINI_grouping_for_wheel[[#This Row],[Recipe Combination]],FINI_grouping_for_wheel[[#This Row],[Subgroup]])</f>
        <v>5</v>
      </c>
    </row>
    <row r="695" spans="1:55" hidden="1">
      <c r="A695" t="s">
        <v>11</v>
      </c>
      <c r="B695">
        <v>4491401</v>
      </c>
      <c r="C695" t="s">
        <v>2802</v>
      </c>
      <c r="D695">
        <v>8148.91550528</v>
      </c>
      <c r="E695">
        <v>32</v>
      </c>
      <c r="F695">
        <v>0.64</v>
      </c>
      <c r="G695" t="s">
        <v>2831</v>
      </c>
      <c r="H695" t="s">
        <v>2832</v>
      </c>
      <c r="J695" t="s">
        <v>90</v>
      </c>
      <c r="K695" t="s">
        <v>617</v>
      </c>
      <c r="L695" t="s">
        <v>618</v>
      </c>
      <c r="M695">
        <v>2675.6253</v>
      </c>
      <c r="N695">
        <v>10.7025012</v>
      </c>
      <c r="O695">
        <v>212106.05199</v>
      </c>
      <c r="P695">
        <v>259418.447505</v>
      </c>
      <c r="Q695">
        <v>1.2614563681219928E-2</v>
      </c>
      <c r="R695">
        <v>102.795013574</v>
      </c>
      <c r="S695" t="s">
        <v>471</v>
      </c>
      <c r="T695" t="s">
        <v>93</v>
      </c>
      <c r="U695">
        <v>10</v>
      </c>
      <c r="V695" t="s">
        <v>94</v>
      </c>
      <c r="W695" t="s">
        <v>142</v>
      </c>
      <c r="X695" t="s">
        <v>96</v>
      </c>
      <c r="Y695" s="23" t="s">
        <v>97</v>
      </c>
      <c r="AA695">
        <v>761</v>
      </c>
      <c r="AB695" t="s">
        <v>2833</v>
      </c>
      <c r="AC695" t="s">
        <v>2806</v>
      </c>
      <c r="AD695" s="2">
        <v>90</v>
      </c>
      <c r="AE695" s="2" t="s">
        <v>70</v>
      </c>
      <c r="AF695" t="str">
        <f>_xlfn.CONCAT(FINI_grouping_for_wheel[[#This Row],[SEFI/Plant]],"/",IF(FINI_grouping_for_wheel[[#This Row],[RESET recipe combination]]&lt;&gt;"",FINI_grouping_for_wheel[[#This Row],[RESET recipe combination]],FINI_grouping_for_wheel[[#This Row],[Recipe Combination]]),"/",FINI_grouping_for_wheel[[#This Row],[Subgroup]])</f>
        <v>4491401/THDP/x/90</v>
      </c>
      <c r="AG6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0.4728033472803348</v>
      </c>
      <c r="AH695">
        <f>_xlfn.LET(_xlpm.pct, FINI_grouping_for_wheel[[#This Row],[% forecast within subgroup]], _xlpm.lote, FINI_grouping_for_wheel[[#This Row],[Lot size considered]], _xlpm.pct*_xlpm.lote)</f>
        <v>3852.8345276010045</v>
      </c>
      <c r="AI695" cm="1">
        <f t="array" aca="1" ref="AI695" ca="1">IFERROR(INDIRECT("FINI_grouping_for_wheel[@["&amp;FINI_grouping_for_wheel[[#This Row],[Selected PV]]&amp;"]]"),"")</f>
        <v>337</v>
      </c>
      <c r="AJ69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9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95" s="4"/>
      <c r="AM69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337</v>
      </c>
      <c r="AN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9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95" t="str">
        <f>_xlfn.CONCAT(FINI_grouping_for_wheel[[#This Row],[Recipe Combination]],FINI_grouping_for_wheel[[#This Row],[Subgroup]])</f>
        <v>90</v>
      </c>
    </row>
    <row r="696" spans="1:55" hidden="1">
      <c r="A696" t="s">
        <v>11</v>
      </c>
      <c r="B696">
        <v>4491401</v>
      </c>
      <c r="C696" t="s">
        <v>2802</v>
      </c>
      <c r="D696">
        <v>8148.91550528</v>
      </c>
      <c r="E696">
        <v>32</v>
      </c>
      <c r="F696">
        <v>0.64</v>
      </c>
      <c r="G696" t="s">
        <v>2834</v>
      </c>
      <c r="H696" t="s">
        <v>2835</v>
      </c>
      <c r="J696" t="s">
        <v>90</v>
      </c>
      <c r="K696" t="s">
        <v>666</v>
      </c>
      <c r="L696" t="s">
        <v>667</v>
      </c>
      <c r="M696">
        <v>29976.4746</v>
      </c>
      <c r="N696">
        <v>119.9058984</v>
      </c>
      <c r="O696">
        <v>212106.05199</v>
      </c>
      <c r="P696">
        <v>259418.447505</v>
      </c>
      <c r="Q696">
        <v>0.1413277665524286</v>
      </c>
      <c r="R696">
        <v>1151.66802819</v>
      </c>
      <c r="S696" t="s">
        <v>471</v>
      </c>
      <c r="T696" t="s">
        <v>93</v>
      </c>
      <c r="U696">
        <v>10</v>
      </c>
      <c r="V696" t="s">
        <v>94</v>
      </c>
      <c r="W696" t="s">
        <v>95</v>
      </c>
      <c r="X696" t="s">
        <v>96</v>
      </c>
      <c r="Y696" s="23" t="s">
        <v>97</v>
      </c>
      <c r="AA696">
        <v>68</v>
      </c>
      <c r="AB696" t="s">
        <v>2836</v>
      </c>
      <c r="AC696" t="s">
        <v>2806</v>
      </c>
      <c r="AD696" s="2">
        <v>1</v>
      </c>
      <c r="AE696" s="2" t="s">
        <v>70</v>
      </c>
      <c r="AF696" t="str">
        <f>_xlfn.CONCAT(FINI_grouping_for_wheel[[#This Row],[SEFI/Plant]],"/",IF(FINI_grouping_for_wheel[[#This Row],[RESET recipe combination]]&lt;&gt;"",FINI_grouping_for_wheel[[#This Row],[RESET recipe combination]],FINI_grouping_for_wheel[[#This Row],[Recipe Combination]]),"/",FINI_grouping_for_wheel[[#This Row],[Subgroup]])</f>
        <v>4491401/THDP/x/1</v>
      </c>
      <c r="AG6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0.38917921918229326</v>
      </c>
      <c r="AH696">
        <f>_xlfn.LET(_xlpm.pct, FINI_grouping_for_wheel[[#This Row],[% forecast within subgroup]], _xlpm.lote, FINI_grouping_for_wheel[[#This Row],[Lot size considered]], _xlpm.pct*_xlpm.lote)</f>
        <v>3171.388573527353</v>
      </c>
      <c r="AI696" cm="1">
        <f t="array" aca="1" ref="AI696" ca="1">IFERROR(INDIRECT("FINI_grouping_for_wheel[@["&amp;FINI_grouping_for_wheel[[#This Row],[Selected PV]]&amp;"]]"),"")</f>
        <v>25</v>
      </c>
      <c r="AJ69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9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96" s="4"/>
      <c r="AM69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25</v>
      </c>
      <c r="AN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9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96" t="str">
        <f>_xlfn.CONCAT(FINI_grouping_for_wheel[[#This Row],[Recipe Combination]],FINI_grouping_for_wheel[[#This Row],[Subgroup]])</f>
        <v>1</v>
      </c>
    </row>
    <row r="697" spans="1:55" hidden="1">
      <c r="A697" t="s">
        <v>11</v>
      </c>
      <c r="B697">
        <v>4491401</v>
      </c>
      <c r="C697" t="s">
        <v>2802</v>
      </c>
      <c r="D697">
        <v>8148.91550528</v>
      </c>
      <c r="E697">
        <v>32</v>
      </c>
      <c r="F697">
        <v>0.64</v>
      </c>
      <c r="G697" t="s">
        <v>2837</v>
      </c>
      <c r="H697" t="s">
        <v>2838</v>
      </c>
      <c r="J697" t="s">
        <v>90</v>
      </c>
      <c r="K697" t="s">
        <v>617</v>
      </c>
      <c r="L697" t="s">
        <v>618</v>
      </c>
      <c r="M697">
        <v>1172.06595</v>
      </c>
      <c r="N697">
        <v>4.6882638</v>
      </c>
      <c r="O697">
        <v>212106.05199</v>
      </c>
      <c r="P697">
        <v>259418.447505</v>
      </c>
      <c r="Q697">
        <v>5.5258486922158097E-3</v>
      </c>
      <c r="R697">
        <v>45.0296740878</v>
      </c>
      <c r="S697" t="s">
        <v>471</v>
      </c>
      <c r="T697" t="s">
        <v>93</v>
      </c>
      <c r="U697">
        <v>10</v>
      </c>
      <c r="V697" t="s">
        <v>94</v>
      </c>
      <c r="W697" t="s">
        <v>142</v>
      </c>
      <c r="X697" t="s">
        <v>96</v>
      </c>
      <c r="Y697" s="23" t="s">
        <v>97</v>
      </c>
      <c r="AA697">
        <v>1738</v>
      </c>
      <c r="AB697" t="s">
        <v>2839</v>
      </c>
      <c r="AC697" t="s">
        <v>2806</v>
      </c>
      <c r="AD697" s="2">
        <v>90</v>
      </c>
      <c r="AE697" s="2" t="s">
        <v>70</v>
      </c>
      <c r="AF697" t="str">
        <f>_xlfn.CONCAT(FINI_grouping_for_wheel[[#This Row],[SEFI/Plant]],"/",IF(FINI_grouping_for_wheel[[#This Row],[RESET recipe combination]]&lt;&gt;"",FINI_grouping_for_wheel[[#This Row],[RESET recipe combination]],FINI_grouping_for_wheel[[#This Row],[Recipe Combination]]),"/",FINI_grouping_for_wheel[[#This Row],[Subgroup]])</f>
        <v>4491401/THDP/x/90</v>
      </c>
      <c r="AG6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0.20711297071129708</v>
      </c>
      <c r="AH697">
        <f>_xlfn.LET(_xlpm.pct, FINI_grouping_for_wheel[[#This Row],[% forecast within subgroup]], _xlpm.lote, FINI_grouping_for_wheel[[#This Row],[Lot size considered]], _xlpm.pct*_xlpm.lote)</f>
        <v>1687.7460983738913</v>
      </c>
      <c r="AI697" cm="1">
        <f t="array" aca="1" ref="AI697" ca="1">IFERROR(INDIRECT("FINI_grouping_for_wheel[@["&amp;FINI_grouping_for_wheel[[#This Row],[Selected PV]]&amp;"]]"),"")</f>
        <v>337</v>
      </c>
      <c r="AJ69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9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97" s="4"/>
      <c r="AM69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337</v>
      </c>
      <c r="AN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9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97" t="str">
        <f>_xlfn.CONCAT(FINI_grouping_for_wheel[[#This Row],[Recipe Combination]],FINI_grouping_for_wheel[[#This Row],[Subgroup]])</f>
        <v>90</v>
      </c>
    </row>
    <row r="698" spans="1:55" hidden="1">
      <c r="A698" t="s">
        <v>11</v>
      </c>
      <c r="B698">
        <v>4491401</v>
      </c>
      <c r="C698" t="s">
        <v>2802</v>
      </c>
      <c r="D698">
        <v>8148.91550528</v>
      </c>
      <c r="E698">
        <v>32</v>
      </c>
      <c r="F698">
        <v>0.64</v>
      </c>
      <c r="G698" t="s">
        <v>2840</v>
      </c>
      <c r="H698" t="s">
        <v>2841</v>
      </c>
      <c r="J698" t="s">
        <v>90</v>
      </c>
      <c r="K698" t="s">
        <v>921</v>
      </c>
      <c r="L698" t="s">
        <v>922</v>
      </c>
      <c r="M698">
        <v>2340.580185</v>
      </c>
      <c r="N698">
        <v>9.36232074</v>
      </c>
      <c r="O698">
        <v>212106.05199</v>
      </c>
      <c r="P698">
        <v>259418.447505</v>
      </c>
      <c r="Q698">
        <v>1.1034952388394602E-2</v>
      </c>
      <c r="R698">
        <v>89.9228946178</v>
      </c>
      <c r="S698" t="s">
        <v>471</v>
      </c>
      <c r="T698" t="s">
        <v>93</v>
      </c>
      <c r="U698">
        <v>1</v>
      </c>
      <c r="V698" t="s">
        <v>923</v>
      </c>
      <c r="W698" t="s">
        <v>142</v>
      </c>
      <c r="X698" t="s">
        <v>150</v>
      </c>
      <c r="Y698" s="23" t="s">
        <v>151</v>
      </c>
      <c r="AA698">
        <v>870</v>
      </c>
      <c r="AB698" t="s">
        <v>2842</v>
      </c>
      <c r="AC698" t="s">
        <v>2806</v>
      </c>
      <c r="AD698" s="2">
        <v>20</v>
      </c>
      <c r="AE698" s="2" t="s">
        <v>70</v>
      </c>
      <c r="AF698" t="str">
        <f>_xlfn.CONCAT(FINI_grouping_for_wheel[[#This Row],[SEFI/Plant]],"/",IF(FINI_grouping_for_wheel[[#This Row],[RESET recipe combination]]&lt;&gt;"",FINI_grouping_for_wheel[[#This Row],[RESET recipe combination]],FINI_grouping_for_wheel[[#This Row],[Recipe Combination]]),"/",FINI_grouping_for_wheel[[#This Row],[Subgroup]])</f>
        <v>4491401/THDP/x/20</v>
      </c>
      <c r="AG6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0.1510544009779951</v>
      </c>
      <c r="AH698">
        <f>_xlfn.LET(_xlpm.pct, FINI_grouping_for_wheel[[#This Row],[% forecast within subgroup]], _xlpm.lote, FINI_grouping_for_wheel[[#This Row],[Lot size considered]], _xlpm.pct*_xlpm.lote)</f>
        <v>1230.9295502703667</v>
      </c>
      <c r="AI698" cm="1">
        <f t="array" aca="1" ref="AI698" ca="1">IFERROR(INDIRECT("FINI_grouping_for_wheel[@["&amp;FINI_grouping_for_wheel[[#This Row],[Selected PV]]&amp;"]]"),"")</f>
        <v>123</v>
      </c>
      <c r="AJ69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9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98" s="4"/>
      <c r="AM69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123</v>
      </c>
      <c r="AN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9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98" t="str">
        <f>_xlfn.CONCAT(FINI_grouping_for_wheel[[#This Row],[Recipe Combination]],FINI_grouping_for_wheel[[#This Row],[Subgroup]])</f>
        <v>20</v>
      </c>
    </row>
    <row r="699" spans="1:55" hidden="1">
      <c r="A699" t="s">
        <v>11</v>
      </c>
      <c r="B699">
        <v>4491401</v>
      </c>
      <c r="C699" t="s">
        <v>2802</v>
      </c>
      <c r="D699">
        <v>8148.91550528</v>
      </c>
      <c r="E699">
        <v>32</v>
      </c>
      <c r="F699">
        <v>0.64</v>
      </c>
      <c r="G699" t="s">
        <v>2843</v>
      </c>
      <c r="H699" t="s">
        <v>2844</v>
      </c>
      <c r="J699" t="s">
        <v>90</v>
      </c>
      <c r="K699" t="s">
        <v>2845</v>
      </c>
      <c r="L699" t="s">
        <v>2846</v>
      </c>
      <c r="M699">
        <v>47048.3847</v>
      </c>
      <c r="N699">
        <v>188.1935388</v>
      </c>
      <c r="O699">
        <v>212106.05199</v>
      </c>
      <c r="P699">
        <v>259418.447505</v>
      </c>
      <c r="Q699">
        <v>0.22181538083702654</v>
      </c>
      <c r="R699">
        <v>1807.55479621</v>
      </c>
      <c r="S699" t="s">
        <v>471</v>
      </c>
      <c r="T699" t="s">
        <v>93</v>
      </c>
      <c r="U699">
        <v>10</v>
      </c>
      <c r="V699" t="s">
        <v>94</v>
      </c>
      <c r="W699" t="s">
        <v>95</v>
      </c>
      <c r="X699" t="s">
        <v>96</v>
      </c>
      <c r="Y699" s="23" t="s">
        <v>97</v>
      </c>
      <c r="AA699">
        <v>43</v>
      </c>
      <c r="AB699" t="s">
        <v>2847</v>
      </c>
      <c r="AC699" t="s">
        <v>2806</v>
      </c>
      <c r="AD699" s="2">
        <v>1</v>
      </c>
      <c r="AE699" s="2" t="s">
        <v>70</v>
      </c>
      <c r="AF699" t="str">
        <f>_xlfn.CONCAT(FINI_grouping_for_wheel[[#This Row],[SEFI/Plant]],"/",IF(FINI_grouping_for_wheel[[#This Row],[RESET recipe combination]]&lt;&gt;"",FINI_grouping_for_wheel[[#This Row],[RESET recipe combination]],FINI_grouping_for_wheel[[#This Row],[Recipe Combination]]),"/",FINI_grouping_for_wheel[[#This Row],[Subgroup]])</f>
        <v>4491401/THDP/x/1</v>
      </c>
      <c r="AG6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0.6108207808177066</v>
      </c>
      <c r="AH699">
        <f>_xlfn.LET(_xlpm.pct, FINI_grouping_for_wheel[[#This Row],[% forecast within subgroup]], _xlpm.lote, FINI_grouping_for_wheel[[#This Row],[Lot size considered]], _xlpm.pct*_xlpm.lote)</f>
        <v>4977.526931752645</v>
      </c>
      <c r="AI699" cm="1">
        <f t="array" aca="1" ref="AI699" ca="1">IFERROR(INDIRECT("FINI_grouping_for_wheel[@["&amp;FINI_grouping_for_wheel[[#This Row],[Selected PV]]&amp;"]]"),"")</f>
        <v>25</v>
      </c>
      <c r="AJ69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69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699" s="4"/>
      <c r="AM69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25</v>
      </c>
      <c r="AN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6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69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699" t="str">
        <f>_xlfn.CONCAT(FINI_grouping_for_wheel[[#This Row],[Recipe Combination]],FINI_grouping_for_wheel[[#This Row],[Subgroup]])</f>
        <v>1</v>
      </c>
    </row>
    <row r="700" spans="1:55" hidden="1">
      <c r="A700" t="s">
        <v>11</v>
      </c>
      <c r="B700">
        <v>4491401</v>
      </c>
      <c r="C700" t="s">
        <v>2802</v>
      </c>
      <c r="D700">
        <v>8148.91550528</v>
      </c>
      <c r="E700">
        <v>32</v>
      </c>
      <c r="F700">
        <v>0.64</v>
      </c>
      <c r="G700" t="s">
        <v>2848</v>
      </c>
      <c r="H700" t="s">
        <v>2849</v>
      </c>
      <c r="J700" t="s">
        <v>90</v>
      </c>
      <c r="K700" t="s">
        <v>617</v>
      </c>
      <c r="L700" t="s">
        <v>618</v>
      </c>
      <c r="M700">
        <v>31977.27405</v>
      </c>
      <c r="N700">
        <v>127.9090962</v>
      </c>
      <c r="O700">
        <v>212106.05199</v>
      </c>
      <c r="P700">
        <v>259418.447505</v>
      </c>
      <c r="Q700">
        <v>0.15076078098661516</v>
      </c>
      <c r="R700">
        <v>1228.53686577</v>
      </c>
      <c r="S700" t="s">
        <v>471</v>
      </c>
      <c r="T700" t="s">
        <v>93</v>
      </c>
      <c r="U700">
        <v>10</v>
      </c>
      <c r="V700" t="s">
        <v>94</v>
      </c>
      <c r="W700" t="s">
        <v>142</v>
      </c>
      <c r="X700" t="s">
        <v>96</v>
      </c>
      <c r="Y700" s="23" t="s">
        <v>97</v>
      </c>
      <c r="AA700">
        <v>64</v>
      </c>
      <c r="AB700" t="s">
        <v>2850</v>
      </c>
      <c r="AC700" t="s">
        <v>2806</v>
      </c>
      <c r="AD700" s="2">
        <v>2</v>
      </c>
      <c r="AE700" s="2" t="s">
        <v>70</v>
      </c>
      <c r="AF700" t="str">
        <f>_xlfn.CONCAT(FINI_grouping_for_wheel[[#This Row],[SEFI/Plant]],"/",IF(FINI_grouping_for_wheel[[#This Row],[RESET recipe combination]]&lt;&gt;"",FINI_grouping_for_wheel[[#This Row],[RESET recipe combination]],FINI_grouping_for_wheel[[#This Row],[Recipe Combination]]),"/",FINI_grouping_for_wheel[[#This Row],[Subgroup]])</f>
        <v>4491401/THDP/x/2</v>
      </c>
      <c r="AG7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0.41312327929030285</v>
      </c>
      <c r="AH700">
        <f>_xlfn.LET(_xlpm.pct, FINI_grouping_for_wheel[[#This Row],[% forecast within subgroup]], _xlpm.lote, FINI_grouping_for_wheel[[#This Row],[Lot size considered]], _xlpm.pct*_xlpm.lote)</f>
        <v>3366.5066962008686</v>
      </c>
      <c r="AI700" cm="1">
        <f t="array" aca="1" ref="AI700" ca="1">IFERROR(INDIRECT("FINI_grouping_for_wheel[@["&amp;FINI_grouping_for_wheel[[#This Row],[Selected PV]]&amp;"]]"),"")</f>
        <v>25</v>
      </c>
      <c r="AJ70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70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00" s="4"/>
      <c r="AM70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25</v>
      </c>
      <c r="AN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0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00" t="str">
        <f>_xlfn.CONCAT(FINI_grouping_for_wheel[[#This Row],[Recipe Combination]],FINI_grouping_for_wheel[[#This Row],[Subgroup]])</f>
        <v>2</v>
      </c>
    </row>
    <row r="701" spans="1:55" hidden="1">
      <c r="A701" t="s">
        <v>11</v>
      </c>
      <c r="B701">
        <v>4491401</v>
      </c>
      <c r="C701" t="s">
        <v>2802</v>
      </c>
      <c r="D701">
        <v>8148.91550528</v>
      </c>
      <c r="E701">
        <v>32</v>
      </c>
      <c r="F701">
        <v>0.64</v>
      </c>
      <c r="G701" t="s">
        <v>2851</v>
      </c>
      <c r="H701" t="s">
        <v>2852</v>
      </c>
      <c r="J701" t="s">
        <v>90</v>
      </c>
      <c r="K701" t="s">
        <v>2821</v>
      </c>
      <c r="L701" t="s">
        <v>2822</v>
      </c>
      <c r="M701">
        <v>3790.86381</v>
      </c>
      <c r="N701">
        <v>15.16345524</v>
      </c>
      <c r="O701">
        <v>212106.05199</v>
      </c>
      <c r="P701">
        <v>259418.447505</v>
      </c>
      <c r="Q701">
        <v>1.7872492436843457E-2</v>
      </c>
      <c r="R701">
        <v>145.641430737</v>
      </c>
      <c r="S701" t="s">
        <v>471</v>
      </c>
      <c r="T701" t="s">
        <v>93</v>
      </c>
      <c r="U701">
        <v>2.5</v>
      </c>
      <c r="V701" t="s">
        <v>2823</v>
      </c>
      <c r="W701" t="s">
        <v>142</v>
      </c>
      <c r="X701" t="s">
        <v>150</v>
      </c>
      <c r="Y701" s="23" t="s">
        <v>151</v>
      </c>
      <c r="AA701">
        <v>537</v>
      </c>
      <c r="AB701" t="s">
        <v>2853</v>
      </c>
      <c r="AC701" t="s">
        <v>2806</v>
      </c>
      <c r="AD701" s="2">
        <v>4</v>
      </c>
      <c r="AE701" s="2" t="s">
        <v>70</v>
      </c>
      <c r="AF701" t="str">
        <f>_xlfn.CONCAT(FINI_grouping_for_wheel[[#This Row],[SEFI/Plant]],"/",IF(FINI_grouping_for_wheel[[#This Row],[RESET recipe combination]]&lt;&gt;"",FINI_grouping_for_wheel[[#This Row],[RESET recipe combination]],FINI_grouping_for_wheel[[#This Row],[Recipe Combination]]),"/",FINI_grouping_for_wheel[[#This Row],[Subgroup]])</f>
        <v>4491401/THDP/x/4</v>
      </c>
      <c r="AG7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0.41883584041857425</v>
      </c>
      <c r="AH701">
        <f>_xlfn.LET(_xlpm.pct, FINI_grouping_for_wheel[[#This Row],[% forecast within subgroup]], _xlpm.lote, FINI_grouping_for_wheel[[#This Row],[Lot size considered]], _xlpm.pct*_xlpm.lote)</f>
        <v>3413.0578741538993</v>
      </c>
      <c r="AI701" cm="1">
        <f t="array" aca="1" ref="AI701" ca="1">IFERROR(INDIRECT("FINI_grouping_for_wheel[@["&amp;FINI_grouping_for_wheel[[#This Row],[Selected PV]]&amp;"]]"),"")</f>
        <v>211</v>
      </c>
      <c r="AJ70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70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01" s="4"/>
      <c r="AM70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211</v>
      </c>
      <c r="AN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0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01" t="str">
        <f>_xlfn.CONCAT(FINI_grouping_for_wheel[[#This Row],[Recipe Combination]],FINI_grouping_for_wheel[[#This Row],[Subgroup]])</f>
        <v>4</v>
      </c>
    </row>
    <row r="702" spans="1:55" hidden="1">
      <c r="A702" t="s">
        <v>11</v>
      </c>
      <c r="B702">
        <v>4491401</v>
      </c>
      <c r="C702" t="s">
        <v>2802</v>
      </c>
      <c r="D702">
        <v>8148.91550528</v>
      </c>
      <c r="E702">
        <v>32</v>
      </c>
      <c r="F702">
        <v>0.64</v>
      </c>
      <c r="G702" t="s">
        <v>2854</v>
      </c>
      <c r="H702" t="s">
        <v>2855</v>
      </c>
      <c r="I702">
        <v>300</v>
      </c>
      <c r="J702" t="s">
        <v>90</v>
      </c>
      <c r="K702" t="s">
        <v>2856</v>
      </c>
      <c r="L702" t="s">
        <v>2857</v>
      </c>
      <c r="M702">
        <v>9132.64317</v>
      </c>
      <c r="N702">
        <v>36.53057268</v>
      </c>
      <c r="O702">
        <v>212106.05199</v>
      </c>
      <c r="P702">
        <v>259418.447505</v>
      </c>
      <c r="Q702">
        <v>4.3056966476517931E-2</v>
      </c>
      <c r="R702">
        <v>350.867581731</v>
      </c>
      <c r="S702" t="s">
        <v>471</v>
      </c>
      <c r="T702" t="s">
        <v>93</v>
      </c>
      <c r="U702">
        <v>2.5</v>
      </c>
      <c r="V702" t="s">
        <v>166</v>
      </c>
      <c r="W702" t="s">
        <v>95</v>
      </c>
      <c r="X702" t="s">
        <v>96</v>
      </c>
      <c r="Y702" s="23" t="s">
        <v>167</v>
      </c>
      <c r="AA702">
        <v>223</v>
      </c>
      <c r="AB702" t="s">
        <v>2858</v>
      </c>
      <c r="AC702" t="s">
        <v>2806</v>
      </c>
      <c r="AD702" s="2">
        <v>3</v>
      </c>
      <c r="AE702" s="2" t="s">
        <v>70</v>
      </c>
      <c r="AF702" t="str">
        <f>_xlfn.CONCAT(FINI_grouping_for_wheel[[#This Row],[SEFI/Plant]],"/",IF(FINI_grouping_for_wheel[[#This Row],[RESET recipe combination]]&lt;&gt;"",FINI_grouping_for_wheel[[#This Row],[RESET recipe combination]],FINI_grouping_for_wheel[[#This Row],[Recipe Combination]]),"/",FINI_grouping_for_wheel[[#This Row],[Subgroup]])</f>
        <v>4491401/THDP/x/3</v>
      </c>
      <c r="AG7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0.2859790909764959</v>
      </c>
      <c r="AH702">
        <f>_xlfn.LET(_xlpm.pct, FINI_grouping_for_wheel[[#This Row],[% forecast within subgroup]], _xlpm.lote, FINI_grouping_for_wheel[[#This Row],[Lot size considered]], _xlpm.pct*_xlpm.lote)</f>
        <v>2330.419448644247</v>
      </c>
      <c r="AI702" cm="1">
        <f t="array" aca="1" ref="AI702" ca="1">IFERROR(INDIRECT("FINI_grouping_for_wheel[@["&amp;FINI_grouping_for_wheel[[#This Row],[Selected PV]]&amp;"]]"),"")</f>
        <v>60</v>
      </c>
      <c r="AJ70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7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8.6</v>
      </c>
      <c r="AL702" s="4"/>
      <c r="AM70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60</v>
      </c>
      <c r="AN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0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02" t="str">
        <f>_xlfn.CONCAT(FINI_grouping_for_wheel[[#This Row],[Recipe Combination]],FINI_grouping_for_wheel[[#This Row],[Subgroup]])</f>
        <v>3</v>
      </c>
    </row>
    <row r="703" spans="1:55" hidden="1">
      <c r="A703" t="s">
        <v>11</v>
      </c>
      <c r="B703">
        <v>4491401</v>
      </c>
      <c r="C703" t="s">
        <v>2802</v>
      </c>
      <c r="D703">
        <v>8148.91550528</v>
      </c>
      <c r="E703">
        <v>32</v>
      </c>
      <c r="F703">
        <v>0.64</v>
      </c>
      <c r="G703" t="s">
        <v>2859</v>
      </c>
      <c r="H703" t="s">
        <v>2860</v>
      </c>
      <c r="J703" t="s">
        <v>90</v>
      </c>
      <c r="K703" t="s">
        <v>2861</v>
      </c>
      <c r="L703" t="s">
        <v>2862</v>
      </c>
      <c r="M703">
        <v>1811.37465</v>
      </c>
      <c r="N703">
        <v>7.2454986</v>
      </c>
      <c r="O703">
        <v>212106.05199</v>
      </c>
      <c r="P703">
        <v>259418.447505</v>
      </c>
      <c r="Q703">
        <v>8.5399479788789787E-3</v>
      </c>
      <c r="R703">
        <v>69.5913144994</v>
      </c>
      <c r="S703" t="s">
        <v>471</v>
      </c>
      <c r="T703" t="s">
        <v>93</v>
      </c>
      <c r="U703">
        <v>10</v>
      </c>
      <c r="V703" t="s">
        <v>94</v>
      </c>
      <c r="W703" t="s">
        <v>95</v>
      </c>
      <c r="X703" t="s">
        <v>96</v>
      </c>
      <c r="Y703" s="23" t="s">
        <v>97</v>
      </c>
      <c r="AA703">
        <v>1125</v>
      </c>
      <c r="AB703" t="s">
        <v>2863</v>
      </c>
      <c r="AC703" t="s">
        <v>2806</v>
      </c>
      <c r="AD703" s="2">
        <v>90</v>
      </c>
      <c r="AE703" s="2" t="s">
        <v>70</v>
      </c>
      <c r="AF703" t="str">
        <f>_xlfn.CONCAT(FINI_grouping_for_wheel[[#This Row],[SEFI/Plant]],"/",IF(FINI_grouping_for_wheel[[#This Row],[RESET recipe combination]]&lt;&gt;"",FINI_grouping_for_wheel[[#This Row],[RESET recipe combination]],FINI_grouping_for_wheel[[#This Row],[Recipe Combination]]),"/",FINI_grouping_for_wheel[[#This Row],[Subgroup]])</f>
        <v>4491401/THDP/x/90</v>
      </c>
      <c r="AG7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0.32008368200836823</v>
      </c>
      <c r="AH703">
        <f>_xlfn.LET(_xlpm.pct, FINI_grouping_for_wheel[[#This Row],[% forecast within subgroup]], _xlpm.lote, FINI_grouping_for_wheel[[#This Row],[Lot size considered]], _xlpm.pct*_xlpm.lote)</f>
        <v>2608.3348793051046</v>
      </c>
      <c r="AI703" cm="1">
        <f t="array" aca="1" ref="AI703" ca="1">IFERROR(INDIRECT("FINI_grouping_for_wheel[@["&amp;FINI_grouping_for_wheel[[#This Row],[Selected PV]]&amp;"]]"),"")</f>
        <v>337</v>
      </c>
      <c r="AJ70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70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03" s="4"/>
      <c r="AM70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337</v>
      </c>
      <c r="AN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0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03" t="str">
        <f>_xlfn.CONCAT(FINI_grouping_for_wheel[[#This Row],[Recipe Combination]],FINI_grouping_for_wheel[[#This Row],[Subgroup]])</f>
        <v>90</v>
      </c>
    </row>
    <row r="704" spans="1:55" hidden="1">
      <c r="A704" t="s">
        <v>11</v>
      </c>
      <c r="B704">
        <v>4491401</v>
      </c>
      <c r="C704" t="s">
        <v>2802</v>
      </c>
      <c r="D704">
        <v>8148.91550528</v>
      </c>
      <c r="E704">
        <v>32</v>
      </c>
      <c r="F704">
        <v>0.64</v>
      </c>
      <c r="G704" t="s">
        <v>2864</v>
      </c>
      <c r="H704" t="s">
        <v>2865</v>
      </c>
      <c r="J704" t="s">
        <v>90</v>
      </c>
      <c r="K704" t="s">
        <v>2866</v>
      </c>
      <c r="L704" t="s">
        <v>2867</v>
      </c>
      <c r="M704">
        <v>19262.13435</v>
      </c>
      <c r="N704">
        <v>77.0485374</v>
      </c>
      <c r="O704">
        <v>212106.05199</v>
      </c>
      <c r="P704">
        <v>259418.447505</v>
      </c>
      <c r="Q704">
        <v>9.0813695174092143E-2</v>
      </c>
      <c r="R704">
        <v>740.033128696</v>
      </c>
      <c r="S704" t="s">
        <v>471</v>
      </c>
      <c r="T704" t="s">
        <v>93</v>
      </c>
      <c r="U704">
        <v>5</v>
      </c>
      <c r="V704" t="s">
        <v>2868</v>
      </c>
      <c r="W704" t="s">
        <v>142</v>
      </c>
      <c r="X704" t="s">
        <v>150</v>
      </c>
      <c r="Y704" s="23" t="s">
        <v>151</v>
      </c>
      <c r="AA704">
        <v>106</v>
      </c>
      <c r="AB704" t="s">
        <v>2869</v>
      </c>
      <c r="AC704" t="s">
        <v>2806</v>
      </c>
      <c r="AD704" s="2">
        <v>5</v>
      </c>
      <c r="AE704" s="2" t="s">
        <v>70</v>
      </c>
      <c r="AF704" t="str">
        <f>_xlfn.CONCAT(FINI_grouping_for_wheel[[#This Row],[SEFI/Plant]],"/",IF(FINI_grouping_for_wheel[[#This Row],[RESET recipe combination]]&lt;&gt;"",FINI_grouping_for_wheel[[#This Row],[RESET recipe combination]],FINI_grouping_for_wheel[[#This Row],[Recipe Combination]]),"/",FINI_grouping_for_wheel[[#This Row],[Subgroup]])</f>
        <v>4491401/THDP/x/5</v>
      </c>
      <c r="AG7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0.6618664063135627</v>
      </c>
      <c r="AH704">
        <f>_xlfn.LET(_xlpm.pct, FINI_grouping_for_wheel[[#This Row],[% forecast within subgroup]], _xlpm.lote, FINI_grouping_for_wheel[[#This Row],[Lot size considered]], _xlpm.pct*_xlpm.lote)</f>
        <v>5393.493420832544</v>
      </c>
      <c r="AI704" cm="1">
        <f t="array" aca="1" ref="AI704" ca="1">IFERROR(INDIRECT("FINI_grouping_for_wheel[@["&amp;FINI_grouping_for_wheel[[#This Row],[Selected PV]]&amp;"]]"),"")</f>
        <v>65</v>
      </c>
      <c r="AJ70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70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04" s="4"/>
      <c r="AM70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65</v>
      </c>
      <c r="AN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0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04" t="str">
        <f>_xlfn.CONCAT(FINI_grouping_for_wheel[[#This Row],[Recipe Combination]],FINI_grouping_for_wheel[[#This Row],[Subgroup]])</f>
        <v>5</v>
      </c>
    </row>
    <row r="705" spans="1:55" hidden="1">
      <c r="A705" t="s">
        <v>11</v>
      </c>
      <c r="B705">
        <v>4491401</v>
      </c>
      <c r="C705" t="s">
        <v>2802</v>
      </c>
      <c r="D705">
        <v>8148.91550528</v>
      </c>
      <c r="E705">
        <v>32</v>
      </c>
      <c r="F705">
        <v>0.64</v>
      </c>
      <c r="G705" t="s">
        <v>2870</v>
      </c>
      <c r="H705" t="s">
        <v>2871</v>
      </c>
      <c r="I705">
        <v>560</v>
      </c>
      <c r="J705" t="s">
        <v>90</v>
      </c>
      <c r="K705" t="s">
        <v>2872</v>
      </c>
      <c r="L705" t="s">
        <v>2873</v>
      </c>
      <c r="M705">
        <v>999.21582</v>
      </c>
      <c r="N705">
        <v>3.99686328</v>
      </c>
      <c r="O705">
        <v>999.21582</v>
      </c>
      <c r="P705">
        <v>259418.447505</v>
      </c>
      <c r="Q705">
        <v>1</v>
      </c>
      <c r="R705">
        <v>8148.91550528</v>
      </c>
      <c r="S705" t="s">
        <v>118</v>
      </c>
      <c r="T705" t="s">
        <v>93</v>
      </c>
      <c r="U705">
        <v>4</v>
      </c>
      <c r="V705" t="s">
        <v>2874</v>
      </c>
      <c r="W705" t="s">
        <v>142</v>
      </c>
      <c r="X705" t="s">
        <v>150</v>
      </c>
      <c r="Y705" s="23" t="s">
        <v>151</v>
      </c>
      <c r="AA705">
        <v>2039</v>
      </c>
      <c r="AB705" t="s">
        <v>2875</v>
      </c>
      <c r="AC705" t="s">
        <v>2806</v>
      </c>
      <c r="AD705" s="2">
        <v>4</v>
      </c>
      <c r="AE705" s="2" t="s">
        <v>70</v>
      </c>
      <c r="AF705" t="str">
        <f>_xlfn.CONCAT(FINI_grouping_for_wheel[[#This Row],[SEFI/Plant]],"/",IF(FINI_grouping_for_wheel[[#This Row],[RESET recipe combination]]&lt;&gt;"",FINI_grouping_for_wheel[[#This Row],[RESET recipe combination]],FINI_grouping_for_wheel[[#This Row],[Recipe Combination]]),"/",FINI_grouping_for_wheel[[#This Row],[Subgroup]])</f>
        <v>4491401/THDP/x/4</v>
      </c>
      <c r="AG7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0.1103989535644212</v>
      </c>
      <c r="AH705">
        <f>_xlfn.LET(_xlpm.pct, FINI_grouping_for_wheel[[#This Row],[% forecast within subgroup]], _xlpm.lote, FINI_grouping_for_wheel[[#This Row],[Lot size considered]], _xlpm.pct*_xlpm.lote)</f>
        <v>899.6317444677986</v>
      </c>
      <c r="AI705" cm="1">
        <f t="array" aca="1" ref="AI705" ca="1">IFERROR(INDIRECT("FINI_grouping_for_wheel[@["&amp;FINI_grouping_for_wheel[[#This Row],[Selected PV]]&amp;"]]"),"")</f>
        <v>211</v>
      </c>
      <c r="AJ70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7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v>
      </c>
      <c r="AL705" s="4"/>
      <c r="AM70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211</v>
      </c>
      <c r="AN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0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05" t="str">
        <f>_xlfn.CONCAT(FINI_grouping_for_wheel[[#This Row],[Recipe Combination]],FINI_grouping_for_wheel[[#This Row],[Subgroup]])</f>
        <v>A4</v>
      </c>
    </row>
    <row r="706" spans="1:55" hidden="1">
      <c r="A706" t="s">
        <v>11</v>
      </c>
      <c r="B706">
        <v>4491401</v>
      </c>
      <c r="C706" t="s">
        <v>2802</v>
      </c>
      <c r="D706">
        <v>8148.91550528</v>
      </c>
      <c r="E706">
        <v>32</v>
      </c>
      <c r="F706">
        <v>0.64</v>
      </c>
      <c r="G706" t="s">
        <v>2876</v>
      </c>
      <c r="H706" t="s">
        <v>2877</v>
      </c>
      <c r="I706">
        <v>506.25</v>
      </c>
      <c r="J706" t="s">
        <v>90</v>
      </c>
      <c r="K706" t="s">
        <v>2878</v>
      </c>
      <c r="L706" t="s">
        <v>2879</v>
      </c>
      <c r="M706">
        <v>886.744845</v>
      </c>
      <c r="N706">
        <v>3.54697938</v>
      </c>
      <c r="O706">
        <v>886.744845</v>
      </c>
      <c r="P706">
        <v>259418.447505</v>
      </c>
      <c r="Q706">
        <v>1</v>
      </c>
      <c r="R706">
        <v>8148.91550528</v>
      </c>
      <c r="S706" t="s">
        <v>207</v>
      </c>
      <c r="T706" t="s">
        <v>93</v>
      </c>
      <c r="U706">
        <v>0.75</v>
      </c>
      <c r="V706" t="s">
        <v>610</v>
      </c>
      <c r="W706" t="s">
        <v>142</v>
      </c>
      <c r="X706" t="s">
        <v>150</v>
      </c>
      <c r="Y706" s="23" t="s">
        <v>151</v>
      </c>
      <c r="AA706">
        <v>2297</v>
      </c>
      <c r="AB706" t="s">
        <v>2880</v>
      </c>
      <c r="AC706" t="s">
        <v>2806</v>
      </c>
      <c r="AD706" s="2">
        <v>20</v>
      </c>
      <c r="AE706" s="2" t="s">
        <v>70</v>
      </c>
      <c r="AF706" t="str">
        <f>_xlfn.CONCAT(FINI_grouping_for_wheel[[#This Row],[SEFI/Plant]],"/",IF(FINI_grouping_for_wheel[[#This Row],[RESET recipe combination]]&lt;&gt;"",FINI_grouping_for_wheel[[#This Row],[RESET recipe combination]],FINI_grouping_for_wheel[[#This Row],[Recipe Combination]]),"/",FINI_grouping_for_wheel[[#This Row],[Subgroup]])</f>
        <v>4491401/THDP/x/20</v>
      </c>
      <c r="AG7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0.05722799511002446</v>
      </c>
      <c r="AH706">
        <f>_xlfn.LET(_xlpm.pct, FINI_grouping_for_wheel[[#This Row],[% forecast within subgroup]], _xlpm.lote, FINI_grouping_for_wheel[[#This Row],[Lot size considered]], _xlpm.pct*_xlpm.lote)</f>
        <v>466.3460966881663</v>
      </c>
      <c r="AI706" cm="1">
        <f t="array" aca="1" ref="AI706" ca="1">IFERROR(INDIRECT("FINI_grouping_for_wheel[@["&amp;FINI_grouping_for_wheel[[#This Row],[Selected PV]]&amp;"]]"),"")</f>
        <v>123</v>
      </c>
      <c r="AJ70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7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v>
      </c>
      <c r="AL706" s="4"/>
      <c r="AM70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123</v>
      </c>
      <c r="AN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0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06" t="str">
        <f>_xlfn.CONCAT(FINI_grouping_for_wheel[[#This Row],[Recipe Combination]],FINI_grouping_for_wheel[[#This Row],[Subgroup]])</f>
        <v>T20</v>
      </c>
    </row>
    <row r="707" spans="1:55" hidden="1">
      <c r="A707" t="s">
        <v>11</v>
      </c>
      <c r="B707">
        <v>4491401</v>
      </c>
      <c r="C707" t="s">
        <v>2802</v>
      </c>
      <c r="D707">
        <v>8148.91550528</v>
      </c>
      <c r="E707">
        <v>32</v>
      </c>
      <c r="F707">
        <v>0.64</v>
      </c>
      <c r="G707" t="s">
        <v>2881</v>
      </c>
      <c r="H707" t="s">
        <v>2882</v>
      </c>
      <c r="J707" t="s">
        <v>90</v>
      </c>
      <c r="K707" t="s">
        <v>385</v>
      </c>
      <c r="L707" t="s">
        <v>386</v>
      </c>
      <c r="M707">
        <v>45426.43485</v>
      </c>
      <c r="N707">
        <v>181.7057394</v>
      </c>
      <c r="O707">
        <v>45426.43485</v>
      </c>
      <c r="P707">
        <v>259418.447505</v>
      </c>
      <c r="Q707">
        <v>1</v>
      </c>
      <c r="R707">
        <v>8148.91550528</v>
      </c>
      <c r="S707" t="s">
        <v>387</v>
      </c>
      <c r="T707" t="s">
        <v>93</v>
      </c>
      <c r="U707">
        <v>10</v>
      </c>
      <c r="V707" t="s">
        <v>94</v>
      </c>
      <c r="W707" t="s">
        <v>95</v>
      </c>
      <c r="X707" t="s">
        <v>96</v>
      </c>
      <c r="Y707" s="23" t="s">
        <v>97</v>
      </c>
      <c r="AA707">
        <v>45</v>
      </c>
      <c r="AB707" t="s">
        <v>2883</v>
      </c>
      <c r="AC707" t="s">
        <v>2806</v>
      </c>
      <c r="AD707" s="2">
        <v>2</v>
      </c>
      <c r="AE707" s="2" t="s">
        <v>70</v>
      </c>
      <c r="AF707" t="str">
        <f>_xlfn.CONCAT(FINI_grouping_for_wheel[[#This Row],[SEFI/Plant]],"/",IF(FINI_grouping_for_wheel[[#This Row],[RESET recipe combination]]&lt;&gt;"",FINI_grouping_for_wheel[[#This Row],[RESET recipe combination]],FINI_grouping_for_wheel[[#This Row],[Recipe Combination]]),"/",FINI_grouping_for_wheel[[#This Row],[Subgroup]])</f>
        <v>4491401/THDP/x/2</v>
      </c>
      <c r="AG7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0.5868767207096971</v>
      </c>
      <c r="AH707">
        <f>_xlfn.LET(_xlpm.pct, FINI_grouping_for_wheel[[#This Row],[% forecast within subgroup]], _xlpm.lote, FINI_grouping_for_wheel[[#This Row],[Lot size considered]], _xlpm.pct*_xlpm.lote)</f>
        <v>4782.40880907913</v>
      </c>
      <c r="AI707" cm="1">
        <f t="array" aca="1" ref="AI707" ca="1">IFERROR(INDIRECT("FINI_grouping_for_wheel[@["&amp;FINI_grouping_for_wheel[[#This Row],[Selected PV]]&amp;"]]"),"")</f>
        <v>25</v>
      </c>
      <c r="AJ70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8969.26428</v>
      </c>
      <c r="AK70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07" s="4"/>
      <c r="AM70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25</v>
      </c>
      <c r="AN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0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07" t="str">
        <f>_xlfn.CONCAT(FINI_grouping_for_wheel[[#This Row],[Recipe Combination]],FINI_grouping_for_wheel[[#This Row],[Subgroup]])</f>
        <v>X2</v>
      </c>
    </row>
    <row r="708" spans="1:55" hidden="1">
      <c r="A708" t="s">
        <v>11</v>
      </c>
      <c r="B708">
        <v>4677102</v>
      </c>
      <c r="C708" t="s">
        <v>2884</v>
      </c>
      <c r="D708">
        <v>8230.53185496</v>
      </c>
      <c r="E708">
        <v>31</v>
      </c>
      <c r="F708">
        <v>0.62</v>
      </c>
      <c r="G708" t="s">
        <v>2885</v>
      </c>
      <c r="H708" t="s">
        <v>2886</v>
      </c>
      <c r="I708">
        <v>420</v>
      </c>
      <c r="J708" t="s">
        <v>90</v>
      </c>
      <c r="K708" t="s">
        <v>264</v>
      </c>
      <c r="L708" t="s">
        <v>265</v>
      </c>
      <c r="M708">
        <v>4775.87277</v>
      </c>
      <c r="N708">
        <v>19.10349108</v>
      </c>
      <c r="O708">
        <v>4775.87277</v>
      </c>
      <c r="P708">
        <v>249065.19828</v>
      </c>
      <c r="Q708">
        <v>1</v>
      </c>
      <c r="R708">
        <v>8230.53185496</v>
      </c>
      <c r="S708" t="s">
        <v>594</v>
      </c>
      <c r="T708" t="s">
        <v>93</v>
      </c>
      <c r="U708">
        <v>2.5</v>
      </c>
      <c r="V708" t="s">
        <v>267</v>
      </c>
      <c r="W708" t="s">
        <v>142</v>
      </c>
      <c r="X708" t="s">
        <v>150</v>
      </c>
      <c r="Y708" s="23" t="s">
        <v>151</v>
      </c>
      <c r="AA708">
        <v>431</v>
      </c>
      <c r="AB708" t="s">
        <v>2887</v>
      </c>
      <c r="AC708" t="s">
        <v>2888</v>
      </c>
      <c r="AD708" s="28">
        <v>30</v>
      </c>
      <c r="AE708" s="2" t="s">
        <v>70</v>
      </c>
      <c r="AF708" t="str">
        <f>_xlfn.CONCAT(FINI_grouping_for_wheel[[#This Row],[SEFI/Plant]],"/",IF(FINI_grouping_for_wheel[[#This Row],[RESET recipe combination]]&lt;&gt;"",FINI_grouping_for_wheel[[#This Row],[RESET recipe combination]],FINI_grouping_for_wheel[[#This Row],[Recipe Combination]]),"/",FINI_grouping_for_wheel[[#This Row],[Subgroup]])</f>
        <v>4677102/THDP/x/30</v>
      </c>
      <c r="AG7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708">
        <f>_xlfn.LET(_xlpm.pct, FINI_grouping_for_wheel[[#This Row],[% forecast within subgroup]], _xlpm.lote, FINI_grouping_for_wheel[[#This Row],[Lot size considered]], _xlpm.pct*_xlpm.lote)</f>
        <v>8230.53185496</v>
      </c>
      <c r="AI708" cm="1">
        <f t="array" aca="1" ref="AI708" ca="1">IFERROR(INDIRECT("FINI_grouping_for_wheel[@["&amp;FINI_grouping_for_wheel[[#This Row],[Selected PV]]&amp;"]]"),"")</f>
        <v>396</v>
      </c>
      <c r="AJ70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7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21.2</v>
      </c>
      <c r="AL708" s="4"/>
      <c r="AM70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396</v>
      </c>
      <c r="AN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0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08" t="str">
        <f>_xlfn.CONCAT(FINI_grouping_for_wheel[[#This Row],[Recipe Combination]],FINI_grouping_for_wheel[[#This Row],[Subgroup]])</f>
        <v>430</v>
      </c>
    </row>
    <row r="709" spans="1:55" hidden="1">
      <c r="A709" t="s">
        <v>11</v>
      </c>
      <c r="B709">
        <v>4677102</v>
      </c>
      <c r="C709" t="s">
        <v>2884</v>
      </c>
      <c r="D709">
        <v>8230.53185496</v>
      </c>
      <c r="E709">
        <v>31</v>
      </c>
      <c r="F709">
        <v>0.62</v>
      </c>
      <c r="G709" t="s">
        <v>2889</v>
      </c>
      <c r="H709" t="s">
        <v>2890</v>
      </c>
      <c r="I709">
        <v>378</v>
      </c>
      <c r="J709" t="s">
        <v>90</v>
      </c>
      <c r="K709" t="s">
        <v>412</v>
      </c>
      <c r="L709" t="s">
        <v>413</v>
      </c>
      <c r="M709">
        <v>27978.04296</v>
      </c>
      <c r="N709">
        <v>111.91217184</v>
      </c>
      <c r="O709">
        <v>86770.76526</v>
      </c>
      <c r="P709">
        <v>249065.19828</v>
      </c>
      <c r="Q709">
        <v>0.32243628226818755</v>
      </c>
      <c r="R709">
        <v>2653.8220924</v>
      </c>
      <c r="S709" t="s">
        <v>118</v>
      </c>
      <c r="T709" t="s">
        <v>93</v>
      </c>
      <c r="U709">
        <v>14</v>
      </c>
      <c r="V709" t="s">
        <v>408</v>
      </c>
      <c r="W709" t="s">
        <v>95</v>
      </c>
      <c r="X709" t="s">
        <v>96</v>
      </c>
      <c r="Y709" s="23" t="s">
        <v>97</v>
      </c>
      <c r="AA709">
        <v>74</v>
      </c>
      <c r="AB709" t="s">
        <v>2891</v>
      </c>
      <c r="AC709" t="s">
        <v>2888</v>
      </c>
      <c r="AD709" s="2">
        <v>1</v>
      </c>
      <c r="AE709" s="2" t="s">
        <v>70</v>
      </c>
      <c r="AF709" t="str">
        <f>_xlfn.CONCAT(FINI_grouping_for_wheel[[#This Row],[SEFI/Plant]],"/",IF(FINI_grouping_for_wheel[[#This Row],[RESET recipe combination]]&lt;&gt;"",FINI_grouping_for_wheel[[#This Row],[RESET recipe combination]],FINI_grouping_for_wheel[[#This Row],[Recipe Combination]]),"/",FINI_grouping_for_wheel[[#This Row],[Subgroup]])</f>
        <v>4677102/THDP/x/1</v>
      </c>
      <c r="AG7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0.296504479184964</v>
      </c>
      <c r="AH709">
        <f>_xlfn.LET(_xlpm.pct, FINI_grouping_for_wheel[[#This Row],[% forecast within subgroup]], _xlpm.lote, FINI_grouping_for_wheel[[#This Row],[Lot size considered]], _xlpm.pct*_xlpm.lote)</f>
        <v>2440.38956107017</v>
      </c>
      <c r="AI709" cm="1">
        <f t="array" aca="1" ref="AI709" ca="1">IFERROR(INDIRECT("FINI_grouping_for_wheel[@["&amp;FINI_grouping_for_wheel[[#This Row],[Selected PV]]&amp;"]]"),"")</f>
        <v>20</v>
      </c>
      <c r="AJ70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7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v>
      </c>
      <c r="AL709" s="4"/>
      <c r="AM70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v>
      </c>
      <c r="AN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0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09" t="str">
        <f>_xlfn.CONCAT(FINI_grouping_for_wheel[[#This Row],[Recipe Combination]],FINI_grouping_for_wheel[[#This Row],[Subgroup]])</f>
        <v>A1</v>
      </c>
    </row>
    <row r="710" spans="1:55" hidden="1">
      <c r="A710" t="s">
        <v>11</v>
      </c>
      <c r="B710">
        <v>4677102</v>
      </c>
      <c r="C710" t="s">
        <v>2884</v>
      </c>
      <c r="D710">
        <v>8230.53185496</v>
      </c>
      <c r="E710">
        <v>31</v>
      </c>
      <c r="F710">
        <v>0.62</v>
      </c>
      <c r="G710" t="s">
        <v>2892</v>
      </c>
      <c r="H710" t="s">
        <v>2893</v>
      </c>
      <c r="J710" t="s">
        <v>90</v>
      </c>
      <c r="K710" t="s">
        <v>666</v>
      </c>
      <c r="L710" t="s">
        <v>667</v>
      </c>
      <c r="M710">
        <v>15248.6964</v>
      </c>
      <c r="N710">
        <v>60.9947856</v>
      </c>
      <c r="O710">
        <v>86770.76526</v>
      </c>
      <c r="P710">
        <v>249065.19828</v>
      </c>
      <c r="Q710">
        <v>0.17573541450635813</v>
      </c>
      <c r="R710">
        <v>1446.39592714</v>
      </c>
      <c r="S710" t="s">
        <v>118</v>
      </c>
      <c r="T710" t="s">
        <v>93</v>
      </c>
      <c r="U710">
        <v>10</v>
      </c>
      <c r="V710" t="s">
        <v>94</v>
      </c>
      <c r="W710" t="s">
        <v>95</v>
      </c>
      <c r="X710" t="s">
        <v>96</v>
      </c>
      <c r="Y710" s="23" t="s">
        <v>97</v>
      </c>
      <c r="AA710">
        <v>135</v>
      </c>
      <c r="AB710" t="s">
        <v>2894</v>
      </c>
      <c r="AC710" t="s">
        <v>2888</v>
      </c>
      <c r="AD710" s="2">
        <v>3</v>
      </c>
      <c r="AE710" s="2" t="s">
        <v>70</v>
      </c>
      <c r="AF710" t="str">
        <f>_xlfn.CONCAT(FINI_grouping_for_wheel[[#This Row],[SEFI/Plant]],"/",IF(FINI_grouping_for_wheel[[#This Row],[RESET recipe combination]]&lt;&gt;"",FINI_grouping_for_wheel[[#This Row],[RESET recipe combination]],FINI_grouping_for_wheel[[#This Row],[Recipe Combination]]),"/",FINI_grouping_for_wheel[[#This Row],[Subgroup]])</f>
        <v>4677102/THDP/x/3</v>
      </c>
      <c r="AG7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0.18135736412278233</v>
      </c>
      <c r="AH710">
        <f>_xlfn.LET(_xlpm.pct, FINI_grouping_for_wheel[[#This Row],[% forecast within subgroup]], _xlpm.lote, FINI_grouping_for_wheel[[#This Row],[Lot size considered]], _xlpm.pct*_xlpm.lote)</f>
        <v>1492.6675625441399</v>
      </c>
      <c r="AI710" cm="1">
        <f t="array" aca="1" ref="AI710" ca="1">IFERROR(INDIRECT("FINI_grouping_for_wheel[@["&amp;FINI_grouping_for_wheel[[#This Row],[Selected PV]]&amp;"]]"),"")</f>
        <v>22</v>
      </c>
      <c r="AJ71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71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10" s="4"/>
      <c r="AM71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v>
      </c>
      <c r="AN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1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10" t="str">
        <f>_xlfn.CONCAT(FINI_grouping_for_wheel[[#This Row],[Recipe Combination]],FINI_grouping_for_wheel[[#This Row],[Subgroup]])</f>
        <v>A3</v>
      </c>
    </row>
    <row r="711" spans="1:55" hidden="1">
      <c r="A711" t="s">
        <v>11</v>
      </c>
      <c r="B711">
        <v>4677102</v>
      </c>
      <c r="C711" t="s">
        <v>2884</v>
      </c>
      <c r="D711">
        <v>8230.53185496</v>
      </c>
      <c r="E711">
        <v>31</v>
      </c>
      <c r="F711">
        <v>0.62</v>
      </c>
      <c r="G711" t="s">
        <v>2895</v>
      </c>
      <c r="H711" t="s">
        <v>2896</v>
      </c>
      <c r="I711">
        <v>405</v>
      </c>
      <c r="J711" t="s">
        <v>90</v>
      </c>
      <c r="K711" t="s">
        <v>406</v>
      </c>
      <c r="L711" t="s">
        <v>407</v>
      </c>
      <c r="M711">
        <v>24133.903425</v>
      </c>
      <c r="N711">
        <v>96.5356137</v>
      </c>
      <c r="O711">
        <v>86770.76526</v>
      </c>
      <c r="P711">
        <v>249065.19828</v>
      </c>
      <c r="Q711">
        <v>0.27813403918572288</v>
      </c>
      <c r="R711">
        <v>2289.19106947</v>
      </c>
      <c r="S711" t="s">
        <v>118</v>
      </c>
      <c r="T711" t="s">
        <v>93</v>
      </c>
      <c r="U711">
        <v>15</v>
      </c>
      <c r="V711" t="s">
        <v>408</v>
      </c>
      <c r="W711" t="s">
        <v>142</v>
      </c>
      <c r="X711" t="s">
        <v>96</v>
      </c>
      <c r="Y711" s="23" t="s">
        <v>97</v>
      </c>
      <c r="AA711">
        <v>85</v>
      </c>
      <c r="AB711" t="s">
        <v>2897</v>
      </c>
      <c r="AC711" t="s">
        <v>2888</v>
      </c>
      <c r="AD711" s="2">
        <v>2</v>
      </c>
      <c r="AE711" s="2" t="s">
        <v>70</v>
      </c>
      <c r="AF711" t="str">
        <f>_xlfn.CONCAT(FINI_grouping_for_wheel[[#This Row],[SEFI/Plant]],"/",IF(FINI_grouping_for_wheel[[#This Row],[RESET recipe combination]]&lt;&gt;"",FINI_grouping_for_wheel[[#This Row],[RESET recipe combination]],FINI_grouping_for_wheel[[#This Row],[Recipe Combination]]),"/",FINI_grouping_for_wheel[[#This Row],[Subgroup]])</f>
        <v>4677102/THDP/x/2</v>
      </c>
      <c r="AG7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0.4026666666666667</v>
      </c>
      <c r="AH711">
        <f>_xlfn.LET(_xlpm.pct, FINI_grouping_for_wheel[[#This Row],[% forecast within subgroup]], _xlpm.lote, FINI_grouping_for_wheel[[#This Row],[Lot size considered]], _xlpm.pct*_xlpm.lote)</f>
        <v>3314.16082693056</v>
      </c>
      <c r="AI711" cm="1">
        <f t="array" aca="1" ref="AI711" ca="1">IFERROR(INDIRECT("FINI_grouping_for_wheel[@["&amp;FINI_grouping_for_wheel[[#This Row],[Selected PV]]&amp;"]]"),"")</f>
        <v>32</v>
      </c>
      <c r="AJ71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7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8.8</v>
      </c>
      <c r="AL711" s="4"/>
      <c r="AM71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32</v>
      </c>
      <c r="AN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1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11" t="str">
        <f>_xlfn.CONCAT(FINI_grouping_for_wheel[[#This Row],[Recipe Combination]],FINI_grouping_for_wheel[[#This Row],[Subgroup]])</f>
        <v>A2</v>
      </c>
    </row>
    <row r="712" spans="1:55" hidden="1">
      <c r="A712" t="s">
        <v>11</v>
      </c>
      <c r="B712">
        <v>4677102</v>
      </c>
      <c r="C712" t="s">
        <v>2884</v>
      </c>
      <c r="D712">
        <v>8230.53185496</v>
      </c>
      <c r="E712">
        <v>31</v>
      </c>
      <c r="F712">
        <v>0.62</v>
      </c>
      <c r="G712" t="s">
        <v>2898</v>
      </c>
      <c r="H712" t="s">
        <v>2899</v>
      </c>
      <c r="I712">
        <v>405</v>
      </c>
      <c r="J712" t="s">
        <v>90</v>
      </c>
      <c r="K712" t="s">
        <v>2900</v>
      </c>
      <c r="L712" t="s">
        <v>2901</v>
      </c>
      <c r="M712">
        <v>19410.122475</v>
      </c>
      <c r="N712">
        <v>77.6404899</v>
      </c>
      <c r="O712">
        <v>86770.76526</v>
      </c>
      <c r="P712">
        <v>249065.19828</v>
      </c>
      <c r="Q712">
        <v>0.22369426403973147</v>
      </c>
      <c r="R712">
        <v>1841.12276595</v>
      </c>
      <c r="S712" t="s">
        <v>118</v>
      </c>
      <c r="T712" t="s">
        <v>93</v>
      </c>
      <c r="U712">
        <v>15</v>
      </c>
      <c r="V712" t="s">
        <v>408</v>
      </c>
      <c r="W712" t="s">
        <v>95</v>
      </c>
      <c r="X712" t="s">
        <v>96</v>
      </c>
      <c r="Y712" s="23" t="s">
        <v>97</v>
      </c>
      <c r="AA712">
        <v>106</v>
      </c>
      <c r="AB712" t="s">
        <v>2902</v>
      </c>
      <c r="AC712" t="s">
        <v>2888</v>
      </c>
      <c r="AD712" s="2">
        <v>2</v>
      </c>
      <c r="AE712" s="2" t="s">
        <v>70</v>
      </c>
      <c r="AF712" t="str">
        <f>_xlfn.CONCAT(FINI_grouping_for_wheel[[#This Row],[SEFI/Plant]],"/",IF(FINI_grouping_for_wheel[[#This Row],[RESET recipe combination]]&lt;&gt;"",FINI_grouping_for_wheel[[#This Row],[RESET recipe combination]],FINI_grouping_for_wheel[[#This Row],[Recipe Combination]]),"/",FINI_grouping_for_wheel[[#This Row],[Subgroup]])</f>
        <v>4677102/THDP/x/2</v>
      </c>
      <c r="AG7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0.32385185185185184</v>
      </c>
      <c r="AH712">
        <f>_xlfn.LET(_xlpm.pct, FINI_grouping_for_wheel[[#This Row],[% forecast within subgroup]], _xlpm.lote, FINI_grouping_for_wheel[[#This Row],[Lot size considered]], _xlpm.pct*_xlpm.lote)</f>
        <v>2665.472982954453</v>
      </c>
      <c r="AI712" cm="1">
        <f t="array" aca="1" ref="AI712" ca="1">IFERROR(INDIRECT("FINI_grouping_for_wheel[@["&amp;FINI_grouping_for_wheel[[#This Row],[Selected PV]]&amp;"]]"),"")</f>
        <v>32</v>
      </c>
      <c r="AJ71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7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7.1</v>
      </c>
      <c r="AL712" s="4"/>
      <c r="AM71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32</v>
      </c>
      <c r="AN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1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12" t="str">
        <f>_xlfn.CONCAT(FINI_grouping_for_wheel[[#This Row],[Recipe Combination]],FINI_grouping_for_wheel[[#This Row],[Subgroup]])</f>
        <v>A2</v>
      </c>
    </row>
    <row r="713" spans="1:55" hidden="1">
      <c r="A713" t="s">
        <v>11</v>
      </c>
      <c r="B713">
        <v>4677102</v>
      </c>
      <c r="C713" t="s">
        <v>2884</v>
      </c>
      <c r="D713">
        <v>8230.53185496</v>
      </c>
      <c r="E713">
        <v>31</v>
      </c>
      <c r="F713">
        <v>0.62</v>
      </c>
      <c r="G713" t="s">
        <v>2903</v>
      </c>
      <c r="H713" t="s">
        <v>2904</v>
      </c>
      <c r="I713">
        <v>240</v>
      </c>
      <c r="J713" t="s">
        <v>90</v>
      </c>
      <c r="K713" t="s">
        <v>254</v>
      </c>
      <c r="L713" t="s">
        <v>255</v>
      </c>
      <c r="M713">
        <v>4534.35615</v>
      </c>
      <c r="N713">
        <v>18.1374246</v>
      </c>
      <c r="O713">
        <v>4534.35615</v>
      </c>
      <c r="P713">
        <v>249065.19828</v>
      </c>
      <c r="Q713">
        <v>1</v>
      </c>
      <c r="R713">
        <v>8230.53185496</v>
      </c>
      <c r="S713" t="s">
        <v>905</v>
      </c>
      <c r="T713" t="s">
        <v>93</v>
      </c>
      <c r="U713">
        <v>5</v>
      </c>
      <c r="V713" t="s">
        <v>119</v>
      </c>
      <c r="W713" t="s">
        <v>95</v>
      </c>
      <c r="X713" t="s">
        <v>96</v>
      </c>
      <c r="Y713" s="23" t="s">
        <v>120</v>
      </c>
      <c r="AA713">
        <v>454</v>
      </c>
      <c r="AB713" t="s">
        <v>2905</v>
      </c>
      <c r="AC713" t="s">
        <v>2888</v>
      </c>
      <c r="AD713" s="28">
        <v>20</v>
      </c>
      <c r="AE713" s="2" t="s">
        <v>70</v>
      </c>
      <c r="AF713" t="str">
        <f>_xlfn.CONCAT(FINI_grouping_for_wheel[[#This Row],[SEFI/Plant]],"/",IF(FINI_grouping_for_wheel[[#This Row],[RESET recipe combination]]&lt;&gt;"",FINI_grouping_for_wheel[[#This Row],[RESET recipe combination]],FINI_grouping_for_wheel[[#This Row],[Recipe Combination]]),"/",FINI_grouping_for_wheel[[#This Row],[Subgroup]])</f>
        <v>4677102/THDP/x/20</v>
      </c>
      <c r="AG7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0.7667667667667668</v>
      </c>
      <c r="AH713">
        <f>_xlfn.LET(_xlpm.pct, FINI_grouping_for_wheel[[#This Row],[% forecast within subgroup]], _xlpm.lote, FINI_grouping_for_wheel[[#This Row],[Lot size considered]], _xlpm.pct*_xlpm.lote)</f>
        <v>6310.898299198559</v>
      </c>
      <c r="AI713" cm="1">
        <f t="array" aca="1" ref="AI713" ca="1">IFERROR(INDIRECT("FINI_grouping_for_wheel[@["&amp;FINI_grouping_for_wheel[[#This Row],[Selected PV]]&amp;"]]"),"")</f>
        <v>319</v>
      </c>
      <c r="AJ71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7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28.4</v>
      </c>
      <c r="AL713" s="4"/>
      <c r="AM71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319</v>
      </c>
      <c r="AN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1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13" t="str">
        <f>_xlfn.CONCAT(FINI_grouping_for_wheel[[#This Row],[Recipe Combination]],FINI_grouping_for_wheel[[#This Row],[Subgroup]])</f>
        <v>F20</v>
      </c>
    </row>
    <row r="714" spans="1:55" hidden="1">
      <c r="A714" t="s">
        <v>11</v>
      </c>
      <c r="B714">
        <v>4677102</v>
      </c>
      <c r="C714" t="s">
        <v>2884</v>
      </c>
      <c r="D714">
        <v>8230.53185496</v>
      </c>
      <c r="E714">
        <v>31</v>
      </c>
      <c r="F714">
        <v>0.62</v>
      </c>
      <c r="G714" t="s">
        <v>2906</v>
      </c>
      <c r="H714" t="s">
        <v>2907</v>
      </c>
      <c r="I714">
        <v>440</v>
      </c>
      <c r="J714" t="s">
        <v>90</v>
      </c>
      <c r="K714" t="s">
        <v>2908</v>
      </c>
      <c r="L714" t="s">
        <v>2909</v>
      </c>
      <c r="M714">
        <v>62155.0125</v>
      </c>
      <c r="N714">
        <v>248.62005</v>
      </c>
      <c r="O714">
        <v>68832.2367</v>
      </c>
      <c r="P714">
        <v>249065.19828</v>
      </c>
      <c r="Q714">
        <v>0.90299277605779149</v>
      </c>
      <c r="R714">
        <v>7432.11080815</v>
      </c>
      <c r="S714" t="s">
        <v>619</v>
      </c>
      <c r="T714" t="s">
        <v>93</v>
      </c>
      <c r="U714">
        <v>10</v>
      </c>
      <c r="V714" t="s">
        <v>94</v>
      </c>
      <c r="W714" t="s">
        <v>95</v>
      </c>
      <c r="X714" t="s">
        <v>96</v>
      </c>
      <c r="Y714" s="23" t="s">
        <v>97</v>
      </c>
      <c r="AA714">
        <v>33</v>
      </c>
      <c r="AB714" t="s">
        <v>2910</v>
      </c>
      <c r="AC714" t="s">
        <v>2888</v>
      </c>
      <c r="AD714" s="2">
        <v>3</v>
      </c>
      <c r="AE714" s="2" t="s">
        <v>70</v>
      </c>
      <c r="AF714" t="str">
        <f>_xlfn.CONCAT(FINI_grouping_for_wheel[[#This Row],[SEFI/Plant]],"/",IF(FINI_grouping_for_wheel[[#This Row],[RESET recipe combination]]&lt;&gt;"",FINI_grouping_for_wheel[[#This Row],[RESET recipe combination]],FINI_grouping_for_wheel[[#This Row],[Recipe Combination]]),"/",FINI_grouping_for_wheel[[#This Row],[Subgroup]])</f>
        <v>4677102/THDP/x/3</v>
      </c>
      <c r="AG7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0.7392283863700366</v>
      </c>
      <c r="AH714">
        <f>_xlfn.LET(_xlpm.pct, FINI_grouping_for_wheel[[#This Row],[% forecast within subgroup]], _xlpm.lote, FINI_grouping_for_wheel[[#This Row],[Lot size considered]], _xlpm.pct*_xlpm.lote)</f>
        <v>6084.242782109265</v>
      </c>
      <c r="AI714" cm="1">
        <f t="array" aca="1" ref="AI714" ca="1">IFERROR(INDIRECT("FINI_grouping_for_wheel[@["&amp;FINI_grouping_for_wheel[[#This Row],[Selected PV]]&amp;"]]"),"")</f>
        <v>22</v>
      </c>
      <c r="AJ71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7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14.9</v>
      </c>
      <c r="AL714" s="4"/>
      <c r="AM71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v>
      </c>
      <c r="AN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1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14" t="str">
        <f>_xlfn.CONCAT(FINI_grouping_for_wheel[[#This Row],[Recipe Combination]],FINI_grouping_for_wheel[[#This Row],[Subgroup]])</f>
        <v>J3</v>
      </c>
    </row>
    <row r="715" spans="1:55" hidden="1">
      <c r="A715" t="s">
        <v>11</v>
      </c>
      <c r="B715">
        <v>4677102</v>
      </c>
      <c r="C715" t="s">
        <v>2884</v>
      </c>
      <c r="D715">
        <v>8230.53185496</v>
      </c>
      <c r="E715">
        <v>31</v>
      </c>
      <c r="F715">
        <v>0.62</v>
      </c>
      <c r="G715" t="s">
        <v>2911</v>
      </c>
      <c r="H715" t="s">
        <v>2912</v>
      </c>
      <c r="I715">
        <v>440</v>
      </c>
      <c r="J715" t="s">
        <v>90</v>
      </c>
      <c r="K715" t="s">
        <v>617</v>
      </c>
      <c r="L715" t="s">
        <v>618</v>
      </c>
      <c r="M715">
        <v>6677.2242</v>
      </c>
      <c r="N715">
        <v>26.7088968</v>
      </c>
      <c r="O715">
        <v>68832.2367</v>
      </c>
      <c r="P715">
        <v>249065.19828</v>
      </c>
      <c r="Q715">
        <v>9.7007223942208468E-2</v>
      </c>
      <c r="R715">
        <v>798.421046818</v>
      </c>
      <c r="S715" t="s">
        <v>619</v>
      </c>
      <c r="T715" t="s">
        <v>93</v>
      </c>
      <c r="U715">
        <v>10</v>
      </c>
      <c r="V715" t="s">
        <v>94</v>
      </c>
      <c r="W715" t="s">
        <v>142</v>
      </c>
      <c r="X715" t="s">
        <v>96</v>
      </c>
      <c r="Y715" s="23" t="s">
        <v>97</v>
      </c>
      <c r="AA715">
        <v>308</v>
      </c>
      <c r="AB715" t="s">
        <v>2913</v>
      </c>
      <c r="AC715" t="s">
        <v>2888</v>
      </c>
      <c r="AD715" s="2">
        <v>3</v>
      </c>
      <c r="AE715" s="2" t="s">
        <v>70</v>
      </c>
      <c r="AF715" t="str">
        <f>_xlfn.CONCAT(FINI_grouping_for_wheel[[#This Row],[SEFI/Plant]],"/",IF(FINI_grouping_for_wheel[[#This Row],[RESET recipe combination]]&lt;&gt;"",FINI_grouping_for_wheel[[#This Row],[RESET recipe combination]],FINI_grouping_for_wheel[[#This Row],[Recipe Combination]]),"/",FINI_grouping_for_wheel[[#This Row],[Subgroup]])</f>
        <v>4677102/THDP/x/3</v>
      </c>
      <c r="AG7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0.07941424950718108</v>
      </c>
      <c r="AH715">
        <f>_xlfn.LET(_xlpm.pct, FINI_grouping_for_wheel[[#This Row],[% forecast within subgroup]], _xlpm.lote, FINI_grouping_for_wheel[[#This Row],[Lot size considered]], _xlpm.pct*_xlpm.lote)</f>
        <v>653.6215103065954</v>
      </c>
      <c r="AI715" cm="1">
        <f t="array" aca="1" ref="AI715" ca="1">IFERROR(INDIRECT("FINI_grouping_for_wheel[@["&amp;FINI_grouping_for_wheel[[#This Row],[Selected PV]]&amp;"]]"),"")</f>
        <v>22</v>
      </c>
      <c r="AJ71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7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v>
      </c>
      <c r="AL715" s="4"/>
      <c r="AM71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v>
      </c>
      <c r="AN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1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15" t="str">
        <f>_xlfn.CONCAT(FINI_grouping_for_wheel[[#This Row],[Recipe Combination]],FINI_grouping_for_wheel[[#This Row],[Subgroup]])</f>
        <v>J3</v>
      </c>
    </row>
    <row r="716" spans="1:55" hidden="1">
      <c r="A716" t="s">
        <v>11</v>
      </c>
      <c r="B716">
        <v>4677102</v>
      </c>
      <c r="C716" t="s">
        <v>2884</v>
      </c>
      <c r="D716">
        <v>8230.53185496</v>
      </c>
      <c r="E716">
        <v>31</v>
      </c>
      <c r="F716">
        <v>0.62</v>
      </c>
      <c r="G716" t="s">
        <v>2914</v>
      </c>
      <c r="H716" t="s">
        <v>2915</v>
      </c>
      <c r="I716">
        <v>495</v>
      </c>
      <c r="J716" t="s">
        <v>90</v>
      </c>
      <c r="K716" t="s">
        <v>2916</v>
      </c>
      <c r="L716" t="s">
        <v>2917</v>
      </c>
      <c r="M716">
        <v>66381.55335</v>
      </c>
      <c r="N716">
        <v>265.5262134</v>
      </c>
      <c r="O716">
        <v>82772.718075</v>
      </c>
      <c r="P716">
        <v>249065.19828</v>
      </c>
      <c r="Q716">
        <v>0.8019738253593649</v>
      </c>
      <c r="R716">
        <v>6600.67111647</v>
      </c>
      <c r="S716" t="s">
        <v>157</v>
      </c>
      <c r="T716" t="s">
        <v>93</v>
      </c>
      <c r="U716">
        <v>15</v>
      </c>
      <c r="V716" t="s">
        <v>408</v>
      </c>
      <c r="W716" t="s">
        <v>95</v>
      </c>
      <c r="X716" t="s">
        <v>96</v>
      </c>
      <c r="Y716" s="23" t="s">
        <v>97</v>
      </c>
      <c r="AA716">
        <v>31</v>
      </c>
      <c r="AB716" t="s">
        <v>2918</v>
      </c>
      <c r="AC716" t="s">
        <v>2888</v>
      </c>
      <c r="AD716" s="2">
        <v>1</v>
      </c>
      <c r="AE716" s="2" t="s">
        <v>70</v>
      </c>
      <c r="AF716" t="str">
        <f>_xlfn.CONCAT(FINI_grouping_for_wheel[[#This Row],[SEFI/Plant]],"/",IF(FINI_grouping_for_wheel[[#This Row],[RESET recipe combination]]&lt;&gt;"",FINI_grouping_for_wheel[[#This Row],[RESET recipe combination]],FINI_grouping_for_wheel[[#This Row],[Recipe Combination]]),"/",FINI_grouping_for_wheel[[#This Row],[Subgroup]])</f>
        <v>4677102/THDP/x/1</v>
      </c>
      <c r="AG7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0.7034955208150361</v>
      </c>
      <c r="AH716">
        <f>_xlfn.LET(_xlpm.pct, FINI_grouping_for_wheel[[#This Row],[% forecast within subgroup]], _xlpm.lote, FINI_grouping_for_wheel[[#This Row],[Lot size considered]], _xlpm.pct*_xlpm.lote)</f>
        <v>5790.14229388983</v>
      </c>
      <c r="AI716" cm="1">
        <f t="array" aca="1" ref="AI716" ca="1">IFERROR(INDIRECT("FINI_grouping_for_wheel[@["&amp;FINI_grouping_for_wheel[[#This Row],[Selected PV]]&amp;"]]"),"")</f>
        <v>20</v>
      </c>
      <c r="AJ71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7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12.6</v>
      </c>
      <c r="AL716" s="4"/>
      <c r="AM71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v>
      </c>
      <c r="AN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1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16" t="str">
        <f>_xlfn.CONCAT(FINI_grouping_for_wheel[[#This Row],[Recipe Combination]],FINI_grouping_for_wheel[[#This Row],[Subgroup]])</f>
        <v>M1</v>
      </c>
    </row>
    <row r="717" spans="1:55" hidden="1">
      <c r="A717" t="s">
        <v>11</v>
      </c>
      <c r="B717">
        <v>4677102</v>
      </c>
      <c r="C717" t="s">
        <v>2884</v>
      </c>
      <c r="D717">
        <v>8230.53185496</v>
      </c>
      <c r="E717">
        <v>31</v>
      </c>
      <c r="F717">
        <v>0.62</v>
      </c>
      <c r="G717" t="s">
        <v>2919</v>
      </c>
      <c r="H717" t="s">
        <v>2920</v>
      </c>
      <c r="I717">
        <v>405</v>
      </c>
      <c r="J717" t="s">
        <v>90</v>
      </c>
      <c r="K717" t="s">
        <v>2921</v>
      </c>
      <c r="L717" t="s">
        <v>2922</v>
      </c>
      <c r="M717">
        <v>16391.164725</v>
      </c>
      <c r="N717">
        <v>65.5646589</v>
      </c>
      <c r="O717">
        <v>82772.718075</v>
      </c>
      <c r="P717">
        <v>249065.19828</v>
      </c>
      <c r="Q717">
        <v>0.19802617464063504</v>
      </c>
      <c r="R717">
        <v>1629.8607385</v>
      </c>
      <c r="S717" t="s">
        <v>157</v>
      </c>
      <c r="T717" t="s">
        <v>93</v>
      </c>
      <c r="U717">
        <v>15</v>
      </c>
      <c r="V717" t="s">
        <v>408</v>
      </c>
      <c r="W717" t="s">
        <v>95</v>
      </c>
      <c r="X717" t="s">
        <v>96</v>
      </c>
      <c r="Y717" s="23" t="s">
        <v>97</v>
      </c>
      <c r="AA717">
        <v>126</v>
      </c>
      <c r="AB717" t="s">
        <v>2923</v>
      </c>
      <c r="AC717" t="s">
        <v>2888</v>
      </c>
      <c r="AD717" s="2">
        <v>2</v>
      </c>
      <c r="AE717" s="2" t="s">
        <v>70</v>
      </c>
      <c r="AF717" t="str">
        <f>_xlfn.CONCAT(FINI_grouping_for_wheel[[#This Row],[SEFI/Plant]],"/",IF(FINI_grouping_for_wheel[[#This Row],[RESET recipe combination]]&lt;&gt;"",FINI_grouping_for_wheel[[#This Row],[RESET recipe combination]],FINI_grouping_for_wheel[[#This Row],[Recipe Combination]]),"/",FINI_grouping_for_wheel[[#This Row],[Subgroup]])</f>
        <v>4677102/THDP/x/2</v>
      </c>
      <c r="AG7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0.27348148148148144</v>
      </c>
      <c r="AH717">
        <f>_xlfn.LET(_xlpm.pct, FINI_grouping_for_wheel[[#This Row],[% forecast within subgroup]], _xlpm.lote, FINI_grouping_for_wheel[[#This Row],[Lot size considered]], _xlpm.pct*_xlpm.lote)</f>
        <v>2250.8980450749864</v>
      </c>
      <c r="AI717" cm="1">
        <f t="array" aca="1" ref="AI717" ca="1">IFERROR(INDIRECT("FINI_grouping_for_wheel[@["&amp;FINI_grouping_for_wheel[[#This Row],[Selected PV]]&amp;"]]"),"")</f>
        <v>32</v>
      </c>
      <c r="AJ71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7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v>
      </c>
      <c r="AL717" s="4"/>
      <c r="AM71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32</v>
      </c>
      <c r="AN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1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17" t="str">
        <f>_xlfn.CONCAT(FINI_grouping_for_wheel[[#This Row],[Recipe Combination]],FINI_grouping_for_wheel[[#This Row],[Subgroup]])</f>
        <v>M2</v>
      </c>
    </row>
    <row r="718" spans="1:55" hidden="1">
      <c r="A718" t="s">
        <v>11</v>
      </c>
      <c r="B718">
        <v>4677102</v>
      </c>
      <c r="C718" t="s">
        <v>2884</v>
      </c>
      <c r="D718">
        <v>8230.53185496</v>
      </c>
      <c r="E718">
        <v>31</v>
      </c>
      <c r="F718">
        <v>0.62</v>
      </c>
      <c r="G718" t="s">
        <v>2924</v>
      </c>
      <c r="H718" t="s">
        <v>2925</v>
      </c>
      <c r="J718" t="s">
        <v>90</v>
      </c>
      <c r="K718" t="s">
        <v>440</v>
      </c>
      <c r="L718" t="s">
        <v>441</v>
      </c>
      <c r="M718">
        <v>1260.858825</v>
      </c>
      <c r="N718">
        <v>5.0434353</v>
      </c>
      <c r="O718">
        <v>1379.249325</v>
      </c>
      <c r="P718">
        <v>249065.19828</v>
      </c>
      <c r="Q718">
        <v>0.91416309012875541</v>
      </c>
      <c r="R718">
        <v>7524.04843394</v>
      </c>
      <c r="S718" t="s">
        <v>173</v>
      </c>
      <c r="T718" t="s">
        <v>93</v>
      </c>
      <c r="U718">
        <v>5</v>
      </c>
      <c r="V718" t="s">
        <v>119</v>
      </c>
      <c r="W718" t="s">
        <v>95</v>
      </c>
      <c r="X718" t="s">
        <v>96</v>
      </c>
      <c r="Y718" s="23" t="s">
        <v>120</v>
      </c>
      <c r="AA718">
        <v>1632</v>
      </c>
      <c r="AB718" t="s">
        <v>2926</v>
      </c>
      <c r="AC718" t="s">
        <v>2888</v>
      </c>
      <c r="AD718" s="28">
        <v>20</v>
      </c>
      <c r="AE718" s="2" t="s">
        <v>70</v>
      </c>
      <c r="AF718" t="str">
        <f>_xlfn.CONCAT(FINI_grouping_for_wheel[[#This Row],[SEFI/Plant]],"/",IF(FINI_grouping_for_wheel[[#This Row],[RESET recipe combination]]&lt;&gt;"",FINI_grouping_for_wheel[[#This Row],[RESET recipe combination]],FINI_grouping_for_wheel[[#This Row],[Recipe Combination]]),"/",FINI_grouping_for_wheel[[#This Row],[Subgroup]])</f>
        <v>4677102/THDP/x/20</v>
      </c>
      <c r="AG7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0.21321321321321324</v>
      </c>
      <c r="AH718">
        <f>_xlfn.LET(_xlpm.pct, FINI_grouping_for_wheel[[#This Row],[% forecast within subgroup]], _xlpm.lote, FINI_grouping_for_wheel[[#This Row],[Lot size considered]], _xlpm.pct*_xlpm.lote)</f>
        <v>1754.85814324973</v>
      </c>
      <c r="AI718" cm="1">
        <f t="array" aca="1" ref="AI718" ca="1">IFERROR(INDIRECT("FINI_grouping_for_wheel[@["&amp;FINI_grouping_for_wheel[[#This Row],[Selected PV]]&amp;"]]"),"")</f>
        <v>319</v>
      </c>
      <c r="AJ71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71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18" s="4"/>
      <c r="AM71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319</v>
      </c>
      <c r="AN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1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18" t="str">
        <f>_xlfn.CONCAT(FINI_grouping_for_wheel[[#This Row],[Recipe Combination]],FINI_grouping_for_wheel[[#This Row],[Subgroup]])</f>
        <v>P20</v>
      </c>
    </row>
    <row r="719" spans="1:55" hidden="1">
      <c r="A719" t="s">
        <v>11</v>
      </c>
      <c r="B719">
        <v>4677102</v>
      </c>
      <c r="C719" t="s">
        <v>2884</v>
      </c>
      <c r="D719">
        <v>8230.53185496</v>
      </c>
      <c r="E719">
        <v>31</v>
      </c>
      <c r="F719">
        <v>0.62</v>
      </c>
      <c r="G719" t="s">
        <v>2927</v>
      </c>
      <c r="H719" t="s">
        <v>2928</v>
      </c>
      <c r="I719">
        <v>300</v>
      </c>
      <c r="J719" t="s">
        <v>90</v>
      </c>
      <c r="K719" t="s">
        <v>440</v>
      </c>
      <c r="L719" t="s">
        <v>441</v>
      </c>
      <c r="M719">
        <v>118.3905</v>
      </c>
      <c r="N719">
        <v>0.473562</v>
      </c>
      <c r="O719">
        <v>1379.249325</v>
      </c>
      <c r="P719">
        <v>249065.19828</v>
      </c>
      <c r="Q719">
        <v>8.5836909871244635E-2</v>
      </c>
      <c r="R719">
        <v>706.483421027</v>
      </c>
      <c r="S719" t="s">
        <v>173</v>
      </c>
      <c r="T719" t="s">
        <v>93</v>
      </c>
      <c r="U719">
        <v>5</v>
      </c>
      <c r="V719" t="s">
        <v>119</v>
      </c>
      <c r="W719" t="s">
        <v>95</v>
      </c>
      <c r="X719" t="s">
        <v>96</v>
      </c>
      <c r="Y719" s="23" t="s">
        <v>120</v>
      </c>
      <c r="AA719">
        <v>17380</v>
      </c>
      <c r="AB719" t="s">
        <v>2929</v>
      </c>
      <c r="AC719" t="s">
        <v>2888</v>
      </c>
      <c r="AD719" s="28">
        <v>20</v>
      </c>
      <c r="AE719" s="2" t="s">
        <v>70</v>
      </c>
      <c r="AF719" t="str">
        <f>_xlfn.CONCAT(FINI_grouping_for_wheel[[#This Row],[SEFI/Plant]],"/",IF(FINI_grouping_for_wheel[[#This Row],[RESET recipe combination]]&lt;&gt;"",FINI_grouping_for_wheel[[#This Row],[RESET recipe combination]],FINI_grouping_for_wheel[[#This Row],[Recipe Combination]]),"/",FINI_grouping_for_wheel[[#This Row],[Subgroup]])</f>
        <v>4677102/THDP/x/20</v>
      </c>
      <c r="AG7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0.020020020020020023</v>
      </c>
      <c r="AH719">
        <f>_xlfn.LET(_xlpm.pct, FINI_grouping_for_wheel[[#This Row],[% forecast within subgroup]], _xlpm.lote, FINI_grouping_for_wheel[[#This Row],[Lot size considered]], _xlpm.pct*_xlpm.lote)</f>
        <v>164.77541251171172</v>
      </c>
      <c r="AI719" cm="1">
        <f t="array" aca="1" ref="AI719" ca="1">IFERROR(INDIRECT("FINI_grouping_for_wheel[@["&amp;FINI_grouping_for_wheel[[#This Row],[Selected PV]]&amp;"]]"),"")</f>
        <v>319</v>
      </c>
      <c r="AJ71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7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719" s="4"/>
      <c r="AM71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319</v>
      </c>
      <c r="AN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1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19" t="str">
        <f>_xlfn.CONCAT(FINI_grouping_for_wheel[[#This Row],[Recipe Combination]],FINI_grouping_for_wheel[[#This Row],[Subgroup]])</f>
        <v>P20</v>
      </c>
    </row>
    <row r="720" spans="1:55" hidden="1">
      <c r="A720" t="s">
        <v>11</v>
      </c>
      <c r="B720">
        <v>4524765</v>
      </c>
      <c r="C720" t="s">
        <v>2930</v>
      </c>
      <c r="D720">
        <v>7744.14144098</v>
      </c>
      <c r="E720">
        <v>30</v>
      </c>
      <c r="F720">
        <v>0.6</v>
      </c>
      <c r="G720" t="s">
        <v>2931</v>
      </c>
      <c r="H720" t="s">
        <v>2932</v>
      </c>
      <c r="I720">
        <v>420</v>
      </c>
      <c r="J720" t="s">
        <v>90</v>
      </c>
      <c r="K720" t="s">
        <v>841</v>
      </c>
      <c r="L720" t="s">
        <v>842</v>
      </c>
      <c r="M720">
        <v>2586.832425</v>
      </c>
      <c r="N720">
        <v>10.3473297</v>
      </c>
      <c r="O720">
        <v>4446.74718</v>
      </c>
      <c r="P720">
        <v>225694.91358</v>
      </c>
      <c r="Q720">
        <v>0.58173588924387643</v>
      </c>
      <c r="R720">
        <v>4505.0450076</v>
      </c>
      <c r="S720" t="s">
        <v>266</v>
      </c>
      <c r="T720" t="s">
        <v>93</v>
      </c>
      <c r="U720">
        <v>1</v>
      </c>
      <c r="V720" t="s">
        <v>843</v>
      </c>
      <c r="W720" t="s">
        <v>142</v>
      </c>
      <c r="X720" t="s">
        <v>150</v>
      </c>
      <c r="Y720" s="23" t="s">
        <v>151</v>
      </c>
      <c r="AA720">
        <v>748</v>
      </c>
      <c r="AB720" t="s">
        <v>2933</v>
      </c>
      <c r="AC720" t="s">
        <v>2934</v>
      </c>
      <c r="AD720" s="2">
        <v>3</v>
      </c>
      <c r="AE720" s="2" t="s">
        <v>70</v>
      </c>
      <c r="AF720" t="str">
        <f>_xlfn.CONCAT(FINI_grouping_for_wheel[[#This Row],[SEFI/Plant]],"/",IF(FINI_grouping_for_wheel[[#This Row],[RESET recipe combination]]&lt;&gt;"",FINI_grouping_for_wheel[[#This Row],[RESET recipe combination]],FINI_grouping_for_wheel[[#This Row],[Recipe Combination]]),"/",FINI_grouping_for_wheel[[#This Row],[Subgroup]])</f>
        <v>4524765/THDP/x/3</v>
      </c>
      <c r="AG7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0.3855655549673549</v>
      </c>
      <c r="AH720">
        <f>_xlfn.LET(_xlpm.pct, FINI_grouping_for_wheel[[#This Row],[% forecast within subgroup]], _xlpm.lote, FINI_grouping_for_wheel[[#This Row],[Lot size considered]], _xlpm.pct*_xlpm.lote)</f>
        <v>2985.874192437145</v>
      </c>
      <c r="AI720" cm="1">
        <f t="array" aca="1" ref="AI720" ca="1">IFERROR(INDIRECT("FINI_grouping_for_wheel[@["&amp;FINI_grouping_for_wheel[[#This Row],[Selected PV]]&amp;"]]"),"")</f>
        <v>281</v>
      </c>
      <c r="AJ72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8.2</v>
      </c>
      <c r="AL720" s="4"/>
      <c r="AM72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281</v>
      </c>
      <c r="AN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2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20" t="str">
        <f>_xlfn.CONCAT(FINI_grouping_for_wheel[[#This Row],[Recipe Combination]],FINI_grouping_for_wheel[[#This Row],[Subgroup]])</f>
        <v>13</v>
      </c>
    </row>
    <row r="721" spans="1:55" hidden="1">
      <c r="A721" t="s">
        <v>11</v>
      </c>
      <c r="B721">
        <v>4524765</v>
      </c>
      <c r="C721" t="s">
        <v>2930</v>
      </c>
      <c r="D721">
        <v>7744.14144098</v>
      </c>
      <c r="E721">
        <v>30</v>
      </c>
      <c r="F721">
        <v>0.6</v>
      </c>
      <c r="G721" t="s">
        <v>2935</v>
      </c>
      <c r="H721" t="s">
        <v>2936</v>
      </c>
      <c r="I721">
        <v>420</v>
      </c>
      <c r="J721" t="s">
        <v>90</v>
      </c>
      <c r="K721" t="s">
        <v>841</v>
      </c>
      <c r="L721" t="s">
        <v>842</v>
      </c>
      <c r="M721">
        <v>1859.914755</v>
      </c>
      <c r="N721">
        <v>7.43965902</v>
      </c>
      <c r="O721">
        <v>4446.74718</v>
      </c>
      <c r="P721">
        <v>225694.91358</v>
      </c>
      <c r="Q721">
        <v>0.41826411075612352</v>
      </c>
      <c r="R721">
        <v>3239.09643338</v>
      </c>
      <c r="S721" t="s">
        <v>266</v>
      </c>
      <c r="T721" t="s">
        <v>93</v>
      </c>
      <c r="U721">
        <v>1</v>
      </c>
      <c r="V721" t="s">
        <v>843</v>
      </c>
      <c r="W721" t="s">
        <v>142</v>
      </c>
      <c r="X721" t="s">
        <v>150</v>
      </c>
      <c r="Y721" s="23" t="s">
        <v>151</v>
      </c>
      <c r="AA721">
        <v>1041</v>
      </c>
      <c r="AB721" t="s">
        <v>2937</v>
      </c>
      <c r="AC721" t="s">
        <v>2934</v>
      </c>
      <c r="AD721" s="2">
        <v>3</v>
      </c>
      <c r="AE721" s="2" t="s">
        <v>70</v>
      </c>
      <c r="AF721" t="str">
        <f>_xlfn.CONCAT(FINI_grouping_for_wheel[[#This Row],[SEFI/Plant]],"/",IF(FINI_grouping_for_wheel[[#This Row],[RESET recipe combination]]&lt;&gt;"",FINI_grouping_for_wheel[[#This Row],[RESET recipe combination]],FINI_grouping_for_wheel[[#This Row],[Recipe Combination]]),"/",FINI_grouping_for_wheel[[#This Row],[Subgroup]])</f>
        <v>4524765/THDP/x/3</v>
      </c>
      <c r="AG7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0.2772189871184048</v>
      </c>
      <c r="AH721">
        <f>_xlfn.LET(_xlpm.pct, FINI_grouping_for_wheel[[#This Row],[% forecast within subgroup]], _xlpm.lote, FINI_grouping_for_wheel[[#This Row],[Lot size considered]], _xlpm.pct*_xlpm.lote)</f>
        <v>2146.8230463701393</v>
      </c>
      <c r="AI721" cm="1">
        <f t="array" aca="1" ref="AI721" ca="1">IFERROR(INDIRECT("FINI_grouping_for_wheel[@["&amp;FINI_grouping_for_wheel[[#This Row],[Selected PV]]&amp;"]]"),"")</f>
        <v>281</v>
      </c>
      <c r="AJ72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5.9</v>
      </c>
      <c r="AL721" s="4"/>
      <c r="AM72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281</v>
      </c>
      <c r="AN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2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21" t="str">
        <f>_xlfn.CONCAT(FINI_grouping_for_wheel[[#This Row],[Recipe Combination]],FINI_grouping_for_wheel[[#This Row],[Subgroup]])</f>
        <v>13</v>
      </c>
    </row>
    <row r="722" spans="1:55" hidden="1">
      <c r="A722" t="s">
        <v>11</v>
      </c>
      <c r="B722">
        <v>4524765</v>
      </c>
      <c r="C722" t="s">
        <v>2930</v>
      </c>
      <c r="D722">
        <v>7744.14144098</v>
      </c>
      <c r="E722">
        <v>30</v>
      </c>
      <c r="F722">
        <v>0.6</v>
      </c>
      <c r="G722" t="s">
        <v>2938</v>
      </c>
      <c r="H722" t="s">
        <v>2939</v>
      </c>
      <c r="I722">
        <v>384</v>
      </c>
      <c r="J722" t="s">
        <v>90</v>
      </c>
      <c r="K722" t="s">
        <v>2940</v>
      </c>
      <c r="L722" t="s">
        <v>2941</v>
      </c>
      <c r="M722">
        <v>18393.14808</v>
      </c>
      <c r="N722">
        <v>73.57259232</v>
      </c>
      <c r="O722">
        <v>25813.86462</v>
      </c>
      <c r="P722">
        <v>225694.91358</v>
      </c>
      <c r="Q722">
        <v>0.71252981104384516</v>
      </c>
      <c r="R722">
        <v>5517.93163764</v>
      </c>
      <c r="S722" t="s">
        <v>165</v>
      </c>
      <c r="T722" t="s">
        <v>93</v>
      </c>
      <c r="U722">
        <v>4</v>
      </c>
      <c r="V722" t="s">
        <v>347</v>
      </c>
      <c r="W722" t="s">
        <v>95</v>
      </c>
      <c r="X722" t="s">
        <v>96</v>
      </c>
      <c r="Y722" s="23" t="s">
        <v>107</v>
      </c>
      <c r="AA722">
        <v>105</v>
      </c>
      <c r="AB722" t="s">
        <v>2942</v>
      </c>
      <c r="AC722" t="s">
        <v>2934</v>
      </c>
      <c r="AD722" s="2">
        <v>4</v>
      </c>
      <c r="AE722" s="2" t="s">
        <v>70</v>
      </c>
      <c r="AF722" t="str">
        <f>_xlfn.CONCAT(FINI_grouping_for_wheel[[#This Row],[SEFI/Plant]],"/",IF(FINI_grouping_for_wheel[[#This Row],[RESET recipe combination]]&lt;&gt;"",FINI_grouping_for_wheel[[#This Row],[RESET recipe combination]],FINI_grouping_for_wheel[[#This Row],[Recipe Combination]]),"/",FINI_grouping_for_wheel[[#This Row],[Subgroup]])</f>
        <v>4524765/THDP/x/4</v>
      </c>
      <c r="AG7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0.7125298110438452</v>
      </c>
      <c r="AH722">
        <f>_xlfn.LET(_xlpm.pct, FINI_grouping_for_wheel[[#This Row],[% forecast within subgroup]], _xlpm.lote, FINI_grouping_for_wheel[[#This Row],[Lot size considered]], _xlpm.pct*_xlpm.lote)</f>
        <v>5517.93163763829</v>
      </c>
      <c r="AI722" cm="1">
        <f t="array" aca="1" ref="AI722" ca="1">IFERROR(INDIRECT("FINI_grouping_for_wheel[@["&amp;FINI_grouping_for_wheel[[#This Row],[Selected PV]]&amp;"]]"),"")</f>
        <v>73</v>
      </c>
      <c r="AJ72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16.5</v>
      </c>
      <c r="AL722" s="4"/>
      <c r="AM72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73</v>
      </c>
      <c r="AN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2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22" t="str">
        <f>_xlfn.CONCAT(FINI_grouping_for_wheel[[#This Row],[Recipe Combination]],FINI_grouping_for_wheel[[#This Row],[Subgroup]])</f>
        <v>N4</v>
      </c>
    </row>
    <row r="723" spans="1:55" hidden="1">
      <c r="A723" t="s">
        <v>11</v>
      </c>
      <c r="B723">
        <v>4524765</v>
      </c>
      <c r="C723" t="s">
        <v>2930</v>
      </c>
      <c r="D723">
        <v>7744.14144098</v>
      </c>
      <c r="E723">
        <v>30</v>
      </c>
      <c r="F723">
        <v>0.6</v>
      </c>
      <c r="G723" t="s">
        <v>2943</v>
      </c>
      <c r="H723" t="s">
        <v>2944</v>
      </c>
      <c r="I723">
        <v>384</v>
      </c>
      <c r="J723" t="s">
        <v>90</v>
      </c>
      <c r="K723" t="s">
        <v>2945</v>
      </c>
      <c r="L723" t="s">
        <v>2946</v>
      </c>
      <c r="M723">
        <v>7420.71654</v>
      </c>
      <c r="N723">
        <v>29.68286616</v>
      </c>
      <c r="O723">
        <v>25813.86462</v>
      </c>
      <c r="P723">
        <v>225694.91358</v>
      </c>
      <c r="Q723">
        <v>0.28747018895615484</v>
      </c>
      <c r="R723">
        <v>2226.20980334</v>
      </c>
      <c r="S723" t="s">
        <v>165</v>
      </c>
      <c r="T723" t="s">
        <v>93</v>
      </c>
      <c r="U723">
        <v>4</v>
      </c>
      <c r="V723" t="s">
        <v>347</v>
      </c>
      <c r="W723" t="s">
        <v>95</v>
      </c>
      <c r="X723" t="s">
        <v>96</v>
      </c>
      <c r="Y723" s="23" t="s">
        <v>107</v>
      </c>
      <c r="AA723">
        <v>261</v>
      </c>
      <c r="AB723" t="s">
        <v>2947</v>
      </c>
      <c r="AC723" t="s">
        <v>2934</v>
      </c>
      <c r="AD723" s="2">
        <v>4</v>
      </c>
      <c r="AE723" s="2" t="s">
        <v>70</v>
      </c>
      <c r="AF723" t="str">
        <f>_xlfn.CONCAT(FINI_grouping_for_wheel[[#This Row],[SEFI/Plant]],"/",IF(FINI_grouping_for_wheel[[#This Row],[RESET recipe combination]]&lt;&gt;"",FINI_grouping_for_wheel[[#This Row],[RESET recipe combination]],FINI_grouping_for_wheel[[#This Row],[Recipe Combination]]),"/",FINI_grouping_for_wheel[[#This Row],[Subgroup]])</f>
        <v>4524765/THDP/x/4</v>
      </c>
      <c r="AG7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0.28747018895615484</v>
      </c>
      <c r="AH723">
        <f>_xlfn.LET(_xlpm.pct, FINI_grouping_for_wheel[[#This Row],[% forecast within subgroup]], _xlpm.lote, FINI_grouping_for_wheel[[#This Row],[Lot size considered]], _xlpm.pct*_xlpm.lote)</f>
        <v>2226.2098033417096</v>
      </c>
      <c r="AI723" cm="1">
        <f t="array" aca="1" ref="AI723" ca="1">IFERROR(INDIRECT("FINI_grouping_for_wheel[@["&amp;FINI_grouping_for_wheel[[#This Row],[Selected PV]]&amp;"]]"),"")</f>
        <v>73</v>
      </c>
      <c r="AJ72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6.6</v>
      </c>
      <c r="AL723" s="4"/>
      <c r="AM72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73</v>
      </c>
      <c r="AN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2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23" t="str">
        <f>_xlfn.CONCAT(FINI_grouping_for_wheel[[#This Row],[Recipe Combination]],FINI_grouping_for_wheel[[#This Row],[Subgroup]])</f>
        <v>N4</v>
      </c>
    </row>
    <row r="724" spans="1:55" hidden="1">
      <c r="A724" t="s">
        <v>11</v>
      </c>
      <c r="B724">
        <v>4524765</v>
      </c>
      <c r="C724" t="s">
        <v>2930</v>
      </c>
      <c r="D724">
        <v>7744.14144098</v>
      </c>
      <c r="E724">
        <v>30</v>
      </c>
      <c r="F724">
        <v>0.6</v>
      </c>
      <c r="G724" t="s">
        <v>2948</v>
      </c>
      <c r="H724" t="s">
        <v>2949</v>
      </c>
      <c r="I724">
        <v>384</v>
      </c>
      <c r="J724" t="s">
        <v>90</v>
      </c>
      <c r="K724" t="s">
        <v>2950</v>
      </c>
      <c r="L724" t="s">
        <v>2951</v>
      </c>
      <c r="M724">
        <v>9111.33288</v>
      </c>
      <c r="N724">
        <v>36.44533152</v>
      </c>
      <c r="O724">
        <v>22481.172045</v>
      </c>
      <c r="P724">
        <v>225694.91358</v>
      </c>
      <c r="Q724">
        <v>0.40528727157828215</v>
      </c>
      <c r="R724">
        <v>3138.60195533</v>
      </c>
      <c r="S724" t="s">
        <v>346</v>
      </c>
      <c r="T724" t="s">
        <v>93</v>
      </c>
      <c r="U724">
        <v>4</v>
      </c>
      <c r="V724" t="s">
        <v>347</v>
      </c>
      <c r="W724" t="s">
        <v>95</v>
      </c>
      <c r="X724" t="s">
        <v>96</v>
      </c>
      <c r="Y724" s="23" t="s">
        <v>107</v>
      </c>
      <c r="AA724">
        <v>212</v>
      </c>
      <c r="AB724" t="s">
        <v>2952</v>
      </c>
      <c r="AC724" t="s">
        <v>2934</v>
      </c>
      <c r="AD724" s="2">
        <v>5</v>
      </c>
      <c r="AE724" s="2" t="s">
        <v>70</v>
      </c>
      <c r="AF724" t="str">
        <f>_xlfn.CONCAT(FINI_grouping_for_wheel[[#This Row],[SEFI/Plant]],"/",IF(FINI_grouping_for_wheel[[#This Row],[RESET recipe combination]]&lt;&gt;"",FINI_grouping_for_wheel[[#This Row],[RESET recipe combination]],FINI_grouping_for_wheel[[#This Row],[Recipe Combination]]),"/",FINI_grouping_for_wheel[[#This Row],[Subgroup]])</f>
        <v>4524765/THDP/x/5</v>
      </c>
      <c r="AG7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0.41420882669537135</v>
      </c>
      <c r="AH724">
        <f>_xlfn.LET(_xlpm.pct, FINI_grouping_for_wheel[[#This Row],[% forecast within subgroup]], _xlpm.lote, FINI_grouping_for_wheel[[#This Row],[Lot size considered]], _xlpm.pct*_xlpm.lote)</f>
        <v>3207.691740031328</v>
      </c>
      <c r="AI724" cm="1">
        <f t="array" aca="1" ref="AI724" ca="1">IFERROR(INDIRECT("FINI_grouping_for_wheel[@["&amp;FINI_grouping_for_wheel[[#This Row],[Selected PV]]&amp;"]]"),"")</f>
        <v>86</v>
      </c>
      <c r="AJ72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9.6</v>
      </c>
      <c r="AL724" s="4"/>
      <c r="AM72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86</v>
      </c>
      <c r="AN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2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24" t="str">
        <f>_xlfn.CONCAT(FINI_grouping_for_wheel[[#This Row],[Recipe Combination]],FINI_grouping_for_wheel[[#This Row],[Subgroup]])</f>
        <v>Q5</v>
      </c>
    </row>
    <row r="725" spans="1:55" hidden="1">
      <c r="A725" t="s">
        <v>11</v>
      </c>
      <c r="B725">
        <v>4524765</v>
      </c>
      <c r="C725" t="s">
        <v>2930</v>
      </c>
      <c r="D725">
        <v>7744.14144098</v>
      </c>
      <c r="E725">
        <v>30</v>
      </c>
      <c r="F725">
        <v>0.6</v>
      </c>
      <c r="G725" t="s">
        <v>2953</v>
      </c>
      <c r="H725" t="s">
        <v>2954</v>
      </c>
      <c r="I725">
        <v>384</v>
      </c>
      <c r="J725" t="s">
        <v>90</v>
      </c>
      <c r="K725" t="s">
        <v>2955</v>
      </c>
      <c r="L725" t="s">
        <v>2956</v>
      </c>
      <c r="M725">
        <v>11976.38298</v>
      </c>
      <c r="N725">
        <v>47.90553192</v>
      </c>
      <c r="O725">
        <v>22481.172045</v>
      </c>
      <c r="P725">
        <v>225694.91358</v>
      </c>
      <c r="Q725">
        <v>0.53272947495918688</v>
      </c>
      <c r="R725">
        <v>4125.53240386</v>
      </c>
      <c r="S725" t="s">
        <v>346</v>
      </c>
      <c r="T725" t="s">
        <v>93</v>
      </c>
      <c r="U725">
        <v>4</v>
      </c>
      <c r="V725" t="s">
        <v>347</v>
      </c>
      <c r="W725" t="s">
        <v>95</v>
      </c>
      <c r="X725" t="s">
        <v>96</v>
      </c>
      <c r="Y725" s="23" t="s">
        <v>107</v>
      </c>
      <c r="AA725">
        <v>162</v>
      </c>
      <c r="AB725" t="s">
        <v>2957</v>
      </c>
      <c r="AC725" t="s">
        <v>2934</v>
      </c>
      <c r="AD725" s="2">
        <v>5</v>
      </c>
      <c r="AE725" s="2" t="s">
        <v>70</v>
      </c>
      <c r="AF725" t="str">
        <f>_xlfn.CONCAT(FINI_grouping_for_wheel[[#This Row],[SEFI/Plant]],"/",IF(FINI_grouping_for_wheel[[#This Row],[RESET recipe combination]]&lt;&gt;"",FINI_grouping_for_wheel[[#This Row],[RESET recipe combination]],FINI_grouping_for_wheel[[#This Row],[Recipe Combination]]),"/",FINI_grouping_for_wheel[[#This Row],[Subgroup]])</f>
        <v>4524765/THDP/x/5</v>
      </c>
      <c r="AG7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0.5444564047362755</v>
      </c>
      <c r="AH725">
        <f>_xlfn.LET(_xlpm.pct, FINI_grouping_for_wheel[[#This Row],[% forecast within subgroup]], _xlpm.lote, FINI_grouping_for_wheel[[#This Row],[Lot size considered]], _xlpm.pct*_xlpm.lote)</f>
        <v>4216.347406725171</v>
      </c>
      <c r="AI725" cm="1">
        <f t="array" aca="1" ref="AI725" ca="1">IFERROR(INDIRECT("FINI_grouping_for_wheel[@["&amp;FINI_grouping_for_wheel[[#This Row],[Selected PV]]&amp;"]]"),"")</f>
        <v>86</v>
      </c>
      <c r="AJ72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12.6</v>
      </c>
      <c r="AL725" s="4"/>
      <c r="AM72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86</v>
      </c>
      <c r="AN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2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25" t="str">
        <f>_xlfn.CONCAT(FINI_grouping_for_wheel[[#This Row],[Recipe Combination]],FINI_grouping_for_wheel[[#This Row],[Subgroup]])</f>
        <v>Q5</v>
      </c>
    </row>
    <row r="726" spans="1:55" hidden="1">
      <c r="A726" t="s">
        <v>11</v>
      </c>
      <c r="B726">
        <v>4524765</v>
      </c>
      <c r="C726" t="s">
        <v>2930</v>
      </c>
      <c r="D726">
        <v>7744.14144098</v>
      </c>
      <c r="E726">
        <v>30</v>
      </c>
      <c r="F726">
        <v>0.6</v>
      </c>
      <c r="G726" t="s">
        <v>2958</v>
      </c>
      <c r="H726" t="s">
        <v>2959</v>
      </c>
      <c r="I726">
        <v>384</v>
      </c>
      <c r="J726" t="s">
        <v>90</v>
      </c>
      <c r="K726" t="s">
        <v>2960</v>
      </c>
      <c r="L726" t="s">
        <v>2961</v>
      </c>
      <c r="M726">
        <v>909.23904</v>
      </c>
      <c r="N726">
        <v>3.63695616</v>
      </c>
      <c r="O726">
        <v>22481.172045</v>
      </c>
      <c r="P726">
        <v>225694.91358</v>
      </c>
      <c r="Q726">
        <v>4.0444467849807784E-2</v>
      </c>
      <c r="R726">
        <v>313.207679534</v>
      </c>
      <c r="S726" t="s">
        <v>346</v>
      </c>
      <c r="T726" t="s">
        <v>93</v>
      </c>
      <c r="U726">
        <v>4</v>
      </c>
      <c r="V726" t="s">
        <v>347</v>
      </c>
      <c r="W726" t="s">
        <v>95</v>
      </c>
      <c r="X726" t="s">
        <v>96</v>
      </c>
      <c r="Y726" s="23" t="s">
        <v>107</v>
      </c>
      <c r="AA726">
        <v>2129</v>
      </c>
      <c r="AB726" t="s">
        <v>2962</v>
      </c>
      <c r="AC726" t="s">
        <v>2934</v>
      </c>
      <c r="AD726" s="2">
        <v>5</v>
      </c>
      <c r="AE726" s="2" t="s">
        <v>70</v>
      </c>
      <c r="AF726" t="str">
        <f>_xlfn.CONCAT(FINI_grouping_for_wheel[[#This Row],[SEFI/Plant]],"/",IF(FINI_grouping_for_wheel[[#This Row],[RESET recipe combination]]&lt;&gt;"",FINI_grouping_for_wheel[[#This Row],[RESET recipe combination]],FINI_grouping_for_wheel[[#This Row],[Recipe Combination]]),"/",FINI_grouping_for_wheel[[#This Row],[Subgroup]])</f>
        <v>4524765/THDP/x/5</v>
      </c>
      <c r="AG7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0.04133476856835307</v>
      </c>
      <c r="AH726">
        <f>_xlfn.LET(_xlpm.pct, FINI_grouping_for_wheel[[#This Row],[% forecast within subgroup]], _xlpm.lote, FINI_grouping_for_wheel[[#This Row],[Lot size considered]], _xlpm.pct*_xlpm.lote)</f>
        <v>320.1022942235005</v>
      </c>
      <c r="AI726" cm="1">
        <f t="array" aca="1" ref="AI726" ca="1">IFERROR(INDIRECT("FINI_grouping_for_wheel[@["&amp;FINI_grouping_for_wheel[[#This Row],[Selected PV]]&amp;"]]"),"")</f>
        <v>86</v>
      </c>
      <c r="AJ72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v>
      </c>
      <c r="AL726" s="4"/>
      <c r="AM72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86</v>
      </c>
      <c r="AN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2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26" t="str">
        <f>_xlfn.CONCAT(FINI_grouping_for_wheel[[#This Row],[Recipe Combination]],FINI_grouping_for_wheel[[#This Row],[Subgroup]])</f>
        <v>Q5</v>
      </c>
    </row>
    <row r="727" spans="1:55" hidden="1">
      <c r="A727" t="s">
        <v>11</v>
      </c>
      <c r="B727">
        <v>4524765</v>
      </c>
      <c r="C727" t="s">
        <v>2930</v>
      </c>
      <c r="D727">
        <v>7744.14144098</v>
      </c>
      <c r="E727">
        <v>30</v>
      </c>
      <c r="F727">
        <v>0.6</v>
      </c>
      <c r="G727" t="s">
        <v>2963</v>
      </c>
      <c r="H727" t="s">
        <v>2964</v>
      </c>
      <c r="I727">
        <v>432</v>
      </c>
      <c r="J727" t="s">
        <v>90</v>
      </c>
      <c r="K727" t="s">
        <v>2965</v>
      </c>
      <c r="L727" t="s">
        <v>2966</v>
      </c>
      <c r="M727">
        <v>484.217145</v>
      </c>
      <c r="N727">
        <v>1.93686858</v>
      </c>
      <c r="O727">
        <v>22481.172045</v>
      </c>
      <c r="P727">
        <v>225694.91358</v>
      </c>
      <c r="Q727">
        <v>2.1538785612723155E-2</v>
      </c>
      <c r="R727">
        <v>166.799402252</v>
      </c>
      <c r="S727" t="s">
        <v>346</v>
      </c>
      <c r="T727" t="s">
        <v>93</v>
      </c>
      <c r="U727">
        <v>0.75</v>
      </c>
      <c r="V727" t="s">
        <v>2967</v>
      </c>
      <c r="W727" t="s">
        <v>142</v>
      </c>
      <c r="X727" t="s">
        <v>150</v>
      </c>
      <c r="Y727" s="23" t="s">
        <v>151</v>
      </c>
      <c r="AA727">
        <v>3998</v>
      </c>
      <c r="AB727" t="s">
        <v>2968</v>
      </c>
      <c r="AC727" t="s">
        <v>2934</v>
      </c>
      <c r="AD727" s="2">
        <v>3</v>
      </c>
      <c r="AE727" s="2" t="s">
        <v>70</v>
      </c>
      <c r="AF727" t="str">
        <f>_xlfn.CONCAT(FINI_grouping_for_wheel[[#This Row],[SEFI/Plant]],"/",IF(FINI_grouping_for_wheel[[#This Row],[RESET recipe combination]]&lt;&gt;"",FINI_grouping_for_wheel[[#This Row],[RESET recipe combination]],FINI_grouping_for_wheel[[#This Row],[Recipe Combination]]),"/",FINI_grouping_for_wheel[[#This Row],[Subgroup]])</f>
        <v>4524765/THDP/x/3</v>
      </c>
      <c r="AG7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0.0721722251632257</v>
      </c>
      <c r="AH727">
        <f>_xlfn.LET(_xlpm.pct, FINI_grouping_for_wheel[[#This Row],[% forecast within subgroup]], _xlpm.lote, FINI_grouping_for_wheel[[#This Row],[Lot size considered]], _xlpm.pct*_xlpm.lote)</f>
        <v>558.9119197742757</v>
      </c>
      <c r="AI727" cm="1">
        <f t="array" aca="1" ref="AI727" ca="1">IFERROR(INDIRECT("FINI_grouping_for_wheel[@["&amp;FINI_grouping_for_wheel[[#This Row],[Selected PV]]&amp;"]]"),"")</f>
        <v>281</v>
      </c>
      <c r="AJ72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727" s="4"/>
      <c r="AM72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281</v>
      </c>
      <c r="AN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2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27" t="str">
        <f>_xlfn.CONCAT(FINI_grouping_for_wheel[[#This Row],[Recipe Combination]],FINI_grouping_for_wheel[[#This Row],[Subgroup]])</f>
        <v>Q3</v>
      </c>
    </row>
    <row r="728" spans="1:55" hidden="1">
      <c r="A728" t="s">
        <v>11</v>
      </c>
      <c r="B728">
        <v>4524765</v>
      </c>
      <c r="C728" t="s">
        <v>2930</v>
      </c>
      <c r="D728">
        <v>7744.14144098</v>
      </c>
      <c r="E728">
        <v>30</v>
      </c>
      <c r="F728">
        <v>0.6</v>
      </c>
      <c r="G728" t="s">
        <v>2969</v>
      </c>
      <c r="H728" t="s">
        <v>2970</v>
      </c>
      <c r="I728">
        <v>405</v>
      </c>
      <c r="J728" t="s">
        <v>90</v>
      </c>
      <c r="K728" t="s">
        <v>2878</v>
      </c>
      <c r="L728" t="s">
        <v>2879</v>
      </c>
      <c r="M728">
        <v>1778.22531</v>
      </c>
      <c r="N728">
        <v>7.11290124</v>
      </c>
      <c r="O728">
        <v>1778.22531</v>
      </c>
      <c r="P728">
        <v>225694.91358</v>
      </c>
      <c r="Q728">
        <v>1</v>
      </c>
      <c r="R728">
        <v>7744.14144098</v>
      </c>
      <c r="S728" t="s">
        <v>356</v>
      </c>
      <c r="T728" t="s">
        <v>93</v>
      </c>
      <c r="U728">
        <v>0.75</v>
      </c>
      <c r="V728" t="s">
        <v>610</v>
      </c>
      <c r="W728" t="s">
        <v>142</v>
      </c>
      <c r="X728" t="s">
        <v>150</v>
      </c>
      <c r="Y728" s="23" t="s">
        <v>151</v>
      </c>
      <c r="AA728">
        <v>1089</v>
      </c>
      <c r="AB728" t="s">
        <v>2971</v>
      </c>
      <c r="AC728" t="s">
        <v>2934</v>
      </c>
      <c r="AD728" s="2">
        <v>3</v>
      </c>
      <c r="AE728" s="2" t="s">
        <v>70</v>
      </c>
      <c r="AF728" t="str">
        <f>_xlfn.CONCAT(FINI_grouping_for_wheel[[#This Row],[SEFI/Plant]],"/",IF(FINI_grouping_for_wheel[[#This Row],[RESET recipe combination]]&lt;&gt;"",FINI_grouping_for_wheel[[#This Row],[RESET recipe combination]],FINI_grouping_for_wheel[[#This Row],[Recipe Combination]]),"/",FINI_grouping_for_wheel[[#This Row],[Subgroup]])</f>
        <v>4524765/THDP/x/3</v>
      </c>
      <c r="AG7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0.26504323275101466</v>
      </c>
      <c r="AH728">
        <f>_xlfn.LET(_xlpm.pct, FINI_grouping_for_wheel[[#This Row],[% forecast within subgroup]], _xlpm.lote, FINI_grouping_for_wheel[[#This Row],[Lot size considered]], _xlpm.pct*_xlpm.lote)</f>
        <v>2052.53228239844</v>
      </c>
      <c r="AI728" cm="1">
        <f t="array" aca="1" ref="AI728" ca="1">IFERROR(INDIRECT("FINI_grouping_for_wheel[@["&amp;FINI_grouping_for_wheel[[#This Row],[Selected PV]]&amp;"]]"),"")</f>
        <v>281</v>
      </c>
      <c r="AJ72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5.8</v>
      </c>
      <c r="AL728" s="4"/>
      <c r="AM72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281</v>
      </c>
      <c r="AN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2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28" t="str">
        <f>_xlfn.CONCAT(FINI_grouping_for_wheel[[#This Row],[Recipe Combination]],FINI_grouping_for_wheel[[#This Row],[Subgroup]])</f>
        <v>R3</v>
      </c>
    </row>
    <row r="729" spans="1:55" hidden="1">
      <c r="A729" t="s">
        <v>11</v>
      </c>
      <c r="B729">
        <v>4524765</v>
      </c>
      <c r="C729" t="s">
        <v>2930</v>
      </c>
      <c r="D729">
        <v>7744.14144098</v>
      </c>
      <c r="E729">
        <v>30</v>
      </c>
      <c r="F729">
        <v>0.6</v>
      </c>
      <c r="G729" t="s">
        <v>2972</v>
      </c>
      <c r="H729" t="s">
        <v>2973</v>
      </c>
      <c r="I729">
        <v>405</v>
      </c>
      <c r="J729" t="s">
        <v>90</v>
      </c>
      <c r="K729" t="s">
        <v>2974</v>
      </c>
      <c r="L729" t="s">
        <v>2975</v>
      </c>
      <c r="M729">
        <v>39974.552325</v>
      </c>
      <c r="N729">
        <v>159.8982093</v>
      </c>
      <c r="O729">
        <v>171174.904425</v>
      </c>
      <c r="P729">
        <v>225694.91358</v>
      </c>
      <c r="Q729">
        <v>0.23353044921672372</v>
      </c>
      <c r="R729">
        <v>1808.49282951</v>
      </c>
      <c r="S729" t="s">
        <v>387</v>
      </c>
      <c r="T729" t="s">
        <v>93</v>
      </c>
      <c r="U729">
        <v>15</v>
      </c>
      <c r="V729" t="s">
        <v>408</v>
      </c>
      <c r="W729" t="s">
        <v>95</v>
      </c>
      <c r="X729" t="s">
        <v>96</v>
      </c>
      <c r="Y729" s="23" t="s">
        <v>97</v>
      </c>
      <c r="AA729">
        <v>48</v>
      </c>
      <c r="AB729" t="s">
        <v>2976</v>
      </c>
      <c r="AC729" t="s">
        <v>2934</v>
      </c>
      <c r="AD729" s="2">
        <v>1</v>
      </c>
      <c r="AE729" s="2" t="s">
        <v>70</v>
      </c>
      <c r="AF729" t="str">
        <f>_xlfn.CONCAT(FINI_grouping_for_wheel[[#This Row],[SEFI/Plant]],"/",IF(FINI_grouping_for_wheel[[#This Row],[RESET recipe combination]]&lt;&gt;"",FINI_grouping_for_wheel[[#This Row],[RESET recipe combination]],FINI_grouping_for_wheel[[#This Row],[Recipe Combination]]),"/",FINI_grouping_for_wheel[[#This Row],[Subgroup]])</f>
        <v>4524765/THDP/x/1</v>
      </c>
      <c r="AG7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0.5113584734211721</v>
      </c>
      <c r="AH729">
        <f>_xlfn.LET(_xlpm.pct, FINI_grouping_for_wheel[[#This Row],[% forecast within subgroup]], _xlpm.lote, FINI_grouping_for_wheel[[#This Row],[Lot size considered]], _xlpm.pct*_xlpm.lote)</f>
        <v>3960.0323452171688</v>
      </c>
      <c r="AI729" cm="1">
        <f t="array" aca="1" ref="AI729" ca="1">IFERROR(INDIRECT("FINI_grouping_for_wheel[@["&amp;FINI_grouping_for_wheel[[#This Row],[Selected PV]]&amp;"]]"),"")</f>
        <v>24</v>
      </c>
      <c r="AJ72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11.2</v>
      </c>
      <c r="AL729" s="4"/>
      <c r="AM72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v>
      </c>
      <c r="AN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2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29" t="str">
        <f>_xlfn.CONCAT(FINI_grouping_for_wheel[[#This Row],[Recipe Combination]],FINI_grouping_for_wheel[[#This Row],[Subgroup]])</f>
        <v>X1</v>
      </c>
    </row>
    <row r="730" spans="1:55" hidden="1">
      <c r="A730" t="s">
        <v>11</v>
      </c>
      <c r="B730">
        <v>4524765</v>
      </c>
      <c r="C730" t="s">
        <v>2930</v>
      </c>
      <c r="D730">
        <v>7744.14144098</v>
      </c>
      <c r="E730">
        <v>30</v>
      </c>
      <c r="F730">
        <v>0.6</v>
      </c>
      <c r="G730" t="s">
        <v>2977</v>
      </c>
      <c r="H730" t="s">
        <v>2978</v>
      </c>
      <c r="I730">
        <v>450</v>
      </c>
      <c r="J730" t="s">
        <v>90</v>
      </c>
      <c r="K730" t="s">
        <v>406</v>
      </c>
      <c r="L730" t="s">
        <v>407</v>
      </c>
      <c r="M730">
        <v>23405.80185</v>
      </c>
      <c r="N730">
        <v>93.6232074</v>
      </c>
      <c r="O730">
        <v>171174.904425</v>
      </c>
      <c r="P730">
        <v>225694.91358</v>
      </c>
      <c r="Q730">
        <v>0.13673617595186222</v>
      </c>
      <c r="R730">
        <v>1058.90428667</v>
      </c>
      <c r="S730" t="s">
        <v>387</v>
      </c>
      <c r="T730" t="s">
        <v>93</v>
      </c>
      <c r="U730">
        <v>15</v>
      </c>
      <c r="V730" t="s">
        <v>408</v>
      </c>
      <c r="W730" t="s">
        <v>142</v>
      </c>
      <c r="X730" t="s">
        <v>96</v>
      </c>
      <c r="Y730" s="23" t="s">
        <v>97</v>
      </c>
      <c r="AA730">
        <v>83</v>
      </c>
      <c r="AB730" t="s">
        <v>2979</v>
      </c>
      <c r="AC730" t="s">
        <v>2934</v>
      </c>
      <c r="AD730" s="2">
        <v>2</v>
      </c>
      <c r="AE730" s="2" t="s">
        <v>70</v>
      </c>
      <c r="AF730" t="str">
        <f>_xlfn.CONCAT(FINI_grouping_for_wheel[[#This Row],[SEFI/Plant]],"/",IF(FINI_grouping_for_wheel[[#This Row],[RESET recipe combination]]&lt;&gt;"",FINI_grouping_for_wheel[[#This Row],[RESET recipe combination]],FINI_grouping_for_wheel[[#This Row],[Recipe Combination]]),"/",FINI_grouping_for_wheel[[#This Row],[Subgroup]])</f>
        <v>4524765/THDP/x/2</v>
      </c>
      <c r="AG7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0.2516708038953599</v>
      </c>
      <c r="AH730">
        <f>_xlfn.LET(_xlpm.pct, FINI_grouping_for_wheel[[#This Row],[% forecast within subgroup]], _xlpm.lote, FINI_grouping_for_wheel[[#This Row],[Lot size considered]], _xlpm.pct*_xlpm.lote)</f>
        <v>1948.9743019308073</v>
      </c>
      <c r="AI730" cm="1">
        <f t="array" aca="1" ref="AI730" ca="1">IFERROR(INDIRECT("FINI_grouping_for_wheel[@["&amp;FINI_grouping_for_wheel[[#This Row],[Selected PV]]&amp;"]]"),"")</f>
        <v>20</v>
      </c>
      <c r="AJ73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v>
      </c>
      <c r="AL730" s="4"/>
      <c r="AM73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v>
      </c>
      <c r="AN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3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30" t="str">
        <f>_xlfn.CONCAT(FINI_grouping_for_wheel[[#This Row],[Recipe Combination]],FINI_grouping_for_wheel[[#This Row],[Subgroup]])</f>
        <v>X2</v>
      </c>
    </row>
    <row r="731" spans="1:55" hidden="1">
      <c r="A731" t="s">
        <v>11</v>
      </c>
      <c r="B731">
        <v>4524765</v>
      </c>
      <c r="C731" t="s">
        <v>2930</v>
      </c>
      <c r="D731">
        <v>7744.14144098</v>
      </c>
      <c r="E731">
        <v>30</v>
      </c>
      <c r="F731">
        <v>0.6</v>
      </c>
      <c r="G731" t="s">
        <v>2980</v>
      </c>
      <c r="H731" t="s">
        <v>2981</v>
      </c>
      <c r="I731">
        <v>495</v>
      </c>
      <c r="J731" t="s">
        <v>90</v>
      </c>
      <c r="K731" t="s">
        <v>2982</v>
      </c>
      <c r="L731" t="s">
        <v>2983</v>
      </c>
      <c r="M731">
        <v>38198.694825</v>
      </c>
      <c r="N731">
        <v>152.7947793</v>
      </c>
      <c r="O731">
        <v>171174.904425</v>
      </c>
      <c r="P731">
        <v>225694.91358</v>
      </c>
      <c r="Q731">
        <v>0.22315592903828199</v>
      </c>
      <c r="R731">
        <v>1728.15107786</v>
      </c>
      <c r="S731" t="s">
        <v>387</v>
      </c>
      <c r="T731" t="s">
        <v>93</v>
      </c>
      <c r="U731">
        <v>15</v>
      </c>
      <c r="V731" t="s">
        <v>408</v>
      </c>
      <c r="W731" t="s">
        <v>95</v>
      </c>
      <c r="X731" t="s">
        <v>96</v>
      </c>
      <c r="Y731" s="23" t="s">
        <v>97</v>
      </c>
      <c r="AA731">
        <v>51</v>
      </c>
      <c r="AB731" t="s">
        <v>2984</v>
      </c>
      <c r="AC731" t="s">
        <v>2934</v>
      </c>
      <c r="AD731" s="2">
        <v>1</v>
      </c>
      <c r="AE731" s="2" t="s">
        <v>70</v>
      </c>
      <c r="AF731" t="str">
        <f>_xlfn.CONCAT(FINI_grouping_for_wheel[[#This Row],[SEFI/Plant]],"/",IF(FINI_grouping_for_wheel[[#This Row],[RESET recipe combination]]&lt;&gt;"",FINI_grouping_for_wheel[[#This Row],[RESET recipe combination]],FINI_grouping_for_wheel[[#This Row],[Recipe Combination]]),"/",FINI_grouping_for_wheel[[#This Row],[Subgroup]])</f>
        <v>4524765/THDP/x/1</v>
      </c>
      <c r="AG7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0.4886415265788278</v>
      </c>
      <c r="AH731">
        <f>_xlfn.LET(_xlpm.pct, FINI_grouping_for_wheel[[#This Row],[% forecast within subgroup]], _xlpm.lote, FINI_grouping_for_wheel[[#This Row],[Lot size considered]], _xlpm.pct*_xlpm.lote)</f>
        <v>3784.1090957628307</v>
      </c>
      <c r="AI731" cm="1">
        <f t="array" aca="1" ref="AI731" ca="1">IFERROR(INDIRECT("FINI_grouping_for_wheel[@["&amp;FINI_grouping_for_wheel[[#This Row],[Selected PV]]&amp;"]]"),"")</f>
        <v>24</v>
      </c>
      <c r="AJ73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8.8</v>
      </c>
      <c r="AL731" s="4"/>
      <c r="AM73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v>
      </c>
      <c r="AN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3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31" t="str">
        <f>_xlfn.CONCAT(FINI_grouping_for_wheel[[#This Row],[Recipe Combination]],FINI_grouping_for_wheel[[#This Row],[Subgroup]])</f>
        <v>X1</v>
      </c>
    </row>
    <row r="732" spans="1:55" hidden="1">
      <c r="A732" t="s">
        <v>11</v>
      </c>
      <c r="B732">
        <v>4524765</v>
      </c>
      <c r="C732" t="s">
        <v>2930</v>
      </c>
      <c r="D732">
        <v>7744.14144098</v>
      </c>
      <c r="E732">
        <v>30</v>
      </c>
      <c r="F732">
        <v>0.6</v>
      </c>
      <c r="G732" t="s">
        <v>2985</v>
      </c>
      <c r="H732" t="s">
        <v>2986</v>
      </c>
      <c r="I732">
        <v>405</v>
      </c>
      <c r="J732" t="s">
        <v>90</v>
      </c>
      <c r="K732" t="s">
        <v>2987</v>
      </c>
      <c r="L732" t="s">
        <v>2988</v>
      </c>
      <c r="M732">
        <v>69595.855425</v>
      </c>
      <c r="N732">
        <v>278.3834217</v>
      </c>
      <c r="O732">
        <v>171174.904425</v>
      </c>
      <c r="P732">
        <v>225694.91358</v>
      </c>
      <c r="Q732">
        <v>0.40657744579313204</v>
      </c>
      <c r="R732">
        <v>3148.59324693</v>
      </c>
      <c r="S732" t="s">
        <v>387</v>
      </c>
      <c r="T732" t="s">
        <v>93</v>
      </c>
      <c r="U732">
        <v>15</v>
      </c>
      <c r="V732" t="s">
        <v>408</v>
      </c>
      <c r="W732" t="s">
        <v>95</v>
      </c>
      <c r="X732" t="s">
        <v>96</v>
      </c>
      <c r="Y732" s="23" t="s">
        <v>97</v>
      </c>
      <c r="AA732">
        <v>28</v>
      </c>
      <c r="AB732" t="s">
        <v>2989</v>
      </c>
      <c r="AC732" t="s">
        <v>2934</v>
      </c>
      <c r="AD732" s="2">
        <v>2</v>
      </c>
      <c r="AE732" s="2" t="s">
        <v>70</v>
      </c>
      <c r="AF732" t="str">
        <f>_xlfn.CONCAT(FINI_grouping_for_wheel[[#This Row],[SEFI/Plant]],"/",IF(FINI_grouping_for_wheel[[#This Row],[RESET recipe combination]]&lt;&gt;"",FINI_grouping_for_wheel[[#This Row],[RESET recipe combination]],FINI_grouping_for_wheel[[#This Row],[Recipe Combination]]),"/",FINI_grouping_for_wheel[[#This Row],[Subgroup]])</f>
        <v>4524765/THDP/x/2</v>
      </c>
      <c r="AG7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0.74832919610464</v>
      </c>
      <c r="AH732">
        <f>_xlfn.LET(_xlpm.pct, FINI_grouping_for_wheel[[#This Row],[% forecast within subgroup]], _xlpm.lote, FINI_grouping_for_wheel[[#This Row],[Lot size considered]], _xlpm.pct*_xlpm.lote)</f>
        <v>5795.167139049192</v>
      </c>
      <c r="AI732" cm="1">
        <f t="array" aca="1" ref="AI732" ca="1">IFERROR(INDIRECT("FINI_grouping_for_wheel[@["&amp;FINI_grouping_for_wheel[[#This Row],[Selected PV]]&amp;"]]"),"")</f>
        <v>20</v>
      </c>
      <c r="AJ73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16.4</v>
      </c>
      <c r="AL732" s="4"/>
      <c r="AM73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v>
      </c>
      <c r="AN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3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32" t="str">
        <f>_xlfn.CONCAT(FINI_grouping_for_wheel[[#This Row],[Recipe Combination]],FINI_grouping_for_wheel[[#This Row],[Subgroup]])</f>
        <v>X2</v>
      </c>
    </row>
    <row r="733" spans="1:55" hidden="1">
      <c r="A733" t="s">
        <v>11</v>
      </c>
      <c r="B733">
        <v>4995218</v>
      </c>
      <c r="C733" t="s">
        <v>2990</v>
      </c>
      <c r="D733">
        <v>8714.8932267</v>
      </c>
      <c r="E733">
        <v>28</v>
      </c>
      <c r="F733">
        <v>0.56000000000000005</v>
      </c>
      <c r="G733" t="s">
        <v>2991</v>
      </c>
      <c r="H733" t="s">
        <v>2992</v>
      </c>
      <c r="I733">
        <v>190</v>
      </c>
      <c r="J733" t="s">
        <v>90</v>
      </c>
      <c r="K733" t="s">
        <v>602</v>
      </c>
      <c r="L733" t="s">
        <v>603</v>
      </c>
      <c r="M733">
        <v>689.03271</v>
      </c>
      <c r="N733">
        <v>2.75613084</v>
      </c>
      <c r="O733">
        <v>1360.306845</v>
      </c>
      <c r="P733">
        <v>235764.025605</v>
      </c>
      <c r="Q733">
        <v>0.50652741514360311</v>
      </c>
      <c r="R733">
        <v>4414.33233937</v>
      </c>
      <c r="S733" t="s">
        <v>104</v>
      </c>
      <c r="T733" t="s">
        <v>93</v>
      </c>
      <c r="U733">
        <v>2.5</v>
      </c>
      <c r="V733" t="s">
        <v>604</v>
      </c>
      <c r="W733" t="s">
        <v>142</v>
      </c>
      <c r="X733" t="s">
        <v>128</v>
      </c>
      <c r="Y733" s="23" t="s">
        <v>136</v>
      </c>
      <c r="AA733">
        <v>3162</v>
      </c>
      <c r="AB733" t="s">
        <v>2993</v>
      </c>
      <c r="AC733" t="s">
        <v>2994</v>
      </c>
      <c r="AD733" s="2">
        <v>200</v>
      </c>
      <c r="AE733" s="2" t="s">
        <v>70</v>
      </c>
      <c r="AF733" t="str">
        <f>_xlfn.CONCAT(FINI_grouping_for_wheel[[#This Row],[SEFI/Plant]],"/",IF(FINI_grouping_for_wheel[[#This Row],[RESET recipe combination]]&lt;&gt;"",FINI_grouping_for_wheel[[#This Row],[RESET recipe combination]],FINI_grouping_for_wheel[[#This Row],[Recipe Combination]]),"/",FINI_grouping_for_wheel[[#This Row],[Subgroup]])</f>
        <v>4995218/THDP/x/200</v>
      </c>
      <c r="AG7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0.08907254361799816</v>
      </c>
      <c r="AH733">
        <f>_xlfn.LET(_xlpm.pct, FINI_grouping_for_wheel[[#This Row],[% forecast within subgroup]], _xlpm.lote, FINI_grouping_for_wheel[[#This Row],[Lot size considered]], _xlpm.pct*_xlpm.lote)</f>
        <v>776.2577070614325</v>
      </c>
      <c r="AI733" cm="1">
        <f t="array" aca="1" ref="AI733" ca="1">IFERROR(INDIRECT("FINI_grouping_for_wheel[@["&amp;FINI_grouping_for_wheel[[#This Row],[Selected PV]]&amp;"]]"),"")</f>
        <v>245</v>
      </c>
      <c r="AJ73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8908.885125</v>
      </c>
      <c r="AK7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4.2</v>
      </c>
      <c r="AL733" s="4"/>
      <c r="AM73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245</v>
      </c>
      <c r="AN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3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33" t="str">
        <f>_xlfn.CONCAT(FINI_grouping_for_wheel[[#This Row],[Recipe Combination]],FINI_grouping_for_wheel[[#This Row],[Subgroup]])</f>
        <v>0200</v>
      </c>
    </row>
    <row r="734" spans="1:55" hidden="1">
      <c r="A734" t="s">
        <v>11</v>
      </c>
      <c r="B734">
        <v>4995218</v>
      </c>
      <c r="C734" t="s">
        <v>2990</v>
      </c>
      <c r="D734">
        <v>8714.8932267</v>
      </c>
      <c r="E734">
        <v>28</v>
      </c>
      <c r="F734">
        <v>0.56000000000000005</v>
      </c>
      <c r="G734" t="s">
        <v>2995</v>
      </c>
      <c r="H734" t="s">
        <v>2996</v>
      </c>
      <c r="I734">
        <v>190</v>
      </c>
      <c r="J734" t="s">
        <v>90</v>
      </c>
      <c r="M734">
        <v>671.274135</v>
      </c>
      <c r="N734">
        <v>2.68509654</v>
      </c>
      <c r="O734">
        <v>1360.306845</v>
      </c>
      <c r="P734">
        <v>235764.025605</v>
      </c>
      <c r="Q734">
        <v>0.49347258485639689</v>
      </c>
      <c r="R734">
        <v>4300.56088733</v>
      </c>
      <c r="S734" t="s">
        <v>104</v>
      </c>
      <c r="T734" t="s">
        <v>93</v>
      </c>
      <c r="U734">
        <v>2.5</v>
      </c>
      <c r="AA734">
        <v>3246</v>
      </c>
      <c r="AB734" t="s">
        <v>2997</v>
      </c>
      <c r="AC734" t="s">
        <v>2994</v>
      </c>
      <c r="AD734" s="2">
        <v>200</v>
      </c>
      <c r="AE734" s="2" t="s">
        <v>70</v>
      </c>
      <c r="AF734" t="str">
        <f>_xlfn.CONCAT(FINI_grouping_for_wheel[[#This Row],[SEFI/Plant]],"/",IF(FINI_grouping_for_wheel[[#This Row],[RESET recipe combination]]&lt;&gt;"",FINI_grouping_for_wheel[[#This Row],[RESET recipe combination]],FINI_grouping_for_wheel[[#This Row],[Recipe Combination]]),"/",FINI_grouping_for_wheel[[#This Row],[Subgroup]])</f>
        <v>4995218/THDP/x/200</v>
      </c>
      <c r="AG7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0.08677685950413223</v>
      </c>
      <c r="AH734">
        <f>_xlfn.LET(_xlpm.pct, FINI_grouping_for_wheel[[#This Row],[% forecast within subgroup]], _xlpm.lote, FINI_grouping_for_wheel[[#This Row],[Lot size considered]], _xlpm.pct*_xlpm.lote)</f>
        <v>756.2510651268595</v>
      </c>
      <c r="AI734" cm="1">
        <f t="array" aca="1" ref="AI734" ca="1">IFERROR(INDIRECT("FINI_grouping_for_wheel[@["&amp;FINI_grouping_for_wheel[[#This Row],[Selected PV]]&amp;"]]"),"")</f>
        <v>245</v>
      </c>
      <c r="AJ73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8908.885125</v>
      </c>
      <c r="AK7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4.1</v>
      </c>
      <c r="AL734" s="4"/>
      <c r="AM73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245</v>
      </c>
      <c r="AN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3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34" t="str">
        <f>_xlfn.CONCAT(FINI_grouping_for_wheel[[#This Row],[Recipe Combination]],FINI_grouping_for_wheel[[#This Row],[Subgroup]])</f>
        <v>0200</v>
      </c>
    </row>
    <row r="735" spans="1:55" hidden="1">
      <c r="A735" t="s">
        <v>11</v>
      </c>
      <c r="B735">
        <v>4995218</v>
      </c>
      <c r="C735" t="s">
        <v>2990</v>
      </c>
      <c r="D735">
        <v>8714.8932267</v>
      </c>
      <c r="E735">
        <v>28</v>
      </c>
      <c r="F735">
        <v>0.56000000000000005</v>
      </c>
      <c r="G735" t="s">
        <v>2998</v>
      </c>
      <c r="H735" t="s">
        <v>2999</v>
      </c>
      <c r="I735">
        <v>280</v>
      </c>
      <c r="J735" t="s">
        <v>90</v>
      </c>
      <c r="K735" t="s">
        <v>557</v>
      </c>
      <c r="L735" t="s">
        <v>558</v>
      </c>
      <c r="M735">
        <v>1835.05275</v>
      </c>
      <c r="N735">
        <v>7.340211</v>
      </c>
      <c r="O735">
        <v>1835.05275</v>
      </c>
      <c r="P735">
        <v>235764.025605</v>
      </c>
      <c r="Q735">
        <v>1</v>
      </c>
      <c r="R735">
        <v>8714.8932267</v>
      </c>
      <c r="S735" t="s">
        <v>1316</v>
      </c>
      <c r="T735" t="s">
        <v>93</v>
      </c>
      <c r="U735">
        <v>5</v>
      </c>
      <c r="V735" t="s">
        <v>135</v>
      </c>
      <c r="W735" t="s">
        <v>142</v>
      </c>
      <c r="X735" t="s">
        <v>128</v>
      </c>
      <c r="Y735" s="23" t="s">
        <v>136</v>
      </c>
      <c r="AA735">
        <v>1187</v>
      </c>
      <c r="AB735" t="s">
        <v>3000</v>
      </c>
      <c r="AC735" t="s">
        <v>2994</v>
      </c>
      <c r="AD735" s="2">
        <v>200</v>
      </c>
      <c r="AE735" s="2" t="s">
        <v>70</v>
      </c>
      <c r="AF735" t="str">
        <f>_xlfn.CONCAT(FINI_grouping_for_wheel[[#This Row],[SEFI/Plant]],"/",IF(FINI_grouping_for_wheel[[#This Row],[RESET recipe combination]]&lt;&gt;"",FINI_grouping_for_wheel[[#This Row],[RESET recipe combination]],FINI_grouping_for_wheel[[#This Row],[Recipe Combination]]),"/",FINI_grouping_for_wheel[[#This Row],[Subgroup]])</f>
        <v>4995218/THDP/x/200</v>
      </c>
      <c r="AG7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0.23722069176614632</v>
      </c>
      <c r="AH735">
        <f>_xlfn.LET(_xlpm.pct, FINI_grouping_for_wheel[[#This Row],[% forecast within subgroup]], _xlpm.lote, FINI_grouping_for_wheel[[#This Row],[Lot size considered]], _xlpm.pct*_xlpm.lote)</f>
        <v>2067.352999905877</v>
      </c>
      <c r="AI735" cm="1">
        <f t="array" aca="1" ref="AI735" ca="1">IFERROR(INDIRECT("FINI_grouping_for_wheel[@["&amp;FINI_grouping_for_wheel[[#This Row],[Selected PV]]&amp;"]]"),"")</f>
        <v>245</v>
      </c>
      <c r="AJ73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8908.885125</v>
      </c>
      <c r="AK7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7.5</v>
      </c>
      <c r="AL735" s="4"/>
      <c r="AM73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245</v>
      </c>
      <c r="AN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3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35" t="str">
        <f>_xlfn.CONCAT(FINI_grouping_for_wheel[[#This Row],[Recipe Combination]],FINI_grouping_for_wheel[[#This Row],[Subgroup]])</f>
        <v>6200</v>
      </c>
    </row>
    <row r="736" spans="1:55" hidden="1">
      <c r="A736" t="s">
        <v>11</v>
      </c>
      <c r="B736">
        <v>4995218</v>
      </c>
      <c r="C736" t="s">
        <v>2990</v>
      </c>
      <c r="D736">
        <v>8714.8932267</v>
      </c>
      <c r="E736">
        <v>28</v>
      </c>
      <c r="F736">
        <v>0.56000000000000005</v>
      </c>
      <c r="G736" t="s">
        <v>3001</v>
      </c>
      <c r="H736" t="s">
        <v>3002</v>
      </c>
      <c r="I736">
        <v>280</v>
      </c>
      <c r="J736" t="s">
        <v>90</v>
      </c>
      <c r="K736" t="s">
        <v>140</v>
      </c>
      <c r="L736" t="s">
        <v>141</v>
      </c>
      <c r="M736">
        <v>1544.996025</v>
      </c>
      <c r="N736">
        <v>6.1799841</v>
      </c>
      <c r="O736">
        <v>24145.742475</v>
      </c>
      <c r="P736">
        <v>235764.025605</v>
      </c>
      <c r="Q736">
        <v>6.398627114488846E-2</v>
      </c>
      <c r="R736">
        <v>557.633521003</v>
      </c>
      <c r="S736" t="s">
        <v>866</v>
      </c>
      <c r="T736" t="s">
        <v>93</v>
      </c>
      <c r="U736">
        <v>5</v>
      </c>
      <c r="V736" t="s">
        <v>135</v>
      </c>
      <c r="W736" t="s">
        <v>142</v>
      </c>
      <c r="X736" t="s">
        <v>128</v>
      </c>
      <c r="Y736" s="23" t="s">
        <v>136</v>
      </c>
      <c r="AA736">
        <v>1410</v>
      </c>
      <c r="AB736" t="s">
        <v>3003</v>
      </c>
      <c r="AC736" t="s">
        <v>2994</v>
      </c>
      <c r="AD736" s="2">
        <v>200</v>
      </c>
      <c r="AE736" s="2" t="s">
        <v>70</v>
      </c>
      <c r="AF736" t="str">
        <f>_xlfn.CONCAT(FINI_grouping_for_wheel[[#This Row],[SEFI/Plant]],"/",IF(FINI_grouping_for_wheel[[#This Row],[RESET recipe combination]]&lt;&gt;"",FINI_grouping_for_wheel[[#This Row],[RESET recipe combination]],FINI_grouping_for_wheel[[#This Row],[Recipe Combination]]),"/",FINI_grouping_for_wheel[[#This Row],[Subgroup]])</f>
        <v>4995218/THDP/x/200</v>
      </c>
      <c r="AG7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0.19972451790633608</v>
      </c>
      <c r="AH736">
        <f>_xlfn.LET(_xlpm.pct, FINI_grouping_for_wheel[[#This Row],[% forecast within subgroup]], _xlpm.lote, FINI_grouping_for_wheel[[#This Row],[Lot size considered]], _xlpm.pct*_xlpm.lote)</f>
        <v>1740.5778483078511</v>
      </c>
      <c r="AI736" cm="1">
        <f t="array" aca="1" ref="AI736" ca="1">IFERROR(INDIRECT("FINI_grouping_for_wheel[@["&amp;FINI_grouping_for_wheel[[#This Row],[Selected PV]]&amp;"]]"),"")</f>
        <v>245</v>
      </c>
      <c r="AJ73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8908.885125</v>
      </c>
      <c r="AK7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6.4</v>
      </c>
      <c r="AL736" s="4"/>
      <c r="AM73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245</v>
      </c>
      <c r="AN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3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36" t="str">
        <f>_xlfn.CONCAT(FINI_grouping_for_wheel[[#This Row],[Recipe Combination]],FINI_grouping_for_wheel[[#This Row],[Subgroup]])</f>
        <v>&lt;200</v>
      </c>
    </row>
    <row r="737" spans="1:55" hidden="1">
      <c r="A737" t="s">
        <v>11</v>
      </c>
      <c r="B737">
        <v>4995218</v>
      </c>
      <c r="C737" t="s">
        <v>2990</v>
      </c>
      <c r="D737">
        <v>8714.8932267</v>
      </c>
      <c r="E737">
        <v>28</v>
      </c>
      <c r="F737">
        <v>0.56000000000000005</v>
      </c>
      <c r="G737" t="s">
        <v>3004</v>
      </c>
      <c r="H737" t="s">
        <v>3005</v>
      </c>
      <c r="I737">
        <v>300</v>
      </c>
      <c r="J737" t="s">
        <v>90</v>
      </c>
      <c r="K737" t="s">
        <v>873</v>
      </c>
      <c r="L737" t="s">
        <v>874</v>
      </c>
      <c r="M737">
        <v>22600.74645</v>
      </c>
      <c r="N737">
        <v>90.4029858</v>
      </c>
      <c r="O737">
        <v>24145.742475</v>
      </c>
      <c r="P737">
        <v>235764.025605</v>
      </c>
      <c r="Q737">
        <v>0.93601372885511158</v>
      </c>
      <c r="R737">
        <v>8157.2597057</v>
      </c>
      <c r="S737" t="s">
        <v>866</v>
      </c>
      <c r="T737" t="s">
        <v>93</v>
      </c>
      <c r="U737">
        <v>10</v>
      </c>
      <c r="V737" t="s">
        <v>127</v>
      </c>
      <c r="W737" t="s">
        <v>142</v>
      </c>
      <c r="X737" t="s">
        <v>128</v>
      </c>
      <c r="Y737" s="23" t="s">
        <v>129</v>
      </c>
      <c r="AA737">
        <v>96</v>
      </c>
      <c r="AB737" t="s">
        <v>3006</v>
      </c>
      <c r="AC737" t="s">
        <v>2994</v>
      </c>
      <c r="AD737" s="2">
        <v>90</v>
      </c>
      <c r="AE737" s="2" t="s">
        <v>70</v>
      </c>
      <c r="AF737" t="str">
        <f>_xlfn.CONCAT(FINI_grouping_for_wheel[[#This Row],[SEFI/Plant]],"/",IF(FINI_grouping_for_wheel[[#This Row],[RESET recipe combination]]&lt;&gt;"",FINI_grouping_for_wheel[[#This Row],[RESET recipe combination]],FINI_grouping_for_wheel[[#This Row],[Recipe Combination]]),"/",FINI_grouping_for_wheel[[#This Row],[Subgroup]])</f>
        <v>4995218/THDP/x/90</v>
      </c>
      <c r="AG7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0.8645833333333333</v>
      </c>
      <c r="AH737">
        <f>_xlfn.LET(_xlpm.pct, FINI_grouping_for_wheel[[#This Row],[% forecast within subgroup]], _xlpm.lote, FINI_grouping_for_wheel[[#This Row],[Lot size considered]], _xlpm.pct*_xlpm.lote)</f>
        <v>7534.751435584374</v>
      </c>
      <c r="AI737" cm="1">
        <f t="array" aca="1" ref="AI737" ca="1">IFERROR(INDIRECT("FINI_grouping_for_wheel[@["&amp;FINI_grouping_for_wheel[[#This Row],[Selected PV]]&amp;"]]"),"")</f>
        <v>72</v>
      </c>
      <c r="AJ73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8908.885125</v>
      </c>
      <c r="AK7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25.7</v>
      </c>
      <c r="AL737" s="4"/>
      <c r="AM73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v>
      </c>
      <c r="AN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3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37" t="str">
        <f>_xlfn.CONCAT(FINI_grouping_for_wheel[[#This Row],[Recipe Combination]],FINI_grouping_for_wheel[[#This Row],[Subgroup]])</f>
        <v>&lt;90</v>
      </c>
    </row>
    <row r="738" spans="1:55" hidden="1">
      <c r="A738" t="s">
        <v>11</v>
      </c>
      <c r="B738">
        <v>4995218</v>
      </c>
      <c r="C738" t="s">
        <v>2990</v>
      </c>
      <c r="D738">
        <v>8714.8932267</v>
      </c>
      <c r="E738">
        <v>28</v>
      </c>
      <c r="F738">
        <v>0.56000000000000005</v>
      </c>
      <c r="G738" t="s">
        <v>3007</v>
      </c>
      <c r="H738" t="s">
        <v>3008</v>
      </c>
      <c r="I738">
        <v>300</v>
      </c>
      <c r="J738" t="s">
        <v>90</v>
      </c>
      <c r="K738" t="s">
        <v>3009</v>
      </c>
      <c r="L738" t="s">
        <v>3010</v>
      </c>
      <c r="M738">
        <v>115617.79449</v>
      </c>
      <c r="N738">
        <v>462.47117796</v>
      </c>
      <c r="O738">
        <v>129495.5289</v>
      </c>
      <c r="P738">
        <v>235764.025605</v>
      </c>
      <c r="Q738">
        <v>0.89283232766502107</v>
      </c>
      <c r="R738">
        <v>7780.93840495</v>
      </c>
      <c r="S738" t="s">
        <v>294</v>
      </c>
      <c r="T738" t="s">
        <v>93</v>
      </c>
      <c r="U738">
        <v>12.5</v>
      </c>
      <c r="V738" t="s">
        <v>295</v>
      </c>
      <c r="W738" t="s">
        <v>95</v>
      </c>
      <c r="X738" t="s">
        <v>128</v>
      </c>
      <c r="Y738" s="23" t="s">
        <v>120</v>
      </c>
      <c r="AA738">
        <v>19</v>
      </c>
      <c r="AB738" t="s">
        <v>3011</v>
      </c>
      <c r="AC738" t="s">
        <v>2994</v>
      </c>
      <c r="AD738" s="2">
        <v>1</v>
      </c>
      <c r="AE738" s="2" t="s">
        <v>70</v>
      </c>
      <c r="AF738" t="str">
        <f>_xlfn.CONCAT(FINI_grouping_for_wheel[[#This Row],[SEFI/Plant]],"/",IF(FINI_grouping_for_wheel[[#This Row],[RESET recipe combination]]&lt;&gt;"",FINI_grouping_for_wheel[[#This Row],[RESET recipe combination]],FINI_grouping_for_wheel[[#This Row],[Recipe Combination]]),"/",FINI_grouping_for_wheel[[#This Row],[Subgroup]])</f>
        <v>4995218/THDP/x/1</v>
      </c>
      <c r="AG7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0.9828901547937761</v>
      </c>
      <c r="AH738">
        <f>_xlfn.LET(_xlpm.pct, FINI_grouping_for_wheel[[#This Row],[% forecast within subgroup]], _xlpm.lote, FINI_grouping_for_wheel[[#This Row],[Lot size considered]], _xlpm.pct*_xlpm.lote)</f>
        <v>8565.782752602394</v>
      </c>
      <c r="AI738" cm="1">
        <f t="array" aca="1" ref="AI738" ca="1">IFERROR(INDIRECT("FINI_grouping_for_wheel[@["&amp;FINI_grouping_for_wheel[[#This Row],[Selected PV]]&amp;"]]"),"")</f>
        <v>16</v>
      </c>
      <c r="AJ73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8908.885125</v>
      </c>
      <c r="AK7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29.2</v>
      </c>
      <c r="AL738" s="4"/>
      <c r="AM73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v>
      </c>
      <c r="AN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3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38" t="str">
        <f>_xlfn.CONCAT(FINI_grouping_for_wheel[[#This Row],[Recipe Combination]],FINI_grouping_for_wheel[[#This Row],[Subgroup]])</f>
        <v>C1</v>
      </c>
    </row>
    <row r="739" spans="1:55" hidden="1">
      <c r="A739" t="s">
        <v>11</v>
      </c>
      <c r="B739">
        <v>4995218</v>
      </c>
      <c r="C739" t="s">
        <v>2990</v>
      </c>
      <c r="D739">
        <v>8714.8932267</v>
      </c>
      <c r="E739">
        <v>28</v>
      </c>
      <c r="F739">
        <v>0.56000000000000005</v>
      </c>
      <c r="G739" t="s">
        <v>3012</v>
      </c>
      <c r="H739" t="s">
        <v>3013</v>
      </c>
      <c r="I739">
        <v>310.08</v>
      </c>
      <c r="J739" t="s">
        <v>90</v>
      </c>
      <c r="K739" t="s">
        <v>299</v>
      </c>
      <c r="L739" t="s">
        <v>300</v>
      </c>
      <c r="M739">
        <v>13877.73441</v>
      </c>
      <c r="N739">
        <v>55.51093764</v>
      </c>
      <c r="O739">
        <v>129495.5289</v>
      </c>
      <c r="P739">
        <v>235764.025605</v>
      </c>
      <c r="Q739">
        <v>0.10716767233497897</v>
      </c>
      <c r="R739">
        <v>933.954821754</v>
      </c>
      <c r="S739" t="s">
        <v>294</v>
      </c>
      <c r="T739" t="s">
        <v>93</v>
      </c>
      <c r="U739">
        <v>12.92</v>
      </c>
      <c r="V739" t="s">
        <v>301</v>
      </c>
      <c r="W739" t="s">
        <v>142</v>
      </c>
      <c r="X739" t="s">
        <v>128</v>
      </c>
      <c r="Y739" s="23" t="s">
        <v>129</v>
      </c>
      <c r="AA739">
        <v>157</v>
      </c>
      <c r="AB739" t="s">
        <v>3014</v>
      </c>
      <c r="AC739" t="s">
        <v>2994</v>
      </c>
      <c r="AD739" s="2">
        <v>2</v>
      </c>
      <c r="AE739" s="2" t="s">
        <v>70</v>
      </c>
      <c r="AF739" t="str">
        <f>_xlfn.CONCAT(FINI_grouping_for_wheel[[#This Row],[SEFI/Plant]],"/",IF(FINI_grouping_for_wheel[[#This Row],[RESET recipe combination]]&lt;&gt;"",FINI_grouping_for_wheel[[#This Row],[RESET recipe combination]],FINI_grouping_for_wheel[[#This Row],[Recipe Combination]]),"/",FINI_grouping_for_wheel[[#This Row],[Subgroup]])</f>
        <v>4995218/THDP/x/2</v>
      </c>
      <c r="AG7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0.1647065435793674</v>
      </c>
      <c r="AH739">
        <f>_xlfn.LET(_xlpm.pct, FINI_grouping_for_wheel[[#This Row],[% forecast within subgroup]], _xlpm.lote, FINI_grouping_for_wheel[[#This Row],[Lot size considered]], _xlpm.pct*_xlpm.lote)</f>
        <v>1435.3999410329973</v>
      </c>
      <c r="AI739" cm="1">
        <f t="array" aca="1" ref="AI739" ca="1">IFERROR(INDIRECT("FINI_grouping_for_wheel[@["&amp;FINI_grouping_for_wheel[[#This Row],[Selected PV]]&amp;"]]"),"")</f>
        <v>22</v>
      </c>
      <c r="AJ73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8908.885125</v>
      </c>
      <c r="AK7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4.7</v>
      </c>
      <c r="AL739" s="4"/>
      <c r="AM73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v>
      </c>
      <c r="AN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3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39" t="str">
        <f>_xlfn.CONCAT(FINI_grouping_for_wheel[[#This Row],[Recipe Combination]],FINI_grouping_for_wheel[[#This Row],[Subgroup]])</f>
        <v>C2</v>
      </c>
    </row>
    <row r="740" spans="1:55" hidden="1">
      <c r="A740" t="s">
        <v>11</v>
      </c>
      <c r="B740">
        <v>4995218</v>
      </c>
      <c r="C740" t="s">
        <v>2990</v>
      </c>
      <c r="D740">
        <v>8714.8932267</v>
      </c>
      <c r="E740">
        <v>28</v>
      </c>
      <c r="F740">
        <v>0.56000000000000005</v>
      </c>
      <c r="G740" t="s">
        <v>3015</v>
      </c>
      <c r="H740" t="s">
        <v>3016</v>
      </c>
      <c r="I740">
        <v>300</v>
      </c>
      <c r="J740" t="s">
        <v>90</v>
      </c>
      <c r="K740" t="s">
        <v>562</v>
      </c>
      <c r="L740" t="s">
        <v>563</v>
      </c>
      <c r="M740">
        <v>3539.87595</v>
      </c>
      <c r="N740">
        <v>14.1595038</v>
      </c>
      <c r="O740">
        <v>6535.1556</v>
      </c>
      <c r="P740">
        <v>235764.025605</v>
      </c>
      <c r="Q740">
        <v>0.54166666666666663</v>
      </c>
      <c r="R740">
        <v>4720.56716446</v>
      </c>
      <c r="S740" t="s">
        <v>126</v>
      </c>
      <c r="T740" t="s">
        <v>93</v>
      </c>
      <c r="U740">
        <v>10</v>
      </c>
      <c r="V740" t="s">
        <v>127</v>
      </c>
      <c r="W740" t="s">
        <v>142</v>
      </c>
      <c r="X740" t="s">
        <v>128</v>
      </c>
      <c r="Y740" s="23" t="s">
        <v>129</v>
      </c>
      <c r="AA740">
        <v>615</v>
      </c>
      <c r="AB740" t="s">
        <v>3017</v>
      </c>
      <c r="AC740" t="s">
        <v>2994</v>
      </c>
      <c r="AD740" s="2">
        <v>90</v>
      </c>
      <c r="AE740" s="2" t="s">
        <v>70</v>
      </c>
      <c r="AF740" t="str">
        <f>_xlfn.CONCAT(FINI_grouping_for_wheel[[#This Row],[SEFI/Plant]],"/",IF(FINI_grouping_for_wheel[[#This Row],[RESET recipe combination]]&lt;&gt;"",FINI_grouping_for_wheel[[#This Row],[RESET recipe combination]],FINI_grouping_for_wheel[[#This Row],[Recipe Combination]]),"/",FINI_grouping_for_wheel[[#This Row],[Subgroup]])</f>
        <v>4995218/THDP/x/90</v>
      </c>
      <c r="AG7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0.13541666666666666</v>
      </c>
      <c r="AH740">
        <f>_xlfn.LET(_xlpm.pct, FINI_grouping_for_wheel[[#This Row],[% forecast within subgroup]], _xlpm.lote, FINI_grouping_for_wheel[[#This Row],[Lot size considered]], _xlpm.pct*_xlpm.lote)</f>
        <v>1180.141791115625</v>
      </c>
      <c r="AI740" cm="1">
        <f t="array" aca="1" ref="AI740" ca="1">IFERROR(INDIRECT("FINI_grouping_for_wheel[@["&amp;FINI_grouping_for_wheel[[#This Row],[Selected PV]]&amp;"]]"),"")</f>
        <v>72</v>
      </c>
      <c r="AJ74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8908.885125</v>
      </c>
      <c r="AK7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v>
      </c>
      <c r="AL740" s="4"/>
      <c r="AM74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72</v>
      </c>
      <c r="AN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4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40" t="str">
        <f>_xlfn.CONCAT(FINI_grouping_for_wheel[[#This Row],[Recipe Combination]],FINI_grouping_for_wheel[[#This Row],[Subgroup]])</f>
        <v>E90</v>
      </c>
    </row>
    <row r="741" spans="1:55" hidden="1">
      <c r="A741" t="s">
        <v>11</v>
      </c>
      <c r="B741">
        <v>4995218</v>
      </c>
      <c r="C741" t="s">
        <v>2990</v>
      </c>
      <c r="D741">
        <v>8714.8932267</v>
      </c>
      <c r="E741">
        <v>28</v>
      </c>
      <c r="F741">
        <v>0.56000000000000005</v>
      </c>
      <c r="G741" t="s">
        <v>3018</v>
      </c>
      <c r="H741" t="s">
        <v>3019</v>
      </c>
      <c r="I741">
        <v>350</v>
      </c>
      <c r="J741" t="s">
        <v>90</v>
      </c>
      <c r="K741" t="s">
        <v>140</v>
      </c>
      <c r="L741" t="s">
        <v>141</v>
      </c>
      <c r="M741">
        <v>2995.27965</v>
      </c>
      <c r="N741">
        <v>11.9811186</v>
      </c>
      <c r="O741">
        <v>6535.1556</v>
      </c>
      <c r="P741">
        <v>235764.025605</v>
      </c>
      <c r="Q741">
        <v>0.45833333333333331</v>
      </c>
      <c r="R741">
        <v>3994.32606224</v>
      </c>
      <c r="S741" t="s">
        <v>126</v>
      </c>
      <c r="T741" t="s">
        <v>93</v>
      </c>
      <c r="U741">
        <v>5</v>
      </c>
      <c r="V741" t="s">
        <v>135</v>
      </c>
      <c r="W741" t="s">
        <v>142</v>
      </c>
      <c r="X741" t="s">
        <v>128</v>
      </c>
      <c r="Y741" s="23" t="s">
        <v>136</v>
      </c>
      <c r="AA741">
        <v>727</v>
      </c>
      <c r="AB741" t="s">
        <v>3020</v>
      </c>
      <c r="AC741" t="s">
        <v>2994</v>
      </c>
      <c r="AD741" s="2">
        <v>200</v>
      </c>
      <c r="AE741" s="2" t="s">
        <v>70</v>
      </c>
      <c r="AF741" t="str">
        <f>_xlfn.CONCAT(FINI_grouping_for_wheel[[#This Row],[SEFI/Plant]],"/",IF(FINI_grouping_for_wheel[[#This Row],[RESET recipe combination]]&lt;&gt;"",FINI_grouping_for_wheel[[#This Row],[RESET recipe combination]],FINI_grouping_for_wheel[[#This Row],[Recipe Combination]]),"/",FINI_grouping_for_wheel[[#This Row],[Subgroup]])</f>
        <v>4995218/THDP/x/200</v>
      </c>
      <c r="AG7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0.3872053872053872</v>
      </c>
      <c r="AH741">
        <f>_xlfn.LET(_xlpm.pct, FINI_grouping_for_wheel[[#This Row],[% forecast within subgroup]], _xlpm.lote, FINI_grouping_for_wheel[[#This Row],[Lot size considered]], _xlpm.pct*_xlpm.lote)</f>
        <v>3374.45360629798</v>
      </c>
      <c r="AI741" cm="1">
        <f t="array" aca="1" ref="AI741" ca="1">IFERROR(INDIRECT("FINI_grouping_for_wheel[@["&amp;FINI_grouping_for_wheel[[#This Row],[Selected PV]]&amp;"]]"),"")</f>
        <v>245</v>
      </c>
      <c r="AJ74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8908.885125</v>
      </c>
      <c r="AK7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9.9</v>
      </c>
      <c r="AL741" s="4"/>
      <c r="AM74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245</v>
      </c>
      <c r="AN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4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41" t="str">
        <f>_xlfn.CONCAT(FINI_grouping_for_wheel[[#This Row],[Recipe Combination]],FINI_grouping_for_wheel[[#This Row],[Subgroup]])</f>
        <v>E200</v>
      </c>
    </row>
    <row r="742" spans="1:55" hidden="1">
      <c r="A742" t="s">
        <v>11</v>
      </c>
      <c r="B742">
        <v>4995218</v>
      </c>
      <c r="C742" t="s">
        <v>2990</v>
      </c>
      <c r="D742">
        <v>8714.8932267</v>
      </c>
      <c r="E742">
        <v>28</v>
      </c>
      <c r="F742">
        <v>0.56000000000000005</v>
      </c>
      <c r="G742" t="s">
        <v>3021</v>
      </c>
      <c r="H742" t="s">
        <v>3022</v>
      </c>
      <c r="I742">
        <v>320</v>
      </c>
      <c r="J742" t="s">
        <v>90</v>
      </c>
      <c r="K742" t="s">
        <v>3023</v>
      </c>
      <c r="L742" t="s">
        <v>3024</v>
      </c>
      <c r="M742">
        <v>2012.6385</v>
      </c>
      <c r="N742">
        <v>8.050554</v>
      </c>
      <c r="O742">
        <v>2012.6385</v>
      </c>
      <c r="P742">
        <v>235764.025605</v>
      </c>
      <c r="Q742">
        <v>1</v>
      </c>
      <c r="R742">
        <v>8714.8932267</v>
      </c>
      <c r="S742" t="s">
        <v>195</v>
      </c>
      <c r="T742" t="s">
        <v>93</v>
      </c>
      <c r="U742">
        <v>5</v>
      </c>
      <c r="V742" t="s">
        <v>657</v>
      </c>
      <c r="W742" t="s">
        <v>142</v>
      </c>
      <c r="X742" t="s">
        <v>106</v>
      </c>
      <c r="Y742" s="23" t="s">
        <v>107</v>
      </c>
      <c r="AA742">
        <v>1083</v>
      </c>
      <c r="AB742" t="s">
        <v>3025</v>
      </c>
      <c r="AC742" t="s">
        <v>2994</v>
      </c>
      <c r="AD742" s="2">
        <v>1</v>
      </c>
      <c r="AE742" s="2" t="s">
        <v>70</v>
      </c>
      <c r="AF742" t="str">
        <f>_xlfn.CONCAT(FINI_grouping_for_wheel[[#This Row],[SEFI/Plant]],"/",IF(FINI_grouping_for_wheel[[#This Row],[RESET recipe combination]]&lt;&gt;"",FINI_grouping_for_wheel[[#This Row],[RESET recipe combination]],FINI_grouping_for_wheel[[#This Row],[Recipe Combination]]),"/",FINI_grouping_for_wheel[[#This Row],[Subgroup]])</f>
        <v>4995218/THDP/x/1</v>
      </c>
      <c r="AG7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0.017109845206223957</v>
      </c>
      <c r="AH742">
        <f>_xlfn.LET(_xlpm.pct, FINI_grouping_for_wheel[[#This Row],[% forecast within subgroup]], _xlpm.lote, FINI_grouping_for_wheel[[#This Row],[Lot size considered]], _xlpm.pct*_xlpm.lote)</f>
        <v>149.1104740976066</v>
      </c>
      <c r="AI742" cm="1">
        <f t="array" aca="1" ref="AI742" ca="1">IFERROR(INDIRECT("FINI_grouping_for_wheel[@["&amp;FINI_grouping_for_wheel[[#This Row],[Selected PV]]&amp;"]]"),"")</f>
        <v>16</v>
      </c>
      <c r="AJ74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8908.885125</v>
      </c>
      <c r="AK7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0.5</v>
      </c>
      <c r="AL742" s="4"/>
      <c r="AM74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16</v>
      </c>
      <c r="AN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4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42" t="str">
        <f>_xlfn.CONCAT(FINI_grouping_for_wheel[[#This Row],[Recipe Combination]],FINI_grouping_for_wheel[[#This Row],[Subgroup]])</f>
        <v>S1</v>
      </c>
    </row>
    <row r="743" spans="1:55" hidden="1">
      <c r="A743" t="s">
        <v>11</v>
      </c>
      <c r="B743">
        <v>4995218</v>
      </c>
      <c r="C743" t="s">
        <v>2990</v>
      </c>
      <c r="D743">
        <v>8714.8932267</v>
      </c>
      <c r="E743">
        <v>28</v>
      </c>
      <c r="F743">
        <v>0.56000000000000005</v>
      </c>
      <c r="G743" t="s">
        <v>3026</v>
      </c>
      <c r="H743" t="s">
        <v>3027</v>
      </c>
      <c r="I743">
        <v>300</v>
      </c>
      <c r="J743" t="s">
        <v>90</v>
      </c>
      <c r="K743" t="s">
        <v>552</v>
      </c>
      <c r="L743" t="s">
        <v>553</v>
      </c>
      <c r="M743">
        <v>70379.600535</v>
      </c>
      <c r="N743">
        <v>281.51840214</v>
      </c>
      <c r="O743">
        <v>70379.600535</v>
      </c>
      <c r="P743">
        <v>235764.025605</v>
      </c>
      <c r="Q743">
        <v>1</v>
      </c>
      <c r="R743">
        <v>8714.8932267</v>
      </c>
      <c r="S743" t="s">
        <v>218</v>
      </c>
      <c r="T743" t="s">
        <v>93</v>
      </c>
      <c r="U743">
        <v>12.5</v>
      </c>
      <c r="V743" t="s">
        <v>295</v>
      </c>
      <c r="W743" t="s">
        <v>142</v>
      </c>
      <c r="X743" t="s">
        <v>128</v>
      </c>
      <c r="Y743" s="23" t="s">
        <v>120</v>
      </c>
      <c r="AA743">
        <v>31</v>
      </c>
      <c r="AB743" t="s">
        <v>3028</v>
      </c>
      <c r="AC743" t="s">
        <v>2994</v>
      </c>
      <c r="AD743" s="2">
        <v>2</v>
      </c>
      <c r="AE743" s="2" t="s">
        <v>70</v>
      </c>
      <c r="AF743" t="str">
        <f>_xlfn.CONCAT(FINI_grouping_for_wheel[[#This Row],[SEFI/Plant]],"/",IF(FINI_grouping_for_wheel[[#This Row],[RESET recipe combination]]&lt;&gt;"",FINI_grouping_for_wheel[[#This Row],[RESET recipe combination]],FINI_grouping_for_wheel[[#This Row],[Recipe Combination]]),"/",FINI_grouping_for_wheel[[#This Row],[Subgroup]])</f>
        <v>4995218/THDP/x/2</v>
      </c>
      <c r="AG7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0.8352934564206326</v>
      </c>
      <c r="AH743">
        <f>_xlfn.LET(_xlpm.pct, FINI_grouping_for_wheel[[#This Row],[% forecast within subgroup]], _xlpm.lote, FINI_grouping_for_wheel[[#This Row],[Lot size considered]], _xlpm.pct*_xlpm.lote)</f>
        <v>7279.493285667002</v>
      </c>
      <c r="AI743" cm="1">
        <f t="array" aca="1" ref="AI743" ca="1">IFERROR(INDIRECT("FINI_grouping_for_wheel[@["&amp;FINI_grouping_for_wheel[[#This Row],[Selected PV]]&amp;"]]"),"")</f>
        <v>22</v>
      </c>
      <c r="AJ74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8908.885125</v>
      </c>
      <c r="AK7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24.8</v>
      </c>
      <c r="AL743" s="4"/>
      <c r="AM74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v>
      </c>
      <c r="AN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4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43" t="str">
        <f>_xlfn.CONCAT(FINI_grouping_for_wheel[[#This Row],[Recipe Combination]],FINI_grouping_for_wheel[[#This Row],[Subgroup]])</f>
        <v>U2</v>
      </c>
    </row>
    <row r="744" spans="1:55" hidden="1">
      <c r="A744" t="s">
        <v>11</v>
      </c>
      <c r="B744">
        <v>4513759</v>
      </c>
      <c r="C744" t="s">
        <v>3029</v>
      </c>
      <c r="D744">
        <v>8522.47189645</v>
      </c>
      <c r="E744">
        <v>27</v>
      </c>
      <c r="F744">
        <v>0.54</v>
      </c>
      <c r="G744" t="s">
        <v>3030</v>
      </c>
      <c r="H744" t="s">
        <v>3031</v>
      </c>
      <c r="I744">
        <v>480</v>
      </c>
      <c r="J744" t="s">
        <v>90</v>
      </c>
      <c r="K744" t="s">
        <v>3032</v>
      </c>
      <c r="L744" t="s">
        <v>3033</v>
      </c>
      <c r="M744">
        <v>2894.647725</v>
      </c>
      <c r="N744">
        <v>11.5785909</v>
      </c>
      <c r="O744">
        <v>2894.647725</v>
      </c>
      <c r="P744">
        <v>223982.98695</v>
      </c>
      <c r="Q744">
        <v>1</v>
      </c>
      <c r="R744">
        <v>8522.47189645</v>
      </c>
      <c r="S744" t="s">
        <v>249</v>
      </c>
      <c r="T744" t="s">
        <v>93</v>
      </c>
      <c r="U744">
        <v>5</v>
      </c>
      <c r="V744" t="s">
        <v>2868</v>
      </c>
      <c r="W744" t="s">
        <v>159</v>
      </c>
      <c r="X744" t="s">
        <v>150</v>
      </c>
      <c r="Y744" s="23" t="s">
        <v>151</v>
      </c>
      <c r="AA744">
        <v>736</v>
      </c>
      <c r="AB744" t="s">
        <v>3034</v>
      </c>
      <c r="AC744" t="s">
        <v>3035</v>
      </c>
      <c r="AD744" s="2">
        <v>100</v>
      </c>
      <c r="AE744" s="2" t="s">
        <v>70</v>
      </c>
      <c r="AF744" t="str">
        <f>_xlfn.CONCAT(FINI_grouping_for_wheel[[#This Row],[SEFI/Plant]],"/",IF(FINI_grouping_for_wheel[[#This Row],[RESET recipe combination]]&lt;&gt;"",FINI_grouping_for_wheel[[#This Row],[RESET recipe combination]],FINI_grouping_for_wheel[[#This Row],[Recipe Combination]]),"/",FINI_grouping_for_wheel[[#This Row],[Subgroup]])</f>
        <v>4513759/THDP/x/100</v>
      </c>
      <c r="AG7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0.3088291019325502</v>
      </c>
      <c r="AH744">
        <f>_xlfn.LET(_xlpm.pct, FINI_grouping_for_wheel[[#This Row],[% forecast within subgroup]], _xlpm.lote, FINI_grouping_for_wheel[[#This Row],[Lot size considered]], _xlpm.pct*_xlpm.lote)</f>
        <v>2631.9873420260515</v>
      </c>
      <c r="AI744" cm="1">
        <f t="array" aca="1" ref="AI744" ca="1">IFERROR(INDIRECT("FINI_grouping_for_wheel[@["&amp;FINI_grouping_for_wheel[[#This Row],[Selected PV]]&amp;"]]"),"")</f>
        <v>201</v>
      </c>
      <c r="AJ74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5.7</v>
      </c>
      <c r="AL744" s="4"/>
      <c r="AM74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201</v>
      </c>
      <c r="AN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4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44" t="str">
        <f>_xlfn.CONCAT(FINI_grouping_for_wheel[[#This Row],[Recipe Combination]],FINI_grouping_for_wheel[[#This Row],[Subgroup]])</f>
        <v>%100</v>
      </c>
    </row>
    <row r="745" spans="1:55" hidden="1">
      <c r="A745" t="s">
        <v>11</v>
      </c>
      <c r="B745">
        <v>4513759</v>
      </c>
      <c r="C745" t="s">
        <v>3029</v>
      </c>
      <c r="D745">
        <v>8522.47189645</v>
      </c>
      <c r="E745">
        <v>27</v>
      </c>
      <c r="F745">
        <v>0.54</v>
      </c>
      <c r="G745" t="s">
        <v>3036</v>
      </c>
      <c r="H745" t="s">
        <v>3037</v>
      </c>
      <c r="I745">
        <v>300</v>
      </c>
      <c r="J745" t="s">
        <v>90</v>
      </c>
      <c r="K745" t="s">
        <v>292</v>
      </c>
      <c r="L745" t="s">
        <v>293</v>
      </c>
      <c r="M745">
        <v>41733.835155</v>
      </c>
      <c r="N745">
        <v>166.93534062</v>
      </c>
      <c r="O745">
        <v>41733.835155</v>
      </c>
      <c r="P745">
        <v>223982.98695</v>
      </c>
      <c r="Q745">
        <v>1</v>
      </c>
      <c r="R745">
        <v>8522.47189645</v>
      </c>
      <c r="S745" t="s">
        <v>2650</v>
      </c>
      <c r="T745" t="s">
        <v>93</v>
      </c>
      <c r="U745">
        <v>12.5</v>
      </c>
      <c r="V745" t="s">
        <v>295</v>
      </c>
      <c r="W745" t="s">
        <v>142</v>
      </c>
      <c r="X745" t="s">
        <v>128</v>
      </c>
      <c r="Y745" s="23" t="s">
        <v>120</v>
      </c>
      <c r="AA745">
        <v>51</v>
      </c>
      <c r="AB745" t="s">
        <v>3038</v>
      </c>
      <c r="AC745" t="s">
        <v>3035</v>
      </c>
      <c r="AD745" s="2">
        <v>2</v>
      </c>
      <c r="AE745" s="2" t="s">
        <v>70</v>
      </c>
      <c r="AF745" t="str">
        <f>_xlfn.CONCAT(FINI_grouping_for_wheel[[#This Row],[SEFI/Plant]],"/",IF(FINI_grouping_for_wheel[[#This Row],[RESET recipe combination]]&lt;&gt;"",FINI_grouping_for_wheel[[#This Row],[RESET recipe combination]],FINI_grouping_for_wheel[[#This Row],[Recipe Combination]]),"/",FINI_grouping_for_wheel[[#This Row],[Subgroup]])</f>
        <v>4513759/THDP/x/2</v>
      </c>
      <c r="AG7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0.5648565064816448</v>
      </c>
      <c r="AH745">
        <f>_xlfn.LET(_xlpm.pct, FINI_grouping_for_wheel[[#This Row],[% forecast within subgroup]], _xlpm.lote, FINI_grouping_for_wheel[[#This Row],[Lot size considered]], _xlpm.pct*_xlpm.lote)</f>
        <v>4813.973702016745</v>
      </c>
      <c r="AI745" cm="1">
        <f t="array" aca="1" ref="AI745" ca="1">IFERROR(INDIRECT("FINI_grouping_for_wheel[@["&amp;FINI_grouping_for_wheel[[#This Row],[Selected PV]]&amp;"]]"),"")</f>
        <v>26</v>
      </c>
      <c r="AJ74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16.7</v>
      </c>
      <c r="AL745" s="4"/>
      <c r="AM74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v>
      </c>
      <c r="AN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4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45" t="str">
        <f>_xlfn.CONCAT(FINI_grouping_for_wheel[[#This Row],[Recipe Combination]],FINI_grouping_for_wheel[[#This Row],[Subgroup]])</f>
        <v>(2</v>
      </c>
    </row>
    <row r="746" spans="1:55" hidden="1">
      <c r="A746" t="s">
        <v>11</v>
      </c>
      <c r="B746">
        <v>4513759</v>
      </c>
      <c r="C746" t="s">
        <v>3029</v>
      </c>
      <c r="D746">
        <v>8522.47189645</v>
      </c>
      <c r="E746">
        <v>27</v>
      </c>
      <c r="F746">
        <v>0.54</v>
      </c>
      <c r="G746" t="s">
        <v>3039</v>
      </c>
      <c r="H746" t="s">
        <v>3040</v>
      </c>
      <c r="I746">
        <v>440</v>
      </c>
      <c r="J746" t="s">
        <v>90</v>
      </c>
      <c r="K746" t="s">
        <v>385</v>
      </c>
      <c r="L746" t="s">
        <v>386</v>
      </c>
      <c r="M746">
        <v>2415.1662</v>
      </c>
      <c r="N746">
        <v>9.6606648</v>
      </c>
      <c r="O746">
        <v>10371.0078</v>
      </c>
      <c r="P746">
        <v>223982.98695</v>
      </c>
      <c r="Q746">
        <v>0.23287671232876711</v>
      </c>
      <c r="R746">
        <v>1984.68523616</v>
      </c>
      <c r="S746" t="s">
        <v>3041</v>
      </c>
      <c r="T746" t="s">
        <v>93</v>
      </c>
      <c r="U746">
        <v>10</v>
      </c>
      <c r="V746" t="s">
        <v>94</v>
      </c>
      <c r="W746" t="s">
        <v>95</v>
      </c>
      <c r="X746" t="s">
        <v>96</v>
      </c>
      <c r="Y746" s="23" t="s">
        <v>97</v>
      </c>
      <c r="AA746">
        <v>882</v>
      </c>
      <c r="AB746" t="s">
        <v>3042</v>
      </c>
      <c r="AC746" t="s">
        <v>3035</v>
      </c>
      <c r="AD746" s="2">
        <v>3</v>
      </c>
      <c r="AE746" s="2" t="s">
        <v>70</v>
      </c>
      <c r="AF746" t="str">
        <f>_xlfn.CONCAT(FINI_grouping_for_wheel[[#This Row],[SEFI/Plant]],"/",IF(FINI_grouping_for_wheel[[#This Row],[RESET recipe combination]]&lt;&gt;"",FINI_grouping_for_wheel[[#This Row],[RESET recipe combination]],FINI_grouping_for_wheel[[#This Row],[Recipe Combination]]),"/",FINI_grouping_for_wheel[[#This Row],[Subgroup]])</f>
        <v>4513759/THDP/x/3</v>
      </c>
      <c r="AG7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0.21771611526147278</v>
      </c>
      <c r="AH746">
        <f>_xlfn.LET(_xlpm.pct, FINI_grouping_for_wheel[[#This Row],[% forecast within subgroup]], _xlpm.lote, FINI_grouping_for_wheel[[#This Row],[Lot size considered]], _xlpm.pct*_xlpm.lote)</f>
        <v>1855.4794737201707</v>
      </c>
      <c r="AI746" cm="1">
        <f t="array" aca="1" ref="AI746" ca="1">IFERROR(INDIRECT("FINI_grouping_for_wheel[@["&amp;FINI_grouping_for_wheel[[#This Row],[Selected PV]]&amp;"]]"),"")</f>
        <v>170</v>
      </c>
      <c r="AJ74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4.4</v>
      </c>
      <c r="AL746" s="4"/>
      <c r="AM74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170</v>
      </c>
      <c r="AN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4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46" t="str">
        <f>_xlfn.CONCAT(FINI_grouping_for_wheel[[#This Row],[Recipe Combination]],FINI_grouping_for_wheel[[#This Row],[Subgroup]])</f>
        <v>+3</v>
      </c>
    </row>
    <row r="747" spans="1:55" hidden="1">
      <c r="A747" t="s">
        <v>11</v>
      </c>
      <c r="B747">
        <v>4513759</v>
      </c>
      <c r="C747" t="s">
        <v>3029</v>
      </c>
      <c r="D747">
        <v>8522.47189645</v>
      </c>
      <c r="E747">
        <v>27</v>
      </c>
      <c r="F747">
        <v>0.54</v>
      </c>
      <c r="G747" t="s">
        <v>3043</v>
      </c>
      <c r="H747" t="s">
        <v>3044</v>
      </c>
      <c r="I747">
        <v>440</v>
      </c>
      <c r="J747" t="s">
        <v>90</v>
      </c>
      <c r="K747" t="s">
        <v>666</v>
      </c>
      <c r="L747" t="s">
        <v>667</v>
      </c>
      <c r="M747">
        <v>1610.1108</v>
      </c>
      <c r="N747">
        <v>6.4404432</v>
      </c>
      <c r="O747">
        <v>10371.0078</v>
      </c>
      <c r="P747">
        <v>223982.98695</v>
      </c>
      <c r="Q747">
        <v>0.15525114155251141</v>
      </c>
      <c r="R747">
        <v>1323.12349077</v>
      </c>
      <c r="S747" t="s">
        <v>3041</v>
      </c>
      <c r="T747" t="s">
        <v>93</v>
      </c>
      <c r="U747">
        <v>10</v>
      </c>
      <c r="V747" t="s">
        <v>94</v>
      </c>
      <c r="W747" t="s">
        <v>95</v>
      </c>
      <c r="X747" t="s">
        <v>96</v>
      </c>
      <c r="Y747" s="23" t="s">
        <v>97</v>
      </c>
      <c r="AA747">
        <v>1323</v>
      </c>
      <c r="AB747" t="s">
        <v>3045</v>
      </c>
      <c r="AC747" t="s">
        <v>3035</v>
      </c>
      <c r="AD747" s="2">
        <v>3</v>
      </c>
      <c r="AE747" s="2" t="s">
        <v>70</v>
      </c>
      <c r="AF747" t="str">
        <f>_xlfn.CONCAT(FINI_grouping_for_wheel[[#This Row],[SEFI/Plant]],"/",IF(FINI_grouping_for_wheel[[#This Row],[RESET recipe combination]]&lt;&gt;"",FINI_grouping_for_wheel[[#This Row],[RESET recipe combination]],FINI_grouping_for_wheel[[#This Row],[Recipe Combination]]),"/",FINI_grouping_for_wheel[[#This Row],[Subgroup]])</f>
        <v>4513759/THDP/x/3</v>
      </c>
      <c r="AG7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0.14514407684098185</v>
      </c>
      <c r="AH747">
        <f>_xlfn.LET(_xlpm.pct, FINI_grouping_for_wheel[[#This Row],[% forecast within subgroup]], _xlpm.lote, FINI_grouping_for_wheel[[#This Row],[Lot size considered]], _xlpm.pct*_xlpm.lote)</f>
        <v>1236.9863158134472</v>
      </c>
      <c r="AI747" cm="1">
        <f t="array" aca="1" ref="AI747" ca="1">IFERROR(INDIRECT("FINI_grouping_for_wheel[@["&amp;FINI_grouping_for_wheel[[#This Row],[Selected PV]]&amp;"]]"),"")</f>
        <v>170</v>
      </c>
      <c r="AJ74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v>
      </c>
      <c r="AL747" s="4"/>
      <c r="AM74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170</v>
      </c>
      <c r="AN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4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47" t="str">
        <f>_xlfn.CONCAT(FINI_grouping_for_wheel[[#This Row],[Recipe Combination]],FINI_grouping_for_wheel[[#This Row],[Subgroup]])</f>
        <v>+3</v>
      </c>
    </row>
    <row r="748" spans="1:55" hidden="1">
      <c r="A748" t="s">
        <v>11</v>
      </c>
      <c r="B748">
        <v>4513759</v>
      </c>
      <c r="C748" t="s">
        <v>3029</v>
      </c>
      <c r="D748">
        <v>8522.47189645</v>
      </c>
      <c r="E748">
        <v>27</v>
      </c>
      <c r="F748">
        <v>0.54</v>
      </c>
      <c r="G748" t="s">
        <v>3046</v>
      </c>
      <c r="H748" t="s">
        <v>3047</v>
      </c>
      <c r="I748">
        <v>440</v>
      </c>
      <c r="J748" t="s">
        <v>90</v>
      </c>
      <c r="K748" t="s">
        <v>666</v>
      </c>
      <c r="L748" t="s">
        <v>667</v>
      </c>
      <c r="M748">
        <v>4060.79415</v>
      </c>
      <c r="N748">
        <v>16.2431766</v>
      </c>
      <c r="O748">
        <v>10371.0078</v>
      </c>
      <c r="P748">
        <v>223982.98695</v>
      </c>
      <c r="Q748">
        <v>0.39155251141552511</v>
      </c>
      <c r="R748">
        <v>3336.99527452</v>
      </c>
      <c r="S748" t="s">
        <v>3041</v>
      </c>
      <c r="T748" t="s">
        <v>93</v>
      </c>
      <c r="U748">
        <v>10</v>
      </c>
      <c r="V748" t="s">
        <v>94</v>
      </c>
      <c r="W748" t="s">
        <v>95</v>
      </c>
      <c r="X748" t="s">
        <v>96</v>
      </c>
      <c r="Y748" s="23" t="s">
        <v>97</v>
      </c>
      <c r="AA748">
        <v>525</v>
      </c>
      <c r="AB748" t="s">
        <v>3048</v>
      </c>
      <c r="AC748" t="s">
        <v>3035</v>
      </c>
      <c r="AD748" s="2">
        <v>3</v>
      </c>
      <c r="AE748" s="2" t="s">
        <v>70</v>
      </c>
      <c r="AF748" t="str">
        <f>_xlfn.CONCAT(FINI_grouping_for_wheel[[#This Row],[SEFI/Plant]],"/",IF(FINI_grouping_for_wheel[[#This Row],[RESET recipe combination]]&lt;&gt;"",FINI_grouping_for_wheel[[#This Row],[RESET recipe combination]],FINI_grouping_for_wheel[[#This Row],[Recipe Combination]]),"/",FINI_grouping_for_wheel[[#This Row],[Subgroup]])</f>
        <v>4513759/THDP/x/3</v>
      </c>
      <c r="AG7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0.3660618996798292</v>
      </c>
      <c r="AH748">
        <f>_xlfn.LET(_xlpm.pct, FINI_grouping_for_wheel[[#This Row],[% forecast within subgroup]], _xlpm.lote, FINI_grouping_for_wheel[[#This Row],[Lot size considered]], _xlpm.pct*_xlpm.lote)</f>
        <v>3119.752252382444</v>
      </c>
      <c r="AI748" cm="1">
        <f t="array" aca="1" ref="AI748" ca="1">IFERROR(INDIRECT("FINI_grouping_for_wheel[@["&amp;FINI_grouping_for_wheel[[#This Row],[Selected PV]]&amp;"]]"),"")</f>
        <v>170</v>
      </c>
      <c r="AJ74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7.4</v>
      </c>
      <c r="AL748" s="4"/>
      <c r="AM74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170</v>
      </c>
      <c r="AN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4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48" t="str">
        <f>_xlfn.CONCAT(FINI_grouping_for_wheel[[#This Row],[Recipe Combination]],FINI_grouping_for_wheel[[#This Row],[Subgroup]])</f>
        <v>+3</v>
      </c>
    </row>
    <row r="749" spans="1:55" hidden="1">
      <c r="A749" t="s">
        <v>11</v>
      </c>
      <c r="B749">
        <v>4513759</v>
      </c>
      <c r="C749" t="s">
        <v>3029</v>
      </c>
      <c r="D749">
        <v>8522.47189645</v>
      </c>
      <c r="E749">
        <v>27</v>
      </c>
      <c r="F749">
        <v>0.54</v>
      </c>
      <c r="G749" t="s">
        <v>3049</v>
      </c>
      <c r="H749" t="s">
        <v>3050</v>
      </c>
      <c r="I749">
        <v>360</v>
      </c>
      <c r="J749" t="s">
        <v>90</v>
      </c>
      <c r="K749" t="s">
        <v>3051</v>
      </c>
      <c r="L749" t="s">
        <v>3052</v>
      </c>
      <c r="M749">
        <v>2284.93665</v>
      </c>
      <c r="N749">
        <v>9.1397466</v>
      </c>
      <c r="O749">
        <v>10371.0078</v>
      </c>
      <c r="P749">
        <v>223982.98695</v>
      </c>
      <c r="Q749">
        <v>0.22031963470319635</v>
      </c>
      <c r="R749">
        <v>1877.66789499</v>
      </c>
      <c r="S749" t="s">
        <v>3041</v>
      </c>
      <c r="T749" t="s">
        <v>93</v>
      </c>
      <c r="U749">
        <v>10</v>
      </c>
      <c r="V749" t="s">
        <v>158</v>
      </c>
      <c r="W749" t="s">
        <v>159</v>
      </c>
      <c r="X749" t="s">
        <v>96</v>
      </c>
      <c r="Y749" s="23" t="s">
        <v>97</v>
      </c>
      <c r="AA749">
        <v>932</v>
      </c>
      <c r="AB749" t="s">
        <v>3053</v>
      </c>
      <c r="AC749" t="s">
        <v>3035</v>
      </c>
      <c r="AD749" s="2">
        <v>3</v>
      </c>
      <c r="AE749" s="2" t="s">
        <v>70</v>
      </c>
      <c r="AF749" t="str">
        <f>_xlfn.CONCAT(FINI_grouping_for_wheel[[#This Row],[SEFI/Plant]],"/",IF(FINI_grouping_for_wheel[[#This Row],[RESET recipe combination]]&lt;&gt;"",FINI_grouping_for_wheel[[#This Row],[RESET recipe combination]],FINI_grouping_for_wheel[[#This Row],[Recipe Combination]]),"/",FINI_grouping_for_wheel[[#This Row],[Subgroup]])</f>
        <v>4513759/THDP/x/3</v>
      </c>
      <c r="AG7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0.20597652081109924</v>
      </c>
      <c r="AH749">
        <f>_xlfn.LET(_xlpm.pct, FINI_grouping_for_wheel[[#This Row],[% forecast within subgroup]], _xlpm.lote, FINI_grouping_for_wheel[[#This Row],[Lot size considered]], _xlpm.pct*_xlpm.lote)</f>
        <v>1755.429109941142</v>
      </c>
      <c r="AI749" cm="1">
        <f t="array" aca="1" ref="AI749" ca="1">IFERROR(INDIRECT("FINI_grouping_for_wheel[@["&amp;FINI_grouping_for_wheel[[#This Row],[Selected PV]]&amp;"]]"),"")</f>
        <v>170</v>
      </c>
      <c r="AJ74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5.1</v>
      </c>
      <c r="AL749" s="4"/>
      <c r="AM74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170</v>
      </c>
      <c r="AN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4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49" t="str">
        <f>_xlfn.CONCAT(FINI_grouping_for_wheel[[#This Row],[Recipe Combination]],FINI_grouping_for_wheel[[#This Row],[Subgroup]])</f>
        <v>+3</v>
      </c>
    </row>
    <row r="750" spans="1:55" hidden="1">
      <c r="A750" t="s">
        <v>11</v>
      </c>
      <c r="B750">
        <v>4513759</v>
      </c>
      <c r="C750" t="s">
        <v>3029</v>
      </c>
      <c r="D750">
        <v>8522.47189645</v>
      </c>
      <c r="E750">
        <v>27</v>
      </c>
      <c r="F750">
        <v>0.54</v>
      </c>
      <c r="G750" t="s">
        <v>3054</v>
      </c>
      <c r="H750" t="s">
        <v>3055</v>
      </c>
      <c r="I750">
        <v>405</v>
      </c>
      <c r="J750" t="s">
        <v>90</v>
      </c>
      <c r="K750" t="s">
        <v>406</v>
      </c>
      <c r="L750" t="s">
        <v>407</v>
      </c>
      <c r="M750">
        <v>177.58575</v>
      </c>
      <c r="N750">
        <v>0.710343</v>
      </c>
      <c r="O750">
        <v>10601.869275</v>
      </c>
      <c r="P750">
        <v>223982.98695</v>
      </c>
      <c r="Q750">
        <v>1.675041876046901E-2</v>
      </c>
      <c r="R750">
        <v>142.75497314</v>
      </c>
      <c r="S750" t="s">
        <v>2165</v>
      </c>
      <c r="T750" t="s">
        <v>93</v>
      </c>
      <c r="U750">
        <v>15</v>
      </c>
      <c r="V750" t="s">
        <v>408</v>
      </c>
      <c r="W750" t="s">
        <v>142</v>
      </c>
      <c r="X750" t="s">
        <v>96</v>
      </c>
      <c r="Y750" s="23" t="s">
        <v>97</v>
      </c>
      <c r="AA750">
        <v>11998</v>
      </c>
      <c r="AB750" t="s">
        <v>3056</v>
      </c>
      <c r="AC750" t="s">
        <v>3035</v>
      </c>
      <c r="AD750" s="2">
        <v>4</v>
      </c>
      <c r="AE750" s="2" t="s">
        <v>70</v>
      </c>
      <c r="AF750" t="str">
        <f>_xlfn.CONCAT(FINI_grouping_for_wheel[[#This Row],[SEFI/Plant]],"/",IF(FINI_grouping_for_wheel[[#This Row],[RESET recipe combination]]&lt;&gt;"",FINI_grouping_for_wheel[[#This Row],[RESET recipe combination]],FINI_grouping_for_wheel[[#This Row],[Recipe Combination]]),"/",FINI_grouping_for_wheel[[#This Row],[Subgroup]])</f>
        <v>4513759/THDP/x/4</v>
      </c>
      <c r="AG7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0.018815855494229802</v>
      </c>
      <c r="AH750">
        <f>_xlfn.LET(_xlpm.pct, FINI_grouping_for_wheel[[#This Row],[% forecast within subgroup]], _xlpm.lote, FINI_grouping_for_wheel[[#This Row],[Lot size considered]], _xlpm.pct*_xlpm.lote)</f>
        <v>160.35759965723784</v>
      </c>
      <c r="AI750" cm="1">
        <f t="array" aca="1" ref="AI750" ca="1">IFERROR(INDIRECT("FINI_grouping_for_wheel[@["&amp;FINI_grouping_for_wheel[[#This Row],[Selected PV]]&amp;"]]"),"")</f>
        <v>200</v>
      </c>
      <c r="AJ75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0.4</v>
      </c>
      <c r="AL750" s="4"/>
      <c r="AM75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200</v>
      </c>
      <c r="AN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5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50" t="str">
        <f>_xlfn.CONCAT(FINI_grouping_for_wheel[[#This Row],[Recipe Combination]],FINI_grouping_for_wheel[[#This Row],[Subgroup]])</f>
        <v>-4</v>
      </c>
    </row>
    <row r="751" spans="1:55" hidden="1">
      <c r="A751" t="s">
        <v>11</v>
      </c>
      <c r="B751">
        <v>4513759</v>
      </c>
      <c r="C751" t="s">
        <v>3029</v>
      </c>
      <c r="D751">
        <v>8522.47189645</v>
      </c>
      <c r="E751">
        <v>27</v>
      </c>
      <c r="F751">
        <v>0.54</v>
      </c>
      <c r="G751" t="s">
        <v>3057</v>
      </c>
      <c r="H751" t="s">
        <v>3058</v>
      </c>
      <c r="I751">
        <v>405</v>
      </c>
      <c r="J751" t="s">
        <v>90</v>
      </c>
      <c r="K751" t="s">
        <v>406</v>
      </c>
      <c r="L751" t="s">
        <v>407</v>
      </c>
      <c r="M751">
        <v>10424.283525</v>
      </c>
      <c r="N751">
        <v>41.6971341</v>
      </c>
      <c r="O751">
        <v>10601.869275</v>
      </c>
      <c r="P751">
        <v>223982.98695</v>
      </c>
      <c r="Q751">
        <v>0.98324958123953099</v>
      </c>
      <c r="R751">
        <v>8379.71692331</v>
      </c>
      <c r="S751" t="s">
        <v>2165</v>
      </c>
      <c r="T751" t="s">
        <v>93</v>
      </c>
      <c r="U751">
        <v>15</v>
      </c>
      <c r="V751" t="s">
        <v>408</v>
      </c>
      <c r="W751" t="s">
        <v>142</v>
      </c>
      <c r="X751" t="s">
        <v>96</v>
      </c>
      <c r="Y751" s="23" t="s">
        <v>97</v>
      </c>
      <c r="AA751">
        <v>204</v>
      </c>
      <c r="AB751" t="s">
        <v>3059</v>
      </c>
      <c r="AC751" t="s">
        <v>3035</v>
      </c>
      <c r="AD751" s="2">
        <v>5</v>
      </c>
      <c r="AE751" s="2" t="s">
        <v>70</v>
      </c>
      <c r="AF751" t="str">
        <f>_xlfn.CONCAT(FINI_grouping_for_wheel[[#This Row],[SEFI/Plant]],"/",IF(FINI_grouping_for_wheel[[#This Row],[RESET recipe combination]]&lt;&gt;"",FINI_grouping_for_wheel[[#This Row],[RESET recipe combination]],FINI_grouping_for_wheel[[#This Row],[Recipe Combination]]),"/",FINI_grouping_for_wheel[[#This Row],[Subgroup]])</f>
        <v>4513759/THDP/x/5</v>
      </c>
      <c r="AG7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751">
        <f>_xlfn.LET(_xlpm.pct, FINI_grouping_for_wheel[[#This Row],[% forecast within subgroup]], _xlpm.lote, FINI_grouping_for_wheel[[#This Row],[Lot size considered]], _xlpm.pct*_xlpm.lote)</f>
        <v>8522.47189645</v>
      </c>
      <c r="AI751" cm="1">
        <f t="array" aca="1" ref="AI751" ca="1">IFERROR(INDIRECT("FINI_grouping_for_wheel[@["&amp;FINI_grouping_for_wheel[[#This Row],[Selected PV]]&amp;"]]"),"")</f>
        <v>181</v>
      </c>
      <c r="AJ75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21.9</v>
      </c>
      <c r="AL751" s="4"/>
      <c r="AM75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181</v>
      </c>
      <c r="AN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5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51" t="str">
        <f>_xlfn.CONCAT(FINI_grouping_for_wheel[[#This Row],[Recipe Combination]],FINI_grouping_for_wheel[[#This Row],[Subgroup]])</f>
        <v>-5</v>
      </c>
    </row>
    <row r="752" spans="1:55" hidden="1">
      <c r="A752" t="s">
        <v>11</v>
      </c>
      <c r="B752">
        <v>4513759</v>
      </c>
      <c r="C752" t="s">
        <v>3029</v>
      </c>
      <c r="D752">
        <v>8522.47189645</v>
      </c>
      <c r="E752">
        <v>27</v>
      </c>
      <c r="F752">
        <v>0.54</v>
      </c>
      <c r="G752" t="s">
        <v>3060</v>
      </c>
      <c r="H752" t="s">
        <v>3061</v>
      </c>
      <c r="I752">
        <v>375</v>
      </c>
      <c r="J752" t="s">
        <v>90</v>
      </c>
      <c r="K752" t="s">
        <v>1305</v>
      </c>
      <c r="L752" t="s">
        <v>1306</v>
      </c>
      <c r="M752">
        <v>4752.19467</v>
      </c>
      <c r="N752">
        <v>19.00877868</v>
      </c>
      <c r="O752">
        <v>4752.19467</v>
      </c>
      <c r="P752">
        <v>223982.98695</v>
      </c>
      <c r="Q752">
        <v>1</v>
      </c>
      <c r="R752">
        <v>8522.47189645</v>
      </c>
      <c r="S752" t="s">
        <v>104</v>
      </c>
      <c r="T752" t="s">
        <v>93</v>
      </c>
      <c r="U752">
        <v>2.5</v>
      </c>
      <c r="V752" t="s">
        <v>105</v>
      </c>
      <c r="W752" t="s">
        <v>95</v>
      </c>
      <c r="X752" t="s">
        <v>106</v>
      </c>
      <c r="Y752" s="23" t="s">
        <v>107</v>
      </c>
      <c r="AA752">
        <v>448</v>
      </c>
      <c r="AB752" t="s">
        <v>3062</v>
      </c>
      <c r="AC752" t="s">
        <v>3035</v>
      </c>
      <c r="AD752" s="2">
        <v>90</v>
      </c>
      <c r="AE752" s="2" t="s">
        <v>70</v>
      </c>
      <c r="AF752" t="str">
        <f>_xlfn.CONCAT(FINI_grouping_for_wheel[[#This Row],[SEFI/Plant]],"/",IF(FINI_grouping_for_wheel[[#This Row],[RESET recipe combination]]&lt;&gt;"",FINI_grouping_for_wheel[[#This Row],[RESET recipe combination]],FINI_grouping_for_wheel[[#This Row],[Recipe Combination]]),"/",FINI_grouping_for_wheel[[#This Row],[Subgroup]])</f>
        <v>4513759/THDP/x/90</v>
      </c>
      <c r="AG7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0.385146804835924</v>
      </c>
      <c r="AH752">
        <f>_xlfn.LET(_xlpm.pct, FINI_grouping_for_wheel[[#This Row],[% forecast within subgroup]], _xlpm.lote, FINI_grouping_for_wheel[[#This Row],[Lot size considered]], _xlpm.pct*_xlpm.lote)</f>
        <v>3282.4028202216755</v>
      </c>
      <c r="AI752" cm="1">
        <f t="array" aca="1" ref="AI752" ca="1">IFERROR(INDIRECT("FINI_grouping_for_wheel[@["&amp;FINI_grouping_for_wheel[[#This Row],[Selected PV]]&amp;"]]"),"")</f>
        <v>153</v>
      </c>
      <c r="AJ75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9.1</v>
      </c>
      <c r="AL752" s="4"/>
      <c r="AM75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153</v>
      </c>
      <c r="AN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5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52" t="str">
        <f>_xlfn.CONCAT(FINI_grouping_for_wheel[[#This Row],[Recipe Combination]],FINI_grouping_for_wheel[[#This Row],[Subgroup]])</f>
        <v>090</v>
      </c>
    </row>
    <row r="753" spans="1:55" hidden="1">
      <c r="A753" t="s">
        <v>11</v>
      </c>
      <c r="B753">
        <v>4513759</v>
      </c>
      <c r="C753" t="s">
        <v>3029</v>
      </c>
      <c r="D753">
        <v>8522.47189645</v>
      </c>
      <c r="E753">
        <v>27</v>
      </c>
      <c r="F753">
        <v>0.54</v>
      </c>
      <c r="G753" t="s">
        <v>3063</v>
      </c>
      <c r="H753" t="s">
        <v>3064</v>
      </c>
      <c r="I753">
        <v>375</v>
      </c>
      <c r="J753" t="s">
        <v>90</v>
      </c>
      <c r="K753" t="s">
        <v>3065</v>
      </c>
      <c r="L753" t="s">
        <v>3066</v>
      </c>
      <c r="M753">
        <v>1271.51397</v>
      </c>
      <c r="N753">
        <v>5.08605588</v>
      </c>
      <c r="O753">
        <v>1271.51397</v>
      </c>
      <c r="P753">
        <v>223982.98695</v>
      </c>
      <c r="Q753">
        <v>1</v>
      </c>
      <c r="R753">
        <v>8522.47189645</v>
      </c>
      <c r="S753" t="s">
        <v>266</v>
      </c>
      <c r="T753" t="s">
        <v>93</v>
      </c>
      <c r="U753">
        <v>2.5</v>
      </c>
      <c r="V753" t="s">
        <v>3067</v>
      </c>
      <c r="W753" t="s">
        <v>142</v>
      </c>
      <c r="X753" t="s">
        <v>150</v>
      </c>
      <c r="Y753" s="23" t="s">
        <v>151</v>
      </c>
      <c r="AA753">
        <v>1676</v>
      </c>
      <c r="AB753" t="s">
        <v>3068</v>
      </c>
      <c r="AC753" t="s">
        <v>3035</v>
      </c>
      <c r="AD753" s="2">
        <v>100</v>
      </c>
      <c r="AE753" s="2" t="s">
        <v>70</v>
      </c>
      <c r="AF753" t="str">
        <f>_xlfn.CONCAT(FINI_grouping_for_wheel[[#This Row],[SEFI/Plant]],"/",IF(FINI_grouping_for_wheel[[#This Row],[RESET recipe combination]]&lt;&gt;"",FINI_grouping_for_wheel[[#This Row],[RESET recipe combination]],FINI_grouping_for_wheel[[#This Row],[Recipe Combination]]),"/",FINI_grouping_for_wheel[[#This Row],[Subgroup]])</f>
        <v>4513759/THDP/x/100</v>
      </c>
      <c r="AG7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0.13565744600227359</v>
      </c>
      <c r="AH753">
        <f>_xlfn.LET(_xlpm.pct, FINI_grouping_for_wheel[[#This Row],[% forecast within subgroup]], _xlpm.lote, FINI_grouping_for_wheel[[#This Row],[Lot size considered]], _xlpm.pct*_xlpm.lote)</f>
        <v>1156.13677109856</v>
      </c>
      <c r="AI753" cm="1">
        <f t="array" aca="1" ref="AI753" ca="1">IFERROR(INDIRECT("FINI_grouping_for_wheel[@["&amp;FINI_grouping_for_wheel[[#This Row],[Selected PV]]&amp;"]]"),"")</f>
        <v>201</v>
      </c>
      <c r="AJ75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3.2</v>
      </c>
      <c r="AL753" s="4"/>
      <c r="AM75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201</v>
      </c>
      <c r="AN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5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53" t="str">
        <f>_xlfn.CONCAT(FINI_grouping_for_wheel[[#This Row],[Recipe Combination]],FINI_grouping_for_wheel[[#This Row],[Subgroup]])</f>
        <v>1100</v>
      </c>
    </row>
    <row r="754" spans="1:55" hidden="1">
      <c r="A754" t="s">
        <v>11</v>
      </c>
      <c r="B754">
        <v>4513759</v>
      </c>
      <c r="C754" t="s">
        <v>3029</v>
      </c>
      <c r="D754">
        <v>8522.47189645</v>
      </c>
      <c r="E754">
        <v>27</v>
      </c>
      <c r="F754">
        <v>0.54</v>
      </c>
      <c r="G754" t="s">
        <v>3069</v>
      </c>
      <c r="H754" t="s">
        <v>3070</v>
      </c>
      <c r="I754">
        <v>280</v>
      </c>
      <c r="J754" t="s">
        <v>90</v>
      </c>
      <c r="K754" t="s">
        <v>140</v>
      </c>
      <c r="L754" t="s">
        <v>141</v>
      </c>
      <c r="M754">
        <v>722.18205</v>
      </c>
      <c r="N754">
        <v>2.8887282</v>
      </c>
      <c r="O754">
        <v>722.18205</v>
      </c>
      <c r="P754">
        <v>223982.98695</v>
      </c>
      <c r="Q754">
        <v>1</v>
      </c>
      <c r="R754">
        <v>8522.47189645</v>
      </c>
      <c r="S754" t="s">
        <v>1316</v>
      </c>
      <c r="T754" t="s">
        <v>93</v>
      </c>
      <c r="U754">
        <v>5</v>
      </c>
      <c r="V754" t="s">
        <v>135</v>
      </c>
      <c r="W754" t="s">
        <v>142</v>
      </c>
      <c r="X754" t="s">
        <v>128</v>
      </c>
      <c r="Y754" s="23" t="s">
        <v>136</v>
      </c>
      <c r="AA754">
        <v>2950</v>
      </c>
      <c r="AB754" t="s">
        <v>3071</v>
      </c>
      <c r="AC754" t="s">
        <v>3035</v>
      </c>
      <c r="AD754" s="2">
        <v>3</v>
      </c>
      <c r="AE754" s="2" t="s">
        <v>70</v>
      </c>
      <c r="AF754" t="str">
        <f>_xlfn.CONCAT(FINI_grouping_for_wheel[[#This Row],[SEFI/Plant]],"/",IF(FINI_grouping_for_wheel[[#This Row],[RESET recipe combination]]&lt;&gt;"",FINI_grouping_for_wheel[[#This Row],[RESET recipe combination]],FINI_grouping_for_wheel[[#This Row],[Recipe Combination]]),"/",FINI_grouping_for_wheel[[#This Row],[Subgroup]])</f>
        <v>4513759/THDP/x/3</v>
      </c>
      <c r="AG7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0.06510138740661686</v>
      </c>
      <c r="AH754">
        <f>_xlfn.LET(_xlpm.pct, FINI_grouping_for_wheel[[#This Row],[% forecast within subgroup]], _xlpm.lote, FINI_grouping_for_wheel[[#This Row],[Lot size considered]], _xlpm.pct*_xlpm.lote)</f>
        <v>554.8247445927962</v>
      </c>
      <c r="AI754" cm="1">
        <f t="array" aca="1" ref="AI754" ca="1">IFERROR(INDIRECT("FINI_grouping_for_wheel[@["&amp;FINI_grouping_for_wheel[[#This Row],[Selected PV]]&amp;"]]"),"")</f>
        <v>170</v>
      </c>
      <c r="AJ75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v>
      </c>
      <c r="AL754" s="4"/>
      <c r="AM75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170</v>
      </c>
      <c r="AN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5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54" t="str">
        <f>_xlfn.CONCAT(FINI_grouping_for_wheel[[#This Row],[Recipe Combination]],FINI_grouping_for_wheel[[#This Row],[Subgroup]])</f>
        <v>63</v>
      </c>
    </row>
    <row r="755" spans="1:55" hidden="1">
      <c r="A755" t="s">
        <v>11</v>
      </c>
      <c r="B755">
        <v>4513759</v>
      </c>
      <c r="C755" t="s">
        <v>3029</v>
      </c>
      <c r="D755">
        <v>8522.47189645</v>
      </c>
      <c r="E755">
        <v>27</v>
      </c>
      <c r="F755">
        <v>0.54</v>
      </c>
      <c r="G755" t="s">
        <v>3072</v>
      </c>
      <c r="H755" t="s">
        <v>3073</v>
      </c>
      <c r="I755">
        <v>405</v>
      </c>
      <c r="J755" t="s">
        <v>90</v>
      </c>
      <c r="K755" t="s">
        <v>406</v>
      </c>
      <c r="L755" t="s">
        <v>407</v>
      </c>
      <c r="M755">
        <v>710.343</v>
      </c>
      <c r="N755">
        <v>2.841372</v>
      </c>
      <c r="O755">
        <v>2131.029</v>
      </c>
      <c r="P755">
        <v>223982.98695</v>
      </c>
      <c r="Q755">
        <v>0.33333333333333331</v>
      </c>
      <c r="R755">
        <v>2840.82396548</v>
      </c>
      <c r="S755" t="s">
        <v>118</v>
      </c>
      <c r="T755" t="s">
        <v>93</v>
      </c>
      <c r="U755">
        <v>15</v>
      </c>
      <c r="V755" t="s">
        <v>408</v>
      </c>
      <c r="W755" t="s">
        <v>142</v>
      </c>
      <c r="X755" t="s">
        <v>96</v>
      </c>
      <c r="Y755" s="23" t="s">
        <v>97</v>
      </c>
      <c r="AA755">
        <v>2999</v>
      </c>
      <c r="AB755" t="s">
        <v>3074</v>
      </c>
      <c r="AC755" t="s">
        <v>3035</v>
      </c>
      <c r="AD755" s="2">
        <v>4</v>
      </c>
      <c r="AE755" s="2" t="s">
        <v>70</v>
      </c>
      <c r="AF755" t="str">
        <f>_xlfn.CONCAT(FINI_grouping_for_wheel[[#This Row],[SEFI/Plant]],"/",IF(FINI_grouping_for_wheel[[#This Row],[RESET recipe combination]]&lt;&gt;"",FINI_grouping_for_wheel[[#This Row],[RESET recipe combination]],FINI_grouping_for_wheel[[#This Row],[Recipe Combination]]),"/",FINI_grouping_for_wheel[[#This Row],[Subgroup]])</f>
        <v>4513759/THDP/x/4</v>
      </c>
      <c r="AG7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0.07526342197691921</v>
      </c>
      <c r="AH755">
        <f>_xlfn.LET(_xlpm.pct, FINI_grouping_for_wheel[[#This Row],[% forecast within subgroup]], _xlpm.lote, FINI_grouping_for_wheel[[#This Row],[Lot size considered]], _xlpm.pct*_xlpm.lote)</f>
        <v>641.4303986289514</v>
      </c>
      <c r="AI755" cm="1">
        <f t="array" aca="1" ref="AI755" ca="1">IFERROR(INDIRECT("FINI_grouping_for_wheel[@["&amp;FINI_grouping_for_wheel[[#This Row],[Selected PV]]&amp;"]]"),"")</f>
        <v>200</v>
      </c>
      <c r="AJ75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v>
      </c>
      <c r="AL755" s="4"/>
      <c r="AM75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200</v>
      </c>
      <c r="AN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5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55" t="str">
        <f>_xlfn.CONCAT(FINI_grouping_for_wheel[[#This Row],[Recipe Combination]],FINI_grouping_for_wheel[[#This Row],[Subgroup]])</f>
        <v>A4</v>
      </c>
    </row>
    <row r="756" spans="1:55" hidden="1">
      <c r="A756" t="s">
        <v>11</v>
      </c>
      <c r="B756">
        <v>4513759</v>
      </c>
      <c r="C756" t="s">
        <v>3029</v>
      </c>
      <c r="D756">
        <v>8522.47189645</v>
      </c>
      <c r="E756">
        <v>27</v>
      </c>
      <c r="F756">
        <v>0.54</v>
      </c>
      <c r="G756" t="s">
        <v>3075</v>
      </c>
      <c r="H756" t="s">
        <v>3076</v>
      </c>
      <c r="I756">
        <v>405</v>
      </c>
      <c r="J756" t="s">
        <v>90</v>
      </c>
      <c r="K756" t="s">
        <v>412</v>
      </c>
      <c r="L756" t="s">
        <v>413</v>
      </c>
      <c r="M756">
        <v>1420.686</v>
      </c>
      <c r="N756">
        <v>5.682744</v>
      </c>
      <c r="O756">
        <v>2131.029</v>
      </c>
      <c r="P756">
        <v>223982.98695</v>
      </c>
      <c r="Q756">
        <v>0.66666666666666663</v>
      </c>
      <c r="R756">
        <v>5681.64793097</v>
      </c>
      <c r="S756" t="s">
        <v>118</v>
      </c>
      <c r="T756" t="s">
        <v>93</v>
      </c>
      <c r="U756">
        <v>15</v>
      </c>
      <c r="V756" t="s">
        <v>408</v>
      </c>
      <c r="W756" t="s">
        <v>95</v>
      </c>
      <c r="X756" t="s">
        <v>96</v>
      </c>
      <c r="Y756" s="23" t="s">
        <v>97</v>
      </c>
      <c r="AA756">
        <v>1500</v>
      </c>
      <c r="AB756" t="s">
        <v>3077</v>
      </c>
      <c r="AC756" t="s">
        <v>3035</v>
      </c>
      <c r="AD756" s="2">
        <v>4</v>
      </c>
      <c r="AE756" s="2" t="s">
        <v>70</v>
      </c>
      <c r="AF756" t="str">
        <f>_xlfn.CONCAT(FINI_grouping_for_wheel[[#This Row],[SEFI/Plant]],"/",IF(FINI_grouping_for_wheel[[#This Row],[RESET recipe combination]]&lt;&gt;"",FINI_grouping_for_wheel[[#This Row],[RESET recipe combination]],FINI_grouping_for_wheel[[#This Row],[Recipe Combination]]),"/",FINI_grouping_for_wheel[[#This Row],[Subgroup]])</f>
        <v>4513759/THDP/x/4</v>
      </c>
      <c r="AG7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0.15052684395383842</v>
      </c>
      <c r="AH756">
        <f>_xlfn.LET(_xlpm.pct, FINI_grouping_for_wheel[[#This Row],[% forecast within subgroup]], _xlpm.lote, FINI_grouping_for_wheel[[#This Row],[Lot size considered]], _xlpm.pct*_xlpm.lote)</f>
        <v>1282.8607972579027</v>
      </c>
      <c r="AI756" cm="1">
        <f t="array" aca="1" ref="AI756" ca="1">IFERROR(INDIRECT("FINI_grouping_for_wheel[@["&amp;FINI_grouping_for_wheel[[#This Row],[Selected PV]]&amp;"]]"),"")</f>
        <v>200</v>
      </c>
      <c r="AJ75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3.3</v>
      </c>
      <c r="AL756" s="4"/>
      <c r="AM75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200</v>
      </c>
      <c r="AN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5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56" t="str">
        <f>_xlfn.CONCAT(FINI_grouping_for_wheel[[#This Row],[Recipe Combination]],FINI_grouping_for_wheel[[#This Row],[Subgroup]])</f>
        <v>A4</v>
      </c>
    </row>
    <row r="757" spans="1:55" hidden="1">
      <c r="A757" t="s">
        <v>11</v>
      </c>
      <c r="B757">
        <v>4513759</v>
      </c>
      <c r="C757" t="s">
        <v>3029</v>
      </c>
      <c r="D757">
        <v>8522.47189645</v>
      </c>
      <c r="E757">
        <v>27</v>
      </c>
      <c r="F757">
        <v>0.54</v>
      </c>
      <c r="G757" t="s">
        <v>3078</v>
      </c>
      <c r="H757" t="s">
        <v>3079</v>
      </c>
      <c r="I757">
        <v>300</v>
      </c>
      <c r="J757" t="s">
        <v>90</v>
      </c>
      <c r="K757" t="s">
        <v>292</v>
      </c>
      <c r="L757" t="s">
        <v>293</v>
      </c>
      <c r="M757">
        <v>5374.9287</v>
      </c>
      <c r="N757">
        <v>21.4997148</v>
      </c>
      <c r="O757">
        <v>7129.47591</v>
      </c>
      <c r="P757">
        <v>223982.98695</v>
      </c>
      <c r="Q757">
        <v>0.75390235802059113</v>
      </c>
      <c r="R757">
        <v>6425.1116589</v>
      </c>
      <c r="S757" t="s">
        <v>294</v>
      </c>
      <c r="T757" t="s">
        <v>93</v>
      </c>
      <c r="U757">
        <v>12.5</v>
      </c>
      <c r="V757" t="s">
        <v>295</v>
      </c>
      <c r="W757" t="s">
        <v>142</v>
      </c>
      <c r="X757" t="s">
        <v>128</v>
      </c>
      <c r="Y757" s="23" t="s">
        <v>120</v>
      </c>
      <c r="AA757">
        <v>396</v>
      </c>
      <c r="AB757" t="s">
        <v>3080</v>
      </c>
      <c r="AC757" t="s">
        <v>3035</v>
      </c>
      <c r="AD757" s="2">
        <v>4</v>
      </c>
      <c r="AE757" s="2" t="s">
        <v>70</v>
      </c>
      <c r="AF757" t="str">
        <f>_xlfn.CONCAT(FINI_grouping_for_wheel[[#This Row],[SEFI/Plant]],"/",IF(FINI_grouping_for_wheel[[#This Row],[RESET recipe combination]]&lt;&gt;"",FINI_grouping_for_wheel[[#This Row],[RESET recipe combination]],FINI_grouping_for_wheel[[#This Row],[Recipe Combination]]),"/",FINI_grouping_for_wheel[[#This Row],[Subgroup]])</f>
        <v>4513759/THDP/x/4</v>
      </c>
      <c r="AG7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0.5694932262920221</v>
      </c>
      <c r="AH757">
        <f>_xlfn.LET(_xlpm.pct, FINI_grouping_for_wheel[[#This Row],[% forecast within subgroup]], _xlpm.lote, FINI_grouping_for_wheel[[#This Row],[Lot size considered]], _xlpm.pct*_xlpm.lote)</f>
        <v>4853.4900162924</v>
      </c>
      <c r="AI757" cm="1">
        <f t="array" aca="1" ref="AI757" ca="1">IFERROR(INDIRECT("FINI_grouping_for_wheel[@["&amp;FINI_grouping_for_wheel[[#This Row],[Selected PV]]&amp;"]]"),"")</f>
        <v>200</v>
      </c>
      <c r="AJ75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16.8</v>
      </c>
      <c r="AL757" s="4"/>
      <c r="AM75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200</v>
      </c>
      <c r="AN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5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57" t="str">
        <f>_xlfn.CONCAT(FINI_grouping_for_wheel[[#This Row],[Recipe Combination]],FINI_grouping_for_wheel[[#This Row],[Subgroup]])</f>
        <v>C4</v>
      </c>
    </row>
    <row r="758" spans="1:55" hidden="1">
      <c r="A758" t="s">
        <v>11</v>
      </c>
      <c r="B758">
        <v>4513759</v>
      </c>
      <c r="C758" t="s">
        <v>3029</v>
      </c>
      <c r="D758">
        <v>8522.47189645</v>
      </c>
      <c r="E758">
        <v>27</v>
      </c>
      <c r="F758">
        <v>0.54</v>
      </c>
      <c r="G758" t="s">
        <v>3081</v>
      </c>
      <c r="H758" t="s">
        <v>3082</v>
      </c>
      <c r="I758">
        <v>300</v>
      </c>
      <c r="J758" t="s">
        <v>90</v>
      </c>
      <c r="K758" t="s">
        <v>292</v>
      </c>
      <c r="L758" t="s">
        <v>293</v>
      </c>
      <c r="M758">
        <v>1754.54721</v>
      </c>
      <c r="N758">
        <v>7.01818884</v>
      </c>
      <c r="O758">
        <v>7129.47591</v>
      </c>
      <c r="P758">
        <v>223982.98695</v>
      </c>
      <c r="Q758">
        <v>0.24609764197940884</v>
      </c>
      <c r="R758">
        <v>2097.36023755</v>
      </c>
      <c r="S758" t="s">
        <v>294</v>
      </c>
      <c r="T758" t="s">
        <v>93</v>
      </c>
      <c r="U758">
        <v>12.5</v>
      </c>
      <c r="V758" t="s">
        <v>295</v>
      </c>
      <c r="W758" t="s">
        <v>142</v>
      </c>
      <c r="X758" t="s">
        <v>128</v>
      </c>
      <c r="Y758" s="23" t="s">
        <v>120</v>
      </c>
      <c r="AA758">
        <v>1214</v>
      </c>
      <c r="AB758" t="s">
        <v>3083</v>
      </c>
      <c r="AC758" t="s">
        <v>3035</v>
      </c>
      <c r="AD758" s="2">
        <v>4</v>
      </c>
      <c r="AE758" s="2" t="s">
        <v>70</v>
      </c>
      <c r="AF758" t="str">
        <f>_xlfn.CONCAT(FINI_grouping_for_wheel[[#This Row],[SEFI/Plant]],"/",IF(FINI_grouping_for_wheel[[#This Row],[RESET recipe combination]]&lt;&gt;"",FINI_grouping_for_wheel[[#This Row],[RESET recipe combination]],FINI_grouping_for_wheel[[#This Row],[Recipe Combination]]),"/",FINI_grouping_for_wheel[[#This Row],[Subgroup]])</f>
        <v>4513759/THDP/x/4</v>
      </c>
      <c r="AG7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0.18590065228299046</v>
      </c>
      <c r="AH758">
        <f>_xlfn.LET(_xlpm.pct, FINI_grouping_for_wheel[[#This Row],[% forecast within subgroup]], _xlpm.lote, FINI_grouping_for_wheel[[#This Row],[Lot size considered]], _xlpm.pct*_xlpm.lote)</f>
        <v>1584.33308461351</v>
      </c>
      <c r="AI758" cm="1">
        <f t="array" aca="1" ref="AI758" ca="1">IFERROR(INDIRECT("FINI_grouping_for_wheel[@["&amp;FINI_grouping_for_wheel[[#This Row],[Selected PV]]&amp;"]]"),"")</f>
        <v>200</v>
      </c>
      <c r="AJ75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5.5</v>
      </c>
      <c r="AL758" s="4"/>
      <c r="AM75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200</v>
      </c>
      <c r="AN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5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58" t="str">
        <f>_xlfn.CONCAT(FINI_grouping_for_wheel[[#This Row],[Recipe Combination]],FINI_grouping_for_wheel[[#This Row],[Subgroup]])</f>
        <v>C4</v>
      </c>
    </row>
    <row r="759" spans="1:55" hidden="1">
      <c r="A759" t="s">
        <v>11</v>
      </c>
      <c r="B759">
        <v>4513759</v>
      </c>
      <c r="C759" t="s">
        <v>3029</v>
      </c>
      <c r="D759">
        <v>8522.47189645</v>
      </c>
      <c r="E759">
        <v>27</v>
      </c>
      <c r="F759">
        <v>0.54</v>
      </c>
      <c r="G759" t="s">
        <v>3084</v>
      </c>
      <c r="H759" t="s">
        <v>3085</v>
      </c>
      <c r="I759">
        <v>190</v>
      </c>
      <c r="J759" t="s">
        <v>90</v>
      </c>
      <c r="K759" t="s">
        <v>602</v>
      </c>
      <c r="L759" t="s">
        <v>603</v>
      </c>
      <c r="M759">
        <v>4329.540585</v>
      </c>
      <c r="N759">
        <v>17.31816234</v>
      </c>
      <c r="O759">
        <v>13167.39141</v>
      </c>
      <c r="P759">
        <v>223982.98695</v>
      </c>
      <c r="Q759">
        <v>0.32880776838698078</v>
      </c>
      <c r="R759">
        <v>2802.25496541</v>
      </c>
      <c r="S759" t="s">
        <v>126</v>
      </c>
      <c r="T759" t="s">
        <v>93</v>
      </c>
      <c r="U759">
        <v>2.5</v>
      </c>
      <c r="V759" t="s">
        <v>604</v>
      </c>
      <c r="W759" t="s">
        <v>142</v>
      </c>
      <c r="X759" t="s">
        <v>128</v>
      </c>
      <c r="Y759" s="23" t="s">
        <v>136</v>
      </c>
      <c r="AA759">
        <v>492</v>
      </c>
      <c r="AB759" t="s">
        <v>3086</v>
      </c>
      <c r="AC759" t="s">
        <v>3035</v>
      </c>
      <c r="AD759" s="2">
        <v>200</v>
      </c>
      <c r="AE759" s="2" t="s">
        <v>70</v>
      </c>
      <c r="AF759" t="str">
        <f>_xlfn.CONCAT(FINI_grouping_for_wheel[[#This Row],[SEFI/Plant]],"/",IF(FINI_grouping_for_wheel[[#This Row],[RESET recipe combination]]&lt;&gt;"",FINI_grouping_for_wheel[[#This Row],[RESET recipe combination]],FINI_grouping_for_wheel[[#This Row],[Recipe Combination]]),"/",FINI_grouping_for_wheel[[#This Row],[Subgroup]])</f>
        <v>4513759/THDP/x/200</v>
      </c>
      <c r="AG7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0.3288077683869807</v>
      </c>
      <c r="AH759">
        <f>_xlfn.LET(_xlpm.pct, FINI_grouping_for_wheel[[#This Row],[% forecast within subgroup]], _xlpm.lote, FINI_grouping_for_wheel[[#This Row],[Lot size considered]], _xlpm.pct*_xlpm.lote)</f>
        <v>2802.254965412484</v>
      </c>
      <c r="AI759" cm="1">
        <f t="array" aca="1" ref="AI759" ca="1">IFERROR(INDIRECT("FINI_grouping_for_wheel[@["&amp;FINI_grouping_for_wheel[[#This Row],[Selected PV]]&amp;"]]"),"")</f>
        <v>143</v>
      </c>
      <c r="AJ75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15.3</v>
      </c>
      <c r="AL759" s="4"/>
      <c r="AM75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143</v>
      </c>
      <c r="AN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5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59" t="str">
        <f>_xlfn.CONCAT(FINI_grouping_for_wheel[[#This Row],[Recipe Combination]],FINI_grouping_for_wheel[[#This Row],[Subgroup]])</f>
        <v>E200</v>
      </c>
    </row>
    <row r="760" spans="1:55" hidden="1">
      <c r="A760" t="s">
        <v>11</v>
      </c>
      <c r="B760">
        <v>4513759</v>
      </c>
      <c r="C760" t="s">
        <v>3029</v>
      </c>
      <c r="D760">
        <v>8522.47189645</v>
      </c>
      <c r="E760">
        <v>27</v>
      </c>
      <c r="F760">
        <v>0.54</v>
      </c>
      <c r="G760" t="s">
        <v>3087</v>
      </c>
      <c r="H760" t="s">
        <v>3088</v>
      </c>
      <c r="I760">
        <v>315</v>
      </c>
      <c r="J760" t="s">
        <v>90</v>
      </c>
      <c r="K760" t="s">
        <v>140</v>
      </c>
      <c r="L760" t="s">
        <v>141</v>
      </c>
      <c r="M760">
        <v>8837.850825</v>
      </c>
      <c r="N760">
        <v>35.3514033</v>
      </c>
      <c r="O760">
        <v>13167.39141</v>
      </c>
      <c r="P760">
        <v>223982.98695</v>
      </c>
      <c r="Q760">
        <v>0.67119223161301922</v>
      </c>
      <c r="R760">
        <v>5720.21693104</v>
      </c>
      <c r="S760" t="s">
        <v>126</v>
      </c>
      <c r="T760" t="s">
        <v>93</v>
      </c>
      <c r="U760">
        <v>5</v>
      </c>
      <c r="V760" t="s">
        <v>135</v>
      </c>
      <c r="W760" t="s">
        <v>142</v>
      </c>
      <c r="X760" t="s">
        <v>128</v>
      </c>
      <c r="Y760" s="23" t="s">
        <v>136</v>
      </c>
      <c r="AA760">
        <v>241</v>
      </c>
      <c r="AB760" t="s">
        <v>3089</v>
      </c>
      <c r="AC760" t="s">
        <v>3035</v>
      </c>
      <c r="AD760" s="2">
        <v>200</v>
      </c>
      <c r="AE760" s="2" t="s">
        <v>70</v>
      </c>
      <c r="AF760" t="str">
        <f>_xlfn.CONCAT(FINI_grouping_for_wheel[[#This Row],[SEFI/Plant]],"/",IF(FINI_grouping_for_wheel[[#This Row],[RESET recipe combination]]&lt;&gt;"",FINI_grouping_for_wheel[[#This Row],[RESET recipe combination]],FINI_grouping_for_wheel[[#This Row],[Recipe Combination]]),"/",FINI_grouping_for_wheel[[#This Row],[Subgroup]])</f>
        <v>4513759/THDP/x/200</v>
      </c>
      <c r="AG7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0.6711922316130192</v>
      </c>
      <c r="AH760">
        <f>_xlfn.LET(_xlpm.pct, FINI_grouping_for_wheel[[#This Row],[% forecast within subgroup]], _xlpm.lote, FINI_grouping_for_wheel[[#This Row],[Lot size considered]], _xlpm.pct*_xlpm.lote)</f>
        <v>5720.216931037516</v>
      </c>
      <c r="AI760" cm="1">
        <f t="array" aca="1" ref="AI760" ca="1">IFERROR(INDIRECT("FINI_grouping_for_wheel[@["&amp;FINI_grouping_for_wheel[[#This Row],[Selected PV]]&amp;"]]"),"")</f>
        <v>143</v>
      </c>
      <c r="AJ76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18.9</v>
      </c>
      <c r="AL760" s="4"/>
      <c r="AM76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143</v>
      </c>
      <c r="AN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6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60" t="str">
        <f>_xlfn.CONCAT(FINI_grouping_for_wheel[[#This Row],[Recipe Combination]],FINI_grouping_for_wheel[[#This Row],[Subgroup]])</f>
        <v>E200</v>
      </c>
    </row>
    <row r="761" spans="1:55" hidden="1">
      <c r="A761" t="s">
        <v>11</v>
      </c>
      <c r="B761">
        <v>4513759</v>
      </c>
      <c r="C761" t="s">
        <v>3029</v>
      </c>
      <c r="D761">
        <v>8522.47189645</v>
      </c>
      <c r="E761">
        <v>27</v>
      </c>
      <c r="F761">
        <v>0.54</v>
      </c>
      <c r="G761" t="s">
        <v>3090</v>
      </c>
      <c r="H761" t="s">
        <v>3091</v>
      </c>
      <c r="I761">
        <v>345</v>
      </c>
      <c r="J761" t="s">
        <v>90</v>
      </c>
      <c r="K761" t="s">
        <v>312</v>
      </c>
      <c r="L761" t="s">
        <v>313</v>
      </c>
      <c r="M761">
        <v>27.229815</v>
      </c>
      <c r="N761">
        <v>0.10891926</v>
      </c>
      <c r="O761">
        <v>3647.611305</v>
      </c>
      <c r="P761">
        <v>223982.98695</v>
      </c>
      <c r="Q761">
        <v>7.4651087309315156E-3</v>
      </c>
      <c r="R761">
        <v>63.6211793633</v>
      </c>
      <c r="S761" t="s">
        <v>307</v>
      </c>
      <c r="T761" t="s">
        <v>93</v>
      </c>
      <c r="U761">
        <v>1</v>
      </c>
      <c r="V761" t="s">
        <v>315</v>
      </c>
      <c r="W761" t="s">
        <v>142</v>
      </c>
      <c r="X761" t="s">
        <v>150</v>
      </c>
      <c r="Y761" s="23" t="s">
        <v>151</v>
      </c>
      <c r="AA761">
        <v>78246</v>
      </c>
      <c r="AB761" t="s">
        <v>3092</v>
      </c>
      <c r="AC761" t="s">
        <v>3035</v>
      </c>
      <c r="AD761" s="2">
        <v>100</v>
      </c>
      <c r="AE761" s="2" t="s">
        <v>70</v>
      </c>
      <c r="AF761" t="str">
        <f>_xlfn.CONCAT(FINI_grouping_for_wheel[[#This Row],[SEFI/Plant]],"/",IF(FINI_grouping_for_wheel[[#This Row],[RESET recipe combination]]&lt;&gt;"",FINI_grouping_for_wheel[[#This Row],[RESET recipe combination]],FINI_grouping_for_wheel[[#This Row],[Recipe Combination]]),"/",FINI_grouping_for_wheel[[#This Row],[Subgroup]])</f>
        <v>4513759/THDP/x/100</v>
      </c>
      <c r="AG7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0.0029051408361753187</v>
      </c>
      <c r="AH761">
        <f>_xlfn.LET(_xlpm.pct, FINI_grouping_for_wheel[[#This Row],[% forecast within subgroup]], _xlpm.lote, FINI_grouping_for_wheel[[#This Row],[Lot size considered]], _xlpm.pct*_xlpm.lote)</f>
        <v>24.75898113153341</v>
      </c>
      <c r="AI761" cm="1">
        <f t="array" aca="1" ref="AI761" ca="1">IFERROR(INDIRECT("FINI_grouping_for_wheel[@["&amp;FINI_grouping_for_wheel[[#This Row],[Selected PV]]&amp;"]]"),"")</f>
        <v>201</v>
      </c>
      <c r="AJ76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761" s="4"/>
      <c r="AM76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201</v>
      </c>
      <c r="AN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6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61" t="str">
        <f>_xlfn.CONCAT(FINI_grouping_for_wheel[[#This Row],[Recipe Combination]],FINI_grouping_for_wheel[[#This Row],[Subgroup]])</f>
        <v>H100</v>
      </c>
    </row>
    <row r="762" spans="1:55" hidden="1">
      <c r="A762" t="s">
        <v>11</v>
      </c>
      <c r="B762">
        <v>4513759</v>
      </c>
      <c r="C762" t="s">
        <v>3029</v>
      </c>
      <c r="D762">
        <v>8522.47189645</v>
      </c>
      <c r="E762">
        <v>27</v>
      </c>
      <c r="F762">
        <v>0.54</v>
      </c>
      <c r="G762" t="s">
        <v>3093</v>
      </c>
      <c r="H762" t="s">
        <v>3094</v>
      </c>
      <c r="I762">
        <v>300</v>
      </c>
      <c r="J762" t="s">
        <v>90</v>
      </c>
      <c r="K762" t="s">
        <v>487</v>
      </c>
      <c r="L762" t="s">
        <v>488</v>
      </c>
      <c r="M762">
        <v>3620.38149</v>
      </c>
      <c r="N762">
        <v>14.48152596</v>
      </c>
      <c r="O762">
        <v>3647.611305</v>
      </c>
      <c r="P762">
        <v>223982.98695</v>
      </c>
      <c r="Q762">
        <v>0.99253489126906846</v>
      </c>
      <c r="R762">
        <v>8458.85071709</v>
      </c>
      <c r="S762" t="s">
        <v>307</v>
      </c>
      <c r="T762" t="s">
        <v>93</v>
      </c>
      <c r="U762">
        <v>0.25</v>
      </c>
      <c r="V762" t="s">
        <v>489</v>
      </c>
      <c r="W762" t="s">
        <v>142</v>
      </c>
      <c r="X762" t="s">
        <v>150</v>
      </c>
      <c r="Y762" s="23" t="s">
        <v>151</v>
      </c>
      <c r="AA762">
        <v>589</v>
      </c>
      <c r="AB762" t="s">
        <v>3095</v>
      </c>
      <c r="AC762" t="s">
        <v>3035</v>
      </c>
      <c r="AD762" s="2">
        <v>100</v>
      </c>
      <c r="AE762" s="2" t="s">
        <v>70</v>
      </c>
      <c r="AF762" t="str">
        <f>_xlfn.CONCAT(FINI_grouping_for_wheel[[#This Row],[SEFI/Plant]],"/",IF(FINI_grouping_for_wheel[[#This Row],[RESET recipe combination]]&lt;&gt;"",FINI_grouping_for_wheel[[#This Row],[RESET recipe combination]],FINI_grouping_for_wheel[[#This Row],[Recipe Combination]]),"/",FINI_grouping_for_wheel[[#This Row],[Subgroup]])</f>
        <v>4513759/THDP/x/100</v>
      </c>
      <c r="AG7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0.3862574207401794</v>
      </c>
      <c r="AH762">
        <f>_xlfn.LET(_xlpm.pct, FINI_grouping_for_wheel[[#This Row],[% forecast within subgroup]], _xlpm.lote, FINI_grouping_for_wheel[[#This Row],[Lot size considered]], _xlpm.pct*_xlpm.lote)</f>
        <v>3291.8680130534426</v>
      </c>
      <c r="AI762" cm="1">
        <f t="array" aca="1" ref="AI762" ca="1">IFERROR(INDIRECT("FINI_grouping_for_wheel[@["&amp;FINI_grouping_for_wheel[[#This Row],[Selected PV]]&amp;"]]"),"")</f>
        <v>201</v>
      </c>
      <c r="AJ76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11.4</v>
      </c>
      <c r="AL762" s="4"/>
      <c r="AM76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201</v>
      </c>
      <c r="AN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6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62" t="str">
        <f>_xlfn.CONCAT(FINI_grouping_for_wheel[[#This Row],[Recipe Combination]],FINI_grouping_for_wheel[[#This Row],[Subgroup]])</f>
        <v>H100</v>
      </c>
    </row>
    <row r="763" spans="1:55" hidden="1">
      <c r="A763" t="s">
        <v>11</v>
      </c>
      <c r="B763">
        <v>4513759</v>
      </c>
      <c r="C763" t="s">
        <v>3029</v>
      </c>
      <c r="D763">
        <v>8522.47189645</v>
      </c>
      <c r="E763">
        <v>27</v>
      </c>
      <c r="F763">
        <v>0.54</v>
      </c>
      <c r="G763" t="s">
        <v>3096</v>
      </c>
      <c r="H763" t="s">
        <v>3097</v>
      </c>
      <c r="I763">
        <v>528</v>
      </c>
      <c r="J763" t="s">
        <v>90</v>
      </c>
      <c r="K763" t="s">
        <v>312</v>
      </c>
      <c r="L763" t="s">
        <v>313</v>
      </c>
      <c r="M763">
        <v>1033.549065</v>
      </c>
      <c r="N763">
        <v>4.13419626</v>
      </c>
      <c r="O763">
        <v>1559.202885</v>
      </c>
      <c r="P763">
        <v>223982.98695</v>
      </c>
      <c r="Q763">
        <v>0.66287015945330297</v>
      </c>
      <c r="R763">
        <v>5649.29230494</v>
      </c>
      <c r="S763" t="s">
        <v>314</v>
      </c>
      <c r="T763" t="s">
        <v>93</v>
      </c>
      <c r="U763">
        <v>1</v>
      </c>
      <c r="V763" t="s">
        <v>315</v>
      </c>
      <c r="W763" t="s">
        <v>142</v>
      </c>
      <c r="X763" t="s">
        <v>150</v>
      </c>
      <c r="Y763" s="23" t="s">
        <v>151</v>
      </c>
      <c r="AA763">
        <v>2061</v>
      </c>
      <c r="AB763" t="s">
        <v>3098</v>
      </c>
      <c r="AC763" t="s">
        <v>3035</v>
      </c>
      <c r="AD763" s="2">
        <v>100</v>
      </c>
      <c r="AE763" s="2" t="s">
        <v>70</v>
      </c>
      <c r="AF763" t="str">
        <f>_xlfn.CONCAT(FINI_grouping_for_wheel[[#This Row],[SEFI/Plant]],"/",IF(FINI_grouping_for_wheel[[#This Row],[RESET recipe combination]]&lt;&gt;"",FINI_grouping_for_wheel[[#This Row],[RESET recipe combination]],FINI_grouping_for_wheel[[#This Row],[Recipe Combination]]),"/",FINI_grouping_for_wheel[[#This Row],[Subgroup]])</f>
        <v>4513759/THDP/x/100</v>
      </c>
      <c r="AG7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0.11026904130352405</v>
      </c>
      <c r="AH763">
        <f>_xlfn.LET(_xlpm.pct, FINI_grouping_for_wheel[[#This Row],[% forecast within subgroup]], _xlpm.lote, FINI_grouping_for_wheel[[#This Row],[Lot size considered]], _xlpm.pct*_xlpm.lote)</f>
        <v>939.7648055577681</v>
      </c>
      <c r="AI763" cm="1">
        <f t="array" aca="1" ref="AI763" ca="1">IFERROR(INDIRECT("FINI_grouping_for_wheel[@["&amp;FINI_grouping_for_wheel[[#This Row],[Selected PV]]&amp;"]]"),"")</f>
        <v>201</v>
      </c>
      <c r="AJ76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v>
      </c>
      <c r="AL763" s="4"/>
      <c r="AM76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201</v>
      </c>
      <c r="AN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6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63" t="str">
        <f>_xlfn.CONCAT(FINI_grouping_for_wheel[[#This Row],[Recipe Combination]],FINI_grouping_for_wheel[[#This Row],[Subgroup]])</f>
        <v>K100</v>
      </c>
    </row>
    <row r="764" spans="1:55" hidden="1">
      <c r="A764" t="s">
        <v>11</v>
      </c>
      <c r="B764">
        <v>4513759</v>
      </c>
      <c r="C764" t="s">
        <v>3029</v>
      </c>
      <c r="D764">
        <v>8522.47189645</v>
      </c>
      <c r="E764">
        <v>27</v>
      </c>
      <c r="F764">
        <v>0.54</v>
      </c>
      <c r="G764" t="s">
        <v>3099</v>
      </c>
      <c r="H764" t="s">
        <v>3100</v>
      </c>
      <c r="I764">
        <v>528</v>
      </c>
      <c r="J764" t="s">
        <v>90</v>
      </c>
      <c r="K764" t="s">
        <v>312</v>
      </c>
      <c r="L764" t="s">
        <v>313</v>
      </c>
      <c r="M764">
        <v>517.366485</v>
      </c>
      <c r="N764">
        <v>2.06946594</v>
      </c>
      <c r="O764">
        <v>1559.202885</v>
      </c>
      <c r="P764">
        <v>223982.98695</v>
      </c>
      <c r="Q764">
        <v>0.33181473044798787</v>
      </c>
      <c r="R764">
        <v>2827.88171507</v>
      </c>
      <c r="S764" t="s">
        <v>314</v>
      </c>
      <c r="T764" t="s">
        <v>93</v>
      </c>
      <c r="U764">
        <v>1</v>
      </c>
      <c r="V764" t="s">
        <v>315</v>
      </c>
      <c r="W764" t="s">
        <v>142</v>
      </c>
      <c r="X764" t="s">
        <v>150</v>
      </c>
      <c r="Y764" s="23" t="s">
        <v>151</v>
      </c>
      <c r="AA764">
        <v>4118</v>
      </c>
      <c r="AB764" t="s">
        <v>3101</v>
      </c>
      <c r="AC764" t="s">
        <v>3035</v>
      </c>
      <c r="AD764" s="2">
        <v>100</v>
      </c>
      <c r="AE764" s="2" t="s">
        <v>70</v>
      </c>
      <c r="AF764" t="str">
        <f>_xlfn.CONCAT(FINI_grouping_for_wheel[[#This Row],[SEFI/Plant]],"/",IF(FINI_grouping_for_wheel[[#This Row],[RESET recipe combination]]&lt;&gt;"",FINI_grouping_for_wheel[[#This Row],[RESET recipe combination]],FINI_grouping_for_wheel[[#This Row],[Recipe Combination]]),"/",FINI_grouping_for_wheel[[#This Row],[Subgroup]])</f>
        <v>4513759/THDP/x/100</v>
      </c>
      <c r="AG7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0.055197675887331064</v>
      </c>
      <c r="AH764">
        <f>_xlfn.LET(_xlpm.pct, FINI_grouping_for_wheel[[#This Row],[% forecast within subgroup]], _xlpm.lote, FINI_grouping_for_wheel[[#This Row],[Lot size considered]], _xlpm.pct*_xlpm.lote)</f>
        <v>470.42064149913483</v>
      </c>
      <c r="AI764" cm="1">
        <f t="array" aca="1" ref="AI764" ca="1">IFERROR(INDIRECT("FINI_grouping_for_wheel[@["&amp;FINI_grouping_for_wheel[[#This Row],[Selected PV]]&amp;"]]"),"")</f>
        <v>201</v>
      </c>
      <c r="AJ76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0.9</v>
      </c>
      <c r="AL764" s="4"/>
      <c r="AM76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201</v>
      </c>
      <c r="AN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6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64" t="str">
        <f>_xlfn.CONCAT(FINI_grouping_for_wheel[[#This Row],[Recipe Combination]],FINI_grouping_for_wheel[[#This Row],[Subgroup]])</f>
        <v>K100</v>
      </c>
    </row>
    <row r="765" spans="1:55" hidden="1">
      <c r="A765" t="s">
        <v>11</v>
      </c>
      <c r="B765">
        <v>4513759</v>
      </c>
      <c r="C765" t="s">
        <v>3029</v>
      </c>
      <c r="D765">
        <v>8522.47189645</v>
      </c>
      <c r="E765">
        <v>27</v>
      </c>
      <c r="F765">
        <v>0.54</v>
      </c>
      <c r="G765" t="s">
        <v>3102</v>
      </c>
      <c r="H765" t="s">
        <v>3103</v>
      </c>
      <c r="I765">
        <v>483</v>
      </c>
      <c r="J765" t="s">
        <v>90</v>
      </c>
      <c r="K765" t="s">
        <v>312</v>
      </c>
      <c r="L765" t="s">
        <v>313</v>
      </c>
      <c r="M765">
        <v>8.287335</v>
      </c>
      <c r="N765">
        <v>0.03314934</v>
      </c>
      <c r="O765">
        <v>1559.202885</v>
      </c>
      <c r="P765">
        <v>223982.98695</v>
      </c>
      <c r="Q765">
        <v>5.3151100987091872E-3</v>
      </c>
      <c r="R765">
        <v>45.2978764428</v>
      </c>
      <c r="S765" t="s">
        <v>314</v>
      </c>
      <c r="T765" t="s">
        <v>93</v>
      </c>
      <c r="U765">
        <v>1</v>
      </c>
      <c r="V765" t="s">
        <v>315</v>
      </c>
      <c r="W765" t="s">
        <v>142</v>
      </c>
      <c r="X765" t="s">
        <v>150</v>
      </c>
      <c r="Y765" s="23" t="s">
        <v>151</v>
      </c>
      <c r="AA765">
        <v>257093</v>
      </c>
      <c r="AB765" t="s">
        <v>3104</v>
      </c>
      <c r="AC765" t="s">
        <v>3035</v>
      </c>
      <c r="AD765" s="2">
        <v>100</v>
      </c>
      <c r="AE765" s="2" t="s">
        <v>70</v>
      </c>
      <c r="AF765" t="str">
        <f>_xlfn.CONCAT(FINI_grouping_for_wheel[[#This Row],[SEFI/Plant]],"/",IF(FINI_grouping_for_wheel[[#This Row],[RESET recipe combination]]&lt;&gt;"",FINI_grouping_for_wheel[[#This Row],[RESET recipe combination]],FINI_grouping_for_wheel[[#This Row],[Recipe Combination]]),"/",FINI_grouping_for_wheel[[#This Row],[Subgroup]])</f>
        <v>4513759/THDP/x/100</v>
      </c>
      <c r="AG7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0.0008841732979664015</v>
      </c>
      <c r="AH765">
        <f>_xlfn.LET(_xlpm.pct, FINI_grouping_for_wheel[[#This Row],[% forecast within subgroup]], _xlpm.lote, FINI_grouping_for_wheel[[#This Row],[Lot size considered]], _xlpm.pct*_xlpm.lote)</f>
        <v>7.535342083510169</v>
      </c>
      <c r="AI765" cm="1">
        <f t="array" aca="1" ref="AI765" ca="1">IFERROR(INDIRECT("FINI_grouping_for_wheel[@["&amp;FINI_grouping_for_wheel[[#This Row],[Selected PV]]&amp;"]]"),"")</f>
        <v>201</v>
      </c>
      <c r="AJ76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v>
      </c>
      <c r="AL765" s="4"/>
      <c r="AM76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201</v>
      </c>
      <c r="AN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6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65" t="str">
        <f>_xlfn.CONCAT(FINI_grouping_for_wheel[[#This Row],[Recipe Combination]],FINI_grouping_for_wheel[[#This Row],[Subgroup]])</f>
        <v>K100</v>
      </c>
    </row>
    <row r="766" spans="1:55" hidden="1">
      <c r="A766" t="s">
        <v>11</v>
      </c>
      <c r="B766">
        <v>4513759</v>
      </c>
      <c r="C766" t="s">
        <v>3029</v>
      </c>
      <c r="D766">
        <v>8522.47189645</v>
      </c>
      <c r="E766">
        <v>27</v>
      </c>
      <c r="F766">
        <v>0.54</v>
      </c>
      <c r="G766" t="s">
        <v>3105</v>
      </c>
      <c r="H766" t="s">
        <v>3106</v>
      </c>
      <c r="I766">
        <v>300</v>
      </c>
      <c r="J766" t="s">
        <v>90</v>
      </c>
      <c r="K766" t="s">
        <v>188</v>
      </c>
      <c r="L766" t="s">
        <v>189</v>
      </c>
      <c r="M766">
        <v>1065.5145</v>
      </c>
      <c r="N766">
        <v>4.262058</v>
      </c>
      <c r="O766">
        <v>6085.2717</v>
      </c>
      <c r="P766">
        <v>223982.98695</v>
      </c>
      <c r="Q766">
        <v>0.17509727626459143</v>
      </c>
      <c r="R766">
        <v>1492.26161611</v>
      </c>
      <c r="S766" t="s">
        <v>173</v>
      </c>
      <c r="T766" t="s">
        <v>93</v>
      </c>
      <c r="U766">
        <v>5</v>
      </c>
      <c r="V766" t="s">
        <v>119</v>
      </c>
      <c r="W766" t="s">
        <v>142</v>
      </c>
      <c r="X766" t="s">
        <v>96</v>
      </c>
      <c r="Y766" s="23" t="s">
        <v>120</v>
      </c>
      <c r="AA766">
        <v>2000</v>
      </c>
      <c r="AB766" t="s">
        <v>3107</v>
      </c>
      <c r="AC766" t="s">
        <v>3035</v>
      </c>
      <c r="AD766" s="2">
        <v>70</v>
      </c>
      <c r="AE766" s="2" t="s">
        <v>70</v>
      </c>
      <c r="AF766" t="str">
        <f>_xlfn.CONCAT(FINI_grouping_for_wheel[[#This Row],[SEFI/Plant]],"/",IF(FINI_grouping_for_wheel[[#This Row],[RESET recipe combination]]&lt;&gt;"",FINI_grouping_for_wheel[[#This Row],[RESET recipe combination]],FINI_grouping_for_wheel[[#This Row],[Recipe Combination]]),"/",FINI_grouping_for_wheel[[#This Row],[Subgroup]])</f>
        <v>4513759/THDP/x/70</v>
      </c>
      <c r="AG7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0.062047569803516035</v>
      </c>
      <c r="AH766">
        <f>_xlfn.LET(_xlpm.pct, FINI_grouping_for_wheel[[#This Row],[% forecast within subgroup]], _xlpm.lote, FINI_grouping_for_wheel[[#This Row],[Lot size considered]], _xlpm.pct*_xlpm.lote)</f>
        <v>528.7986698934851</v>
      </c>
      <c r="AI766" cm="1">
        <f t="array" aca="1" ref="AI766" ca="1">IFERROR(INDIRECT("FINI_grouping_for_wheel[@["&amp;FINI_grouping_for_wheel[[#This Row],[Selected PV]]&amp;"]]"),"")</f>
        <v>110</v>
      </c>
      <c r="AJ76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v>
      </c>
      <c r="AL766" s="4"/>
      <c r="AM76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110</v>
      </c>
      <c r="AN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6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66" t="str">
        <f>_xlfn.CONCAT(FINI_grouping_for_wheel[[#This Row],[Recipe Combination]],FINI_grouping_for_wheel[[#This Row],[Subgroup]])</f>
        <v>P70</v>
      </c>
    </row>
    <row r="767" spans="1:55" hidden="1">
      <c r="A767" t="s">
        <v>11</v>
      </c>
      <c r="B767">
        <v>4513759</v>
      </c>
      <c r="C767" t="s">
        <v>3029</v>
      </c>
      <c r="D767">
        <v>8522.47189645</v>
      </c>
      <c r="E767">
        <v>27</v>
      </c>
      <c r="F767">
        <v>0.54</v>
      </c>
      <c r="G767" t="s">
        <v>3108</v>
      </c>
      <c r="H767" t="s">
        <v>3109</v>
      </c>
      <c r="I767">
        <v>300</v>
      </c>
      <c r="J767" t="s">
        <v>90</v>
      </c>
      <c r="K767" t="s">
        <v>254</v>
      </c>
      <c r="L767" t="s">
        <v>255</v>
      </c>
      <c r="M767">
        <v>2811.774375</v>
      </c>
      <c r="N767">
        <v>11.2470975</v>
      </c>
      <c r="O767">
        <v>6085.2717</v>
      </c>
      <c r="P767">
        <v>223982.98695</v>
      </c>
      <c r="Q767">
        <v>0.46206225680933855</v>
      </c>
      <c r="R767">
        <v>3937.91259807</v>
      </c>
      <c r="S767" t="s">
        <v>173</v>
      </c>
      <c r="T767" t="s">
        <v>93</v>
      </c>
      <c r="U767">
        <v>5</v>
      </c>
      <c r="V767" t="s">
        <v>119</v>
      </c>
      <c r="W767" t="s">
        <v>95</v>
      </c>
      <c r="X767" t="s">
        <v>96</v>
      </c>
      <c r="Y767" s="23" t="s">
        <v>120</v>
      </c>
      <c r="AA767">
        <v>758</v>
      </c>
      <c r="AB767" t="s">
        <v>3110</v>
      </c>
      <c r="AC767" t="s">
        <v>3035</v>
      </c>
      <c r="AD767" s="2">
        <v>70</v>
      </c>
      <c r="AE767" s="2" t="s">
        <v>70</v>
      </c>
      <c r="AF767" t="str">
        <f>_xlfn.CONCAT(FINI_grouping_for_wheel[[#This Row],[SEFI/Plant]],"/",IF(FINI_grouping_for_wheel[[#This Row],[RESET recipe combination]]&lt;&gt;"",FINI_grouping_for_wheel[[#This Row],[RESET recipe combination]],FINI_grouping_for_wheel[[#This Row],[Recipe Combination]]),"/",FINI_grouping_for_wheel[[#This Row],[Subgroup]])</f>
        <v>4513759/THDP/x/70</v>
      </c>
      <c r="AG7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0.1637366425370562</v>
      </c>
      <c r="AH767">
        <f>_xlfn.LET(_xlpm.pct, FINI_grouping_for_wheel[[#This Row],[% forecast within subgroup]], _xlpm.lote, FINI_grouping_for_wheel[[#This Row],[Lot size considered]], _xlpm.pct*_xlpm.lote)</f>
        <v>1395.440934441141</v>
      </c>
      <c r="AI767" cm="1">
        <f t="array" aca="1" ref="AI767" ca="1">IFERROR(INDIRECT("FINI_grouping_for_wheel[@["&amp;FINI_grouping_for_wheel[[#This Row],[Selected PV]]&amp;"]]"),"")</f>
        <v>110</v>
      </c>
      <c r="AJ76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4.8</v>
      </c>
      <c r="AL767" s="4"/>
      <c r="AM76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110</v>
      </c>
      <c r="AN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6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67" t="str">
        <f>_xlfn.CONCAT(FINI_grouping_for_wheel[[#This Row],[Recipe Combination]],FINI_grouping_for_wheel[[#This Row],[Subgroup]])</f>
        <v>P70</v>
      </c>
    </row>
    <row r="768" spans="1:55" hidden="1">
      <c r="A768" t="s">
        <v>11</v>
      </c>
      <c r="B768">
        <v>4513759</v>
      </c>
      <c r="C768" t="s">
        <v>3029</v>
      </c>
      <c r="D768">
        <v>8522.47189645</v>
      </c>
      <c r="E768">
        <v>27</v>
      </c>
      <c r="F768">
        <v>0.54</v>
      </c>
      <c r="G768" t="s">
        <v>3111</v>
      </c>
      <c r="H768" t="s">
        <v>3112</v>
      </c>
      <c r="I768">
        <v>300</v>
      </c>
      <c r="J768" t="s">
        <v>90</v>
      </c>
      <c r="K768" t="s">
        <v>188</v>
      </c>
      <c r="L768" t="s">
        <v>189</v>
      </c>
      <c r="M768">
        <v>147.988125</v>
      </c>
      <c r="N768">
        <v>0.5919525</v>
      </c>
      <c r="O768">
        <v>6085.2717</v>
      </c>
      <c r="P768">
        <v>223982.98695</v>
      </c>
      <c r="Q768">
        <v>2.4319066147859923E-2</v>
      </c>
      <c r="R768">
        <v>207.258557793</v>
      </c>
      <c r="S768" t="s">
        <v>173</v>
      </c>
      <c r="T768" t="s">
        <v>93</v>
      </c>
      <c r="U768">
        <v>5</v>
      </c>
      <c r="V768" t="s">
        <v>119</v>
      </c>
      <c r="W768" t="s">
        <v>142</v>
      </c>
      <c r="X768" t="s">
        <v>96</v>
      </c>
      <c r="Y768" s="23" t="s">
        <v>120</v>
      </c>
      <c r="AA768">
        <v>14397</v>
      </c>
      <c r="AB768" t="s">
        <v>3113</v>
      </c>
      <c r="AC768" t="s">
        <v>3035</v>
      </c>
      <c r="AD768" s="2">
        <v>70</v>
      </c>
      <c r="AE768" s="2" t="s">
        <v>70</v>
      </c>
      <c r="AF768" t="str">
        <f>_xlfn.CONCAT(FINI_grouping_for_wheel[[#This Row],[SEFI/Plant]],"/",IF(FINI_grouping_for_wheel[[#This Row],[RESET recipe combination]]&lt;&gt;"",FINI_grouping_for_wheel[[#This Row],[RESET recipe combination]],FINI_grouping_for_wheel[[#This Row],[Recipe Combination]]),"/",FINI_grouping_for_wheel[[#This Row],[Subgroup]])</f>
        <v>4513759/THDP/x/70</v>
      </c>
      <c r="AG7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0.008617718028266115</v>
      </c>
      <c r="AH768">
        <f>_xlfn.LET(_xlpm.pct, FINI_grouping_for_wheel[[#This Row],[% forecast within subgroup]], _xlpm.lote, FINI_grouping_for_wheel[[#This Row],[Lot size considered]], _xlpm.pct*_xlpm.lote)</f>
        <v>73.44425970742847</v>
      </c>
      <c r="AI768" cm="1">
        <f t="array" aca="1" ref="AI768" ca="1">IFERROR(INDIRECT("FINI_grouping_for_wheel[@["&amp;FINI_grouping_for_wheel[[#This Row],[Selected PV]]&amp;"]]"),"")</f>
        <v>110</v>
      </c>
      <c r="AJ76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0.3</v>
      </c>
      <c r="AL768" s="4"/>
      <c r="AM76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110</v>
      </c>
      <c r="AN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6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68" t="str">
        <f>_xlfn.CONCAT(FINI_grouping_for_wheel[[#This Row],[Recipe Combination]],FINI_grouping_for_wheel[[#This Row],[Subgroup]])</f>
        <v>P70</v>
      </c>
    </row>
    <row r="769" spans="1:55" hidden="1">
      <c r="A769" t="s">
        <v>11</v>
      </c>
      <c r="B769">
        <v>4513759</v>
      </c>
      <c r="C769" t="s">
        <v>3029</v>
      </c>
      <c r="D769">
        <v>8522.47189645</v>
      </c>
      <c r="E769">
        <v>27</v>
      </c>
      <c r="F769">
        <v>0.54</v>
      </c>
      <c r="G769" t="s">
        <v>3114</v>
      </c>
      <c r="H769" t="s">
        <v>3115</v>
      </c>
      <c r="I769">
        <v>300</v>
      </c>
      <c r="J769" t="s">
        <v>90</v>
      </c>
      <c r="K769" t="s">
        <v>254</v>
      </c>
      <c r="L769" t="s">
        <v>255</v>
      </c>
      <c r="M769">
        <v>2059.9947</v>
      </c>
      <c r="N769">
        <v>8.2399788</v>
      </c>
      <c r="O769">
        <v>6085.2717</v>
      </c>
      <c r="P769">
        <v>223982.98695</v>
      </c>
      <c r="Q769">
        <v>0.33852140077821014</v>
      </c>
      <c r="R769">
        <v>2885.03912448</v>
      </c>
      <c r="S769" t="s">
        <v>173</v>
      </c>
      <c r="T769" t="s">
        <v>93</v>
      </c>
      <c r="U769">
        <v>5</v>
      </c>
      <c r="V769" t="s">
        <v>119</v>
      </c>
      <c r="W769" t="s">
        <v>95</v>
      </c>
      <c r="X769" t="s">
        <v>96</v>
      </c>
      <c r="Y769" s="23" t="s">
        <v>120</v>
      </c>
      <c r="AA769">
        <v>1034</v>
      </c>
      <c r="AB769" t="s">
        <v>3116</v>
      </c>
      <c r="AC769" t="s">
        <v>3035</v>
      </c>
      <c r="AD769" s="2">
        <v>70</v>
      </c>
      <c r="AE769" s="2" t="s">
        <v>70</v>
      </c>
      <c r="AF769" t="str">
        <f>_xlfn.CONCAT(FINI_grouping_for_wheel[[#This Row],[SEFI/Plant]],"/",IF(FINI_grouping_for_wheel[[#This Row],[RESET recipe combination]]&lt;&gt;"",FINI_grouping_for_wheel[[#This Row],[RESET recipe combination]],FINI_grouping_for_wheel[[#This Row],[Recipe Combination]]),"/",FINI_grouping_for_wheel[[#This Row],[Subgroup]])</f>
        <v>4513759/THDP/x/70</v>
      </c>
      <c r="AG7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0.11995863495346434</v>
      </c>
      <c r="AH769">
        <f>_xlfn.LET(_xlpm.pct, FINI_grouping_for_wheel[[#This Row],[% forecast within subgroup]], _xlpm.lote, FINI_grouping_for_wheel[[#This Row],[Lot size considered]], _xlpm.pct*_xlpm.lote)</f>
        <v>1022.3440951274046</v>
      </c>
      <c r="AI769" cm="1">
        <f t="array" aca="1" ref="AI769" ca="1">IFERROR(INDIRECT("FINI_grouping_for_wheel[@["&amp;FINI_grouping_for_wheel[[#This Row],[Selected PV]]&amp;"]]"),"")</f>
        <v>110</v>
      </c>
      <c r="AJ76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3.5</v>
      </c>
      <c r="AL769" s="4"/>
      <c r="AM76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110</v>
      </c>
      <c r="AN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6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69" t="str">
        <f>_xlfn.CONCAT(FINI_grouping_for_wheel[[#This Row],[Recipe Combination]],FINI_grouping_for_wheel[[#This Row],[Subgroup]])</f>
        <v>P70</v>
      </c>
    </row>
    <row r="770" spans="1:55" hidden="1">
      <c r="A770" t="s">
        <v>11</v>
      </c>
      <c r="B770">
        <v>4513759</v>
      </c>
      <c r="C770" t="s">
        <v>3029</v>
      </c>
      <c r="D770">
        <v>8522.47189645</v>
      </c>
      <c r="E770">
        <v>27</v>
      </c>
      <c r="F770">
        <v>0.54</v>
      </c>
      <c r="G770" t="s">
        <v>3117</v>
      </c>
      <c r="H770" t="s">
        <v>3118</v>
      </c>
      <c r="I770">
        <v>288</v>
      </c>
      <c r="J770" t="s">
        <v>90</v>
      </c>
      <c r="K770" t="s">
        <v>344</v>
      </c>
      <c r="L770" t="s">
        <v>345</v>
      </c>
      <c r="M770">
        <v>7586.46324</v>
      </c>
      <c r="N770">
        <v>30.34585296</v>
      </c>
      <c r="O770">
        <v>7586.46324</v>
      </c>
      <c r="P770">
        <v>223982.98695</v>
      </c>
      <c r="Q770">
        <v>1</v>
      </c>
      <c r="R770">
        <v>8522.47189645</v>
      </c>
      <c r="S770" t="s">
        <v>346</v>
      </c>
      <c r="T770" t="s">
        <v>93</v>
      </c>
      <c r="U770">
        <v>3</v>
      </c>
      <c r="V770" t="s">
        <v>347</v>
      </c>
      <c r="W770" t="s">
        <v>142</v>
      </c>
      <c r="X770" t="s">
        <v>96</v>
      </c>
      <c r="Y770" s="23" t="s">
        <v>107</v>
      </c>
      <c r="AA770">
        <v>281</v>
      </c>
      <c r="AB770" t="s">
        <v>3119</v>
      </c>
      <c r="AC770" t="s">
        <v>3035</v>
      </c>
      <c r="AD770" s="2">
        <v>90</v>
      </c>
      <c r="AE770" s="2" t="s">
        <v>70</v>
      </c>
      <c r="AF770" t="str">
        <f>_xlfn.CONCAT(FINI_grouping_for_wheel[[#This Row],[SEFI/Plant]],"/",IF(FINI_grouping_for_wheel[[#This Row],[RESET recipe combination]]&lt;&gt;"",FINI_grouping_for_wheel[[#This Row],[RESET recipe combination]],FINI_grouping_for_wheel[[#This Row],[Recipe Combination]]),"/",FINI_grouping_for_wheel[[#This Row],[Subgroup]])</f>
        <v>4513759/THDP/x/90</v>
      </c>
      <c r="AG7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0.614853195164076</v>
      </c>
      <c r="AH770">
        <f>_xlfn.LET(_xlpm.pct, FINI_grouping_for_wheel[[#This Row],[% forecast within subgroup]], _xlpm.lote, FINI_grouping_for_wheel[[#This Row],[Lot size considered]], _xlpm.pct*_xlpm.lote)</f>
        <v>5240.069076228325</v>
      </c>
      <c r="AI770" cm="1">
        <f t="array" aca="1" ref="AI770" ca="1">IFERROR(INDIRECT("FINI_grouping_for_wheel[@["&amp;FINI_grouping_for_wheel[[#This Row],[Selected PV]]&amp;"]]"),"")</f>
        <v>153</v>
      </c>
      <c r="AJ77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18.9</v>
      </c>
      <c r="AL770" s="4"/>
      <c r="AM77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153</v>
      </c>
      <c r="AN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7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70" t="str">
        <f>_xlfn.CONCAT(FINI_grouping_for_wheel[[#This Row],[Recipe Combination]],FINI_grouping_for_wheel[[#This Row],[Subgroup]])</f>
        <v>Q90</v>
      </c>
    </row>
    <row r="771" spans="1:55" hidden="1">
      <c r="A771" t="s">
        <v>11</v>
      </c>
      <c r="B771">
        <v>4513759</v>
      </c>
      <c r="C771" t="s">
        <v>3029</v>
      </c>
      <c r="D771">
        <v>8522.47189645</v>
      </c>
      <c r="E771">
        <v>27</v>
      </c>
      <c r="F771">
        <v>0.54</v>
      </c>
      <c r="G771" t="s">
        <v>3120</v>
      </c>
      <c r="H771" t="s">
        <v>3121</v>
      </c>
      <c r="I771">
        <v>240</v>
      </c>
      <c r="J771" t="s">
        <v>90</v>
      </c>
      <c r="K771" t="s">
        <v>3122</v>
      </c>
      <c r="L771" t="s">
        <v>3123</v>
      </c>
      <c r="M771">
        <v>11087.270325</v>
      </c>
      <c r="N771">
        <v>44.3490813</v>
      </c>
      <c r="O771">
        <v>11087.270325</v>
      </c>
      <c r="P771">
        <v>223982.98695</v>
      </c>
      <c r="Q771">
        <v>1</v>
      </c>
      <c r="R771">
        <v>8522.47189645</v>
      </c>
      <c r="S771" t="s">
        <v>195</v>
      </c>
      <c r="T771" t="s">
        <v>93</v>
      </c>
      <c r="U771">
        <v>5</v>
      </c>
      <c r="V771" t="s">
        <v>196</v>
      </c>
      <c r="W771" t="s">
        <v>95</v>
      </c>
      <c r="X771" t="s">
        <v>106</v>
      </c>
      <c r="Y771" s="23" t="s">
        <v>107</v>
      </c>
      <c r="AA771">
        <v>192</v>
      </c>
      <c r="AB771" t="s">
        <v>3124</v>
      </c>
      <c r="AC771" t="s">
        <v>3035</v>
      </c>
      <c r="AD771" s="2">
        <v>70</v>
      </c>
      <c r="AE771" s="2" t="s">
        <v>70</v>
      </c>
      <c r="AF771" t="str">
        <f>_xlfn.CONCAT(FINI_grouping_for_wheel[[#This Row],[SEFI/Plant]],"/",IF(FINI_grouping_for_wheel[[#This Row],[RESET recipe combination]]&lt;&gt;"",FINI_grouping_for_wheel[[#This Row],[RESET recipe combination]],FINI_grouping_for_wheel[[#This Row],[Recipe Combination]]),"/",FINI_grouping_for_wheel[[#This Row],[Subgroup]])</f>
        <v>4513759/THDP/x/70</v>
      </c>
      <c r="AG7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0.6456394346776974</v>
      </c>
      <c r="AH771">
        <f>_xlfn.LET(_xlpm.pct, FINI_grouping_for_wheel[[#This Row],[% forecast within subgroup]], _xlpm.lote, FINI_grouping_for_wheel[[#This Row],[Lot size considered]], _xlpm.pct*_xlpm.lote)</f>
        <v>5502.443937280542</v>
      </c>
      <c r="AI771" cm="1">
        <f t="array" aca="1" ref="AI771" ca="1">IFERROR(INDIRECT("FINI_grouping_for_wheel[@["&amp;FINI_grouping_for_wheel[[#This Row],[Selected PV]]&amp;"]]"),"")</f>
        <v>110</v>
      </c>
      <c r="AJ77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23.9</v>
      </c>
      <c r="AL771" s="4"/>
      <c r="AM77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110</v>
      </c>
      <c r="AN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7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71" t="str">
        <f>_xlfn.CONCAT(FINI_grouping_for_wheel[[#This Row],[Recipe Combination]],FINI_grouping_for_wheel[[#This Row],[Subgroup]])</f>
        <v>S70</v>
      </c>
    </row>
    <row r="772" spans="1:55" hidden="1">
      <c r="A772" t="s">
        <v>11</v>
      </c>
      <c r="B772">
        <v>4513759</v>
      </c>
      <c r="C772" t="s">
        <v>3029</v>
      </c>
      <c r="D772">
        <v>8522.47189645</v>
      </c>
      <c r="E772">
        <v>27</v>
      </c>
      <c r="F772">
        <v>0.54</v>
      </c>
      <c r="G772" t="s">
        <v>3125</v>
      </c>
      <c r="H772" t="s">
        <v>3126</v>
      </c>
      <c r="I772">
        <v>324</v>
      </c>
      <c r="J772" t="s">
        <v>90</v>
      </c>
      <c r="K772" t="s">
        <v>3127</v>
      </c>
      <c r="L772" t="s">
        <v>3128</v>
      </c>
      <c r="M772">
        <v>32150.12418</v>
      </c>
      <c r="N772">
        <v>128.60049672</v>
      </c>
      <c r="O772">
        <v>99242.02053</v>
      </c>
      <c r="P772">
        <v>223982.98695</v>
      </c>
      <c r="Q772">
        <v>0.32395676759000785</v>
      </c>
      <c r="R772">
        <v>2760.91244745</v>
      </c>
      <c r="S772" t="s">
        <v>387</v>
      </c>
      <c r="T772" t="s">
        <v>93</v>
      </c>
      <c r="U772">
        <v>12</v>
      </c>
      <c r="V772" t="s">
        <v>231</v>
      </c>
      <c r="W772" t="s">
        <v>159</v>
      </c>
      <c r="X772" t="s">
        <v>96</v>
      </c>
      <c r="Y772" s="23" t="s">
        <v>97</v>
      </c>
      <c r="AA772">
        <v>66</v>
      </c>
      <c r="AB772" t="s">
        <v>3129</v>
      </c>
      <c r="AC772" t="s">
        <v>3035</v>
      </c>
      <c r="AD772" s="2">
        <v>2</v>
      </c>
      <c r="AE772" s="2" t="s">
        <v>70</v>
      </c>
      <c r="AF772" t="str">
        <f>_xlfn.CONCAT(FINI_grouping_for_wheel[[#This Row],[SEFI/Plant]],"/",IF(FINI_grouping_for_wheel[[#This Row],[RESET recipe combination]]&lt;&gt;"",FINI_grouping_for_wheel[[#This Row],[RESET recipe combination]],FINI_grouping_for_wheel[[#This Row],[Recipe Combination]]),"/",FINI_grouping_for_wheel[[#This Row],[Subgroup]])</f>
        <v>4513759/THDP/x/2</v>
      </c>
      <c r="AG7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0.43514349351835535</v>
      </c>
      <c r="AH772">
        <f>_xlfn.LET(_xlpm.pct, FINI_grouping_for_wheel[[#This Row],[% forecast within subgroup]], _xlpm.lote, FINI_grouping_for_wheel[[#This Row],[Lot size considered]], _xlpm.pct*_xlpm.lote)</f>
        <v>3708.4981944332567</v>
      </c>
      <c r="AI772" cm="1">
        <f t="array" aca="1" ref="AI772" ca="1">IFERROR(INDIRECT("FINI_grouping_for_wheel[@["&amp;FINI_grouping_for_wheel[[#This Row],[Selected PV]]&amp;"]]"),"")</f>
        <v>26</v>
      </c>
      <c r="AJ77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11.9</v>
      </c>
      <c r="AL772" s="4"/>
      <c r="AM77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v>
      </c>
      <c r="AN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7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72" t="str">
        <f>_xlfn.CONCAT(FINI_grouping_for_wheel[[#This Row],[Recipe Combination]],FINI_grouping_for_wheel[[#This Row],[Subgroup]])</f>
        <v>X2</v>
      </c>
    </row>
    <row r="773" spans="1:55" hidden="1">
      <c r="A773" t="s">
        <v>11</v>
      </c>
      <c r="B773">
        <v>4513759</v>
      </c>
      <c r="C773" t="s">
        <v>3029</v>
      </c>
      <c r="D773">
        <v>8522.47189645</v>
      </c>
      <c r="E773">
        <v>27</v>
      </c>
      <c r="F773">
        <v>0.54</v>
      </c>
      <c r="G773" t="s">
        <v>3130</v>
      </c>
      <c r="H773" t="s">
        <v>3131</v>
      </c>
      <c r="I773">
        <v>440</v>
      </c>
      <c r="J773" t="s">
        <v>90</v>
      </c>
      <c r="K773" t="s">
        <v>3132</v>
      </c>
      <c r="L773" t="s">
        <v>3133</v>
      </c>
      <c r="M773">
        <v>49120.21845</v>
      </c>
      <c r="N773">
        <v>196.4808738</v>
      </c>
      <c r="O773">
        <v>99242.02053</v>
      </c>
      <c r="P773">
        <v>223982.98695</v>
      </c>
      <c r="Q773">
        <v>0.49495383293966072</v>
      </c>
      <c r="R773">
        <v>4218.23013127</v>
      </c>
      <c r="S773" t="s">
        <v>387</v>
      </c>
      <c r="T773" t="s">
        <v>93</v>
      </c>
      <c r="U773">
        <v>10</v>
      </c>
      <c r="V773" t="s">
        <v>94</v>
      </c>
      <c r="W773" t="s">
        <v>95</v>
      </c>
      <c r="X773" t="s">
        <v>96</v>
      </c>
      <c r="Y773" s="23" t="s">
        <v>97</v>
      </c>
      <c r="AA773">
        <v>43</v>
      </c>
      <c r="AB773" t="s">
        <v>3134</v>
      </c>
      <c r="AC773" t="s">
        <v>3035</v>
      </c>
      <c r="AD773" s="2">
        <v>1</v>
      </c>
      <c r="AE773" s="2" t="s">
        <v>70</v>
      </c>
      <c r="AF773" t="str">
        <f>_xlfn.CONCAT(FINI_grouping_for_wheel[[#This Row],[SEFI/Plant]],"/",IF(FINI_grouping_for_wheel[[#This Row],[RESET recipe combination]]&lt;&gt;"",FINI_grouping_for_wheel[[#This Row],[RESET recipe combination]],FINI_grouping_for_wheel[[#This Row],[Recipe Combination]]),"/",FINI_grouping_for_wheel[[#This Row],[Subgroup]])</f>
        <v>4513759/THDP/x/1</v>
      </c>
      <c r="AG7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0.7321334039174167</v>
      </c>
      <c r="AH773">
        <f>_xlfn.LET(_xlpm.pct, FINI_grouping_for_wheel[[#This Row],[% forecast within subgroup]], _xlpm.lote, FINI_grouping_for_wheel[[#This Row],[Lot size considered]], _xlpm.pct*_xlpm.lote)</f>
        <v>6239.58635933846</v>
      </c>
      <c r="AI773" cm="1">
        <f t="array" aca="1" ref="AI773" ca="1">IFERROR(INDIRECT("FINI_grouping_for_wheel[@["&amp;FINI_grouping_for_wheel[[#This Row],[Selected PV]]&amp;"]]"),"")</f>
        <v>28</v>
      </c>
      <c r="AJ77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14.8</v>
      </c>
      <c r="AL773" s="4"/>
      <c r="AM77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v>
      </c>
      <c r="AN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7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73" t="str">
        <f>_xlfn.CONCAT(FINI_grouping_for_wheel[[#This Row],[Recipe Combination]],FINI_grouping_for_wheel[[#This Row],[Subgroup]])</f>
        <v>X1</v>
      </c>
    </row>
    <row r="774" spans="1:55" hidden="1">
      <c r="A774" t="s">
        <v>11</v>
      </c>
      <c r="B774">
        <v>4513759</v>
      </c>
      <c r="C774" t="s">
        <v>3029</v>
      </c>
      <c r="D774">
        <v>8522.47189645</v>
      </c>
      <c r="E774">
        <v>27</v>
      </c>
      <c r="F774">
        <v>0.54</v>
      </c>
      <c r="G774" t="s">
        <v>3135</v>
      </c>
      <c r="H774" t="s">
        <v>3136</v>
      </c>
      <c r="I774">
        <v>240</v>
      </c>
      <c r="J774" t="s">
        <v>90</v>
      </c>
      <c r="K774" t="s">
        <v>396</v>
      </c>
      <c r="L774" t="s">
        <v>397</v>
      </c>
      <c r="M774">
        <v>17971.6779</v>
      </c>
      <c r="N774">
        <v>71.8867116</v>
      </c>
      <c r="O774">
        <v>99242.02053</v>
      </c>
      <c r="P774">
        <v>223982.98695</v>
      </c>
      <c r="Q774">
        <v>0.1810893994703314</v>
      </c>
      <c r="R774">
        <v>1543.32931773</v>
      </c>
      <c r="S774" t="s">
        <v>387</v>
      </c>
      <c r="T774" t="s">
        <v>93</v>
      </c>
      <c r="U774">
        <v>10</v>
      </c>
      <c r="V774" t="s">
        <v>238</v>
      </c>
      <c r="W774" t="s">
        <v>142</v>
      </c>
      <c r="X774" t="s">
        <v>96</v>
      </c>
      <c r="Y774" s="23" t="s">
        <v>97</v>
      </c>
      <c r="AA774">
        <v>119</v>
      </c>
      <c r="AB774" t="s">
        <v>3137</v>
      </c>
      <c r="AC774" t="s">
        <v>3035</v>
      </c>
      <c r="AD774" s="2">
        <v>1</v>
      </c>
      <c r="AE774" s="2" t="s">
        <v>70</v>
      </c>
      <c r="AF774" t="str">
        <f>_xlfn.CONCAT(FINI_grouping_for_wheel[[#This Row],[SEFI/Plant]],"/",IF(FINI_grouping_for_wheel[[#This Row],[RESET recipe combination]]&lt;&gt;"",FINI_grouping_for_wheel[[#This Row],[RESET recipe combination]],FINI_grouping_for_wheel[[#This Row],[Recipe Combination]]),"/",FINI_grouping_for_wheel[[#This Row],[Subgroup]])</f>
        <v>4513759/THDP/x/1</v>
      </c>
      <c r="AG7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0.2678665960825834</v>
      </c>
      <c r="AH774">
        <f>_xlfn.LET(_xlpm.pct, FINI_grouping_for_wheel[[#This Row],[% forecast within subgroup]], _xlpm.lote, FINI_grouping_for_wheel[[#This Row],[Lot size considered]], _xlpm.pct*_xlpm.lote)</f>
        <v>2282.885537111541</v>
      </c>
      <c r="AI774" cm="1">
        <f t="array" aca="1" ref="AI774" ca="1">IFERROR(INDIRECT("FINI_grouping_for_wheel[@["&amp;FINI_grouping_for_wheel[[#This Row],[Selected PV]]&amp;"]]"),"")</f>
        <v>28</v>
      </c>
      <c r="AJ77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8868.632355</v>
      </c>
      <c r="AK7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9.9</v>
      </c>
      <c r="AL774" s="4"/>
      <c r="AM77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v>
      </c>
      <c r="AN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7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74" t="str">
        <f>_xlfn.CONCAT(FINI_grouping_for_wheel[[#This Row],[Recipe Combination]],FINI_grouping_for_wheel[[#This Row],[Subgroup]])</f>
        <v>X1</v>
      </c>
    </row>
    <row r="775" spans="1:55" hidden="1">
      <c r="A775" t="s">
        <v>11</v>
      </c>
      <c r="B775">
        <v>4628825</v>
      </c>
      <c r="C775" t="s">
        <v>3138</v>
      </c>
      <c r="D775">
        <v>8564.30294808</v>
      </c>
      <c r="E775">
        <v>27</v>
      </c>
      <c r="F775">
        <v>0.54</v>
      </c>
      <c r="G775" t="s">
        <v>3139</v>
      </c>
      <c r="H775" t="s">
        <v>3140</v>
      </c>
      <c r="J775" t="s">
        <v>90</v>
      </c>
      <c r="K775" t="s">
        <v>312</v>
      </c>
      <c r="L775" t="s">
        <v>313</v>
      </c>
      <c r="M775">
        <v>4676.42475</v>
      </c>
      <c r="N775">
        <v>18.705699</v>
      </c>
      <c r="O775">
        <v>227273.058945</v>
      </c>
      <c r="P775">
        <v>227273.058945</v>
      </c>
      <c r="Q775">
        <v>2.0576238871901194E-2</v>
      </c>
      <c r="R775">
        <v>176.221143231</v>
      </c>
      <c r="S775" t="s">
        <v>471</v>
      </c>
      <c r="T775" t="s">
        <v>93</v>
      </c>
      <c r="U775">
        <v>1</v>
      </c>
      <c r="V775" t="s">
        <v>315</v>
      </c>
      <c r="W775" t="s">
        <v>142</v>
      </c>
      <c r="X775" t="s">
        <v>150</v>
      </c>
      <c r="Y775" s="23" t="s">
        <v>151</v>
      </c>
      <c r="AA775">
        <v>458</v>
      </c>
      <c r="AB775" t="s">
        <v>3141</v>
      </c>
      <c r="AC775" t="s">
        <v>3142</v>
      </c>
      <c r="AD775" s="2">
        <v>3</v>
      </c>
      <c r="AE775" s="2" t="s">
        <v>70</v>
      </c>
      <c r="AF775" t="str">
        <f>_xlfn.CONCAT(FINI_grouping_for_wheel[[#This Row],[SEFI/Plant]],"/",IF(FINI_grouping_for_wheel[[#This Row],[RESET recipe combination]]&lt;&gt;"",FINI_grouping_for_wheel[[#This Row],[RESET recipe combination]],FINI_grouping_for_wheel[[#This Row],[Recipe Combination]]),"/",FINI_grouping_for_wheel[[#This Row],[Subgroup]])</f>
        <v>4628825/THDP/x/3</v>
      </c>
      <c r="AG7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0.43273444347063983</v>
      </c>
      <c r="AH775">
        <f>_xlfn.LET(_xlpm.pct, FINI_grouping_for_wheel[[#This Row],[% forecast within subgroup]], _xlpm.lote, FINI_grouping_for_wheel[[#This Row],[Lot size considered]], _xlpm.pct*_xlpm.lote)</f>
        <v>3706.0688699513585</v>
      </c>
      <c r="AI775" cm="1">
        <f t="array" aca="1" ref="AI775" ca="1">IFERROR(INDIRECT("FINI_grouping_for_wheel[@["&amp;FINI_grouping_for_wheel[[#This Row],[Selected PV]]&amp;"]]"),"")</f>
        <v>172</v>
      </c>
      <c r="AJ77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7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75" s="4"/>
      <c r="AM77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172</v>
      </c>
      <c r="AN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7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75" t="str">
        <f>_xlfn.CONCAT(FINI_grouping_for_wheel[[#This Row],[Recipe Combination]],FINI_grouping_for_wheel[[#This Row],[Subgroup]])</f>
        <v>3</v>
      </c>
    </row>
    <row r="776" spans="1:55" hidden="1">
      <c r="A776" t="s">
        <v>11</v>
      </c>
      <c r="B776">
        <v>4628825</v>
      </c>
      <c r="C776" t="s">
        <v>3138</v>
      </c>
      <c r="D776">
        <v>8564.30294808</v>
      </c>
      <c r="E776">
        <v>27</v>
      </c>
      <c r="F776">
        <v>0.54</v>
      </c>
      <c r="G776" t="s">
        <v>3143</v>
      </c>
      <c r="H776" t="s">
        <v>3144</v>
      </c>
      <c r="I776">
        <v>450</v>
      </c>
      <c r="J776" t="s">
        <v>90</v>
      </c>
      <c r="K776" t="s">
        <v>264</v>
      </c>
      <c r="L776" t="s">
        <v>265</v>
      </c>
      <c r="M776">
        <v>9460.584855</v>
      </c>
      <c r="N776">
        <v>37.84233942</v>
      </c>
      <c r="O776">
        <v>227273.058945</v>
      </c>
      <c r="P776">
        <v>227273.058945</v>
      </c>
      <c r="Q776">
        <v>4.1626512614015808E-2</v>
      </c>
      <c r="R776">
        <v>356.502064699</v>
      </c>
      <c r="S776" t="s">
        <v>471</v>
      </c>
      <c r="T776" t="s">
        <v>93</v>
      </c>
      <c r="U776">
        <v>2.5</v>
      </c>
      <c r="V776" t="s">
        <v>267</v>
      </c>
      <c r="W776" t="s">
        <v>142</v>
      </c>
      <c r="X776" t="s">
        <v>150</v>
      </c>
      <c r="Y776" s="23" t="s">
        <v>151</v>
      </c>
      <c r="AA776">
        <v>226</v>
      </c>
      <c r="AB776" t="s">
        <v>3145</v>
      </c>
      <c r="AC776" t="s">
        <v>3142</v>
      </c>
      <c r="AD776" s="2">
        <v>4</v>
      </c>
      <c r="AE776" s="2" t="s">
        <v>70</v>
      </c>
      <c r="AF776" t="str">
        <f>_xlfn.CONCAT(FINI_grouping_for_wheel[[#This Row],[SEFI/Plant]],"/",IF(FINI_grouping_for_wheel[[#This Row],[RESET recipe combination]]&lt;&gt;"",FINI_grouping_for_wheel[[#This Row],[RESET recipe combination]],FINI_grouping_for_wheel[[#This Row],[Recipe Combination]]),"/",FINI_grouping_for_wheel[[#This Row],[Subgroup]])</f>
        <v>4628825/THDP/x/4</v>
      </c>
      <c r="AG7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0.656830511260891</v>
      </c>
      <c r="AH776">
        <f>_xlfn.LET(_xlpm.pct, FINI_grouping_for_wheel[[#This Row],[% forecast within subgroup]], _xlpm.lote, FINI_grouping_for_wheel[[#This Row],[Lot size considered]], _xlpm.pct*_xlpm.lote)</f>
        <v>5625.295483980542</v>
      </c>
      <c r="AI776" cm="1">
        <f t="array" aca="1" ref="AI776" ca="1">IFERROR(INDIRECT("FINI_grouping_for_wheel[@["&amp;FINI_grouping_for_wheel[[#This Row],[Selected PV]]&amp;"]]"),"")</f>
        <v>129</v>
      </c>
      <c r="AJ77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12.8</v>
      </c>
      <c r="AL776" s="4"/>
      <c r="AM77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129</v>
      </c>
      <c r="AN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7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76" t="str">
        <f>_xlfn.CONCAT(FINI_grouping_for_wheel[[#This Row],[Recipe Combination]],FINI_grouping_for_wheel[[#This Row],[Subgroup]])</f>
        <v>4</v>
      </c>
    </row>
    <row r="777" spans="1:55">
      <c r="A777" t="s">
        <v>11</v>
      </c>
      <c r="B777">
        <v>4628825</v>
      </c>
      <c r="C777" t="s">
        <v>3138</v>
      </c>
      <c r="D777">
        <v>8564.30294808</v>
      </c>
      <c r="E777">
        <v>27</v>
      </c>
      <c r="F777">
        <v>0.54</v>
      </c>
      <c r="G777" t="s">
        <v>3146</v>
      </c>
      <c r="H777" t="s">
        <v>3147</v>
      </c>
      <c r="I777">
        <v>360</v>
      </c>
      <c r="J777" t="s">
        <v>90</v>
      </c>
      <c r="K777" t="s">
        <v>814</v>
      </c>
      <c r="L777" t="s">
        <v>815</v>
      </c>
      <c r="M777">
        <v>96381.70605</v>
      </c>
      <c r="N777">
        <v>385.5268242</v>
      </c>
      <c r="O777">
        <v>227273.058945</v>
      </c>
      <c r="P777">
        <v>227273.058945</v>
      </c>
      <c r="Q777">
        <v>0.42407888773708258</v>
      </c>
      <c r="R777">
        <v>3631.94006847</v>
      </c>
      <c r="S777" t="s">
        <v>471</v>
      </c>
      <c r="T777" t="s">
        <v>93</v>
      </c>
      <c r="U777">
        <v>10</v>
      </c>
      <c r="V777" t="s">
        <v>482</v>
      </c>
      <c r="W777" t="s">
        <v>142</v>
      </c>
      <c r="X777" t="s">
        <v>96</v>
      </c>
      <c r="Y777" s="23" t="s">
        <v>483</v>
      </c>
      <c r="AA777">
        <v>22</v>
      </c>
      <c r="AB777" t="s">
        <v>3148</v>
      </c>
      <c r="AC777" t="s">
        <v>3142</v>
      </c>
      <c r="AD777" s="2">
        <v>1</v>
      </c>
      <c r="AE777" s="2" t="s">
        <v>70</v>
      </c>
      <c r="AF777" t="str">
        <f>_xlfn.CONCAT(FINI_grouping_for_wheel[[#This Row],[SEFI/Plant]],"/",IF(FINI_grouping_for_wheel[[#This Row],[RESET recipe combination]]&lt;&gt;"",FINI_grouping_for_wheel[[#This Row],[RESET recipe combination]],FINI_grouping_for_wheel[[#This Row],[Recipe Combination]]),"/",FINI_grouping_for_wheel[[#This Row],[Subgroup]])</f>
        <v>4628825/THDP/x/1</v>
      </c>
      <c r="AG7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777">
        <f>_xlfn.LET(_xlpm.pct, FINI_grouping_for_wheel[[#This Row],[% forecast within subgroup]], _xlpm.lote, FINI_grouping_for_wheel[[#This Row],[Lot size considered]], _xlpm.pct*_xlpm.lote)</f>
        <v>8564.30294808</v>
      </c>
      <c r="AI777" cm="1">
        <f t="array" aca="1" ref="AI777" ca="1">IFERROR(INDIRECT("FINI_grouping_for_wheel[@["&amp;FINI_grouping_for_wheel[[#This Row],[Selected PV]]&amp;"]]"),"")</f>
        <v>19</v>
      </c>
      <c r="AJ77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24.3</v>
      </c>
      <c r="AL777" s="4"/>
      <c r="AM77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7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77" t="str">
        <f>_xlfn.CONCAT(FINI_grouping_for_wheel[[#This Row],[Recipe Combination]],FINI_grouping_for_wheel[[#This Row],[Subgroup]])</f>
        <v>1</v>
      </c>
    </row>
    <row r="778" spans="1:55" hidden="1">
      <c r="A778" t="s">
        <v>11</v>
      </c>
      <c r="B778">
        <v>4628825</v>
      </c>
      <c r="C778" t="s">
        <v>3138</v>
      </c>
      <c r="D778">
        <v>8564.30294808</v>
      </c>
      <c r="E778">
        <v>27</v>
      </c>
      <c r="F778">
        <v>0.54</v>
      </c>
      <c r="G778" t="s">
        <v>3149</v>
      </c>
      <c r="H778" t="s">
        <v>3150</v>
      </c>
      <c r="J778" t="s">
        <v>90</v>
      </c>
      <c r="K778" t="s">
        <v>385</v>
      </c>
      <c r="L778" t="s">
        <v>386</v>
      </c>
      <c r="M778">
        <v>11945.60145</v>
      </c>
      <c r="N778">
        <v>47.7824058</v>
      </c>
      <c r="O778">
        <v>227273.058945</v>
      </c>
      <c r="P778">
        <v>227273.058945</v>
      </c>
      <c r="Q778">
        <v>5.2560569675312162E-2</v>
      </c>
      <c r="R778">
        <v>450.144641823</v>
      </c>
      <c r="S778" t="s">
        <v>471</v>
      </c>
      <c r="T778" t="s">
        <v>93</v>
      </c>
      <c r="U778">
        <v>10</v>
      </c>
      <c r="V778" t="s">
        <v>94</v>
      </c>
      <c r="W778" t="s">
        <v>95</v>
      </c>
      <c r="X778" t="s">
        <v>96</v>
      </c>
      <c r="Y778" s="23" t="s">
        <v>97</v>
      </c>
      <c r="AA778">
        <v>179</v>
      </c>
      <c r="AB778" t="s">
        <v>3151</v>
      </c>
      <c r="AC778" t="s">
        <v>3142</v>
      </c>
      <c r="AD778" s="2">
        <v>100</v>
      </c>
      <c r="AE778" s="2" t="s">
        <v>70</v>
      </c>
      <c r="AF778" t="str">
        <f>_xlfn.CONCAT(FINI_grouping_for_wheel[[#This Row],[SEFI/Plant]],"/",IF(FINI_grouping_for_wheel[[#This Row],[RESET recipe combination]]&lt;&gt;"",FINI_grouping_for_wheel[[#This Row],[RESET recipe combination]],FINI_grouping_for_wheel[[#This Row],[Recipe Combination]]),"/",FINI_grouping_for_wheel[[#This Row],[Subgroup]])</f>
        <v>4628825/THDP/x/100</v>
      </c>
      <c r="AG7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0.8230016313213703</v>
      </c>
      <c r="AH778">
        <f>_xlfn.LET(_xlpm.pct, FINI_grouping_for_wheel[[#This Row],[% forecast within subgroup]], _xlpm.lote, FINI_grouping_for_wheel[[#This Row],[Lot size considered]], _xlpm.pct*_xlpm.lote)</f>
        <v>7048.43529740026</v>
      </c>
      <c r="AI778" cm="1">
        <f t="array" aca="1" ref="AI778" ca="1">IFERROR(INDIRECT("FINI_grouping_for_wheel[@["&amp;FINI_grouping_for_wheel[[#This Row],[Selected PV]]&amp;"]]"),"")</f>
        <v>128</v>
      </c>
      <c r="AJ77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7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78" s="4"/>
      <c r="AM77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128</v>
      </c>
      <c r="AN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7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78" t="str">
        <f>_xlfn.CONCAT(FINI_grouping_for_wheel[[#This Row],[Recipe Combination]],FINI_grouping_for_wheel[[#This Row],[Subgroup]])</f>
        <v>100</v>
      </c>
    </row>
    <row r="779" spans="1:55" hidden="1">
      <c r="A779" t="s">
        <v>11</v>
      </c>
      <c r="B779">
        <v>4628825</v>
      </c>
      <c r="C779" t="s">
        <v>3138</v>
      </c>
      <c r="D779">
        <v>8564.30294808</v>
      </c>
      <c r="E779">
        <v>27</v>
      </c>
      <c r="F779">
        <v>0.54</v>
      </c>
      <c r="G779" t="s">
        <v>3152</v>
      </c>
      <c r="H779" t="s">
        <v>3153</v>
      </c>
      <c r="J779" t="s">
        <v>90</v>
      </c>
      <c r="K779" t="s">
        <v>264</v>
      </c>
      <c r="L779" t="s">
        <v>265</v>
      </c>
      <c r="M779">
        <v>832.285215</v>
      </c>
      <c r="N779">
        <v>3.32914086</v>
      </c>
      <c r="O779">
        <v>227273.058945</v>
      </c>
      <c r="P779">
        <v>227273.058945</v>
      </c>
      <c r="Q779">
        <v>3.6620496017586174E-3</v>
      </c>
      <c r="R779">
        <v>31.3629022004</v>
      </c>
      <c r="S779" t="s">
        <v>471</v>
      </c>
      <c r="T779" t="s">
        <v>93</v>
      </c>
      <c r="U779">
        <v>2.5</v>
      </c>
      <c r="V779" t="s">
        <v>267</v>
      </c>
      <c r="W779" t="s">
        <v>142</v>
      </c>
      <c r="X779" t="s">
        <v>150</v>
      </c>
      <c r="Y779" s="23" t="s">
        <v>151</v>
      </c>
      <c r="AA779">
        <v>2573</v>
      </c>
      <c r="AB779" t="s">
        <v>3154</v>
      </c>
      <c r="AC779" t="s">
        <v>3142</v>
      </c>
      <c r="AD779" s="2">
        <v>4</v>
      </c>
      <c r="AE779" s="2" t="s">
        <v>70</v>
      </c>
      <c r="AF779" t="str">
        <f>_xlfn.CONCAT(FINI_grouping_for_wheel[[#This Row],[SEFI/Plant]],"/",IF(FINI_grouping_for_wheel[[#This Row],[RESET recipe combination]]&lt;&gt;"",FINI_grouping_for_wheel[[#This Row],[RESET recipe combination]],FINI_grouping_for_wheel[[#This Row],[Recipe Combination]]),"/",FINI_grouping_for_wheel[[#This Row],[Subgroup]])</f>
        <v>4628825/THDP/x/4</v>
      </c>
      <c r="AG7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0.057783988163735006</v>
      </c>
      <c r="AH779">
        <f>_xlfn.LET(_xlpm.pct, FINI_grouping_for_wheel[[#This Row],[% forecast within subgroup]], _xlpm.lote, FINI_grouping_for_wheel[[#This Row],[Lot size considered]], _xlpm.pct*_xlpm.lote)</f>
        <v>494.87958018249554</v>
      </c>
      <c r="AI779" cm="1">
        <f t="array" aca="1" ref="AI779" ca="1">IFERROR(INDIRECT("FINI_grouping_for_wheel[@["&amp;FINI_grouping_for_wheel[[#This Row],[Selected PV]]&amp;"]]"),"")</f>
        <v>129</v>
      </c>
      <c r="AJ77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7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79" s="4"/>
      <c r="AM77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129</v>
      </c>
      <c r="AN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7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79" t="str">
        <f>_xlfn.CONCAT(FINI_grouping_for_wheel[[#This Row],[Recipe Combination]],FINI_grouping_for_wheel[[#This Row],[Subgroup]])</f>
        <v>4</v>
      </c>
    </row>
    <row r="780" spans="1:55" hidden="1">
      <c r="A780" t="s">
        <v>11</v>
      </c>
      <c r="B780">
        <v>4628825</v>
      </c>
      <c r="C780" t="s">
        <v>3138</v>
      </c>
      <c r="D780">
        <v>8564.30294808</v>
      </c>
      <c r="E780">
        <v>27</v>
      </c>
      <c r="F780">
        <v>0.54</v>
      </c>
      <c r="G780" t="s">
        <v>3155</v>
      </c>
      <c r="H780" t="s">
        <v>3156</v>
      </c>
      <c r="J780" t="s">
        <v>90</v>
      </c>
      <c r="K780" t="s">
        <v>312</v>
      </c>
      <c r="L780" t="s">
        <v>313</v>
      </c>
      <c r="M780">
        <v>5144.067225</v>
      </c>
      <c r="N780">
        <v>20.5762689</v>
      </c>
      <c r="O780">
        <v>227273.058945</v>
      </c>
      <c r="P780">
        <v>227273.058945</v>
      </c>
      <c r="Q780">
        <v>2.2633862759091312E-2</v>
      </c>
      <c r="R780">
        <v>193.843257554</v>
      </c>
      <c r="S780" t="s">
        <v>471</v>
      </c>
      <c r="T780" t="s">
        <v>93</v>
      </c>
      <c r="U780">
        <v>1</v>
      </c>
      <c r="V780" t="s">
        <v>315</v>
      </c>
      <c r="W780" t="s">
        <v>142</v>
      </c>
      <c r="X780" t="s">
        <v>150</v>
      </c>
      <c r="Y780" s="23" t="s">
        <v>151</v>
      </c>
      <c r="AA780">
        <v>416</v>
      </c>
      <c r="AB780" t="s">
        <v>3157</v>
      </c>
      <c r="AC780" t="s">
        <v>3142</v>
      </c>
      <c r="AD780" s="2">
        <v>3</v>
      </c>
      <c r="AE780" s="2" t="s">
        <v>70</v>
      </c>
      <c r="AF780" t="str">
        <f>_xlfn.CONCAT(FINI_grouping_for_wheel[[#This Row],[SEFI/Plant]],"/",IF(FINI_grouping_for_wheel[[#This Row],[RESET recipe combination]]&lt;&gt;"",FINI_grouping_for_wheel[[#This Row],[RESET recipe combination]],FINI_grouping_for_wheel[[#This Row],[Recipe Combination]]),"/",FINI_grouping_for_wheel[[#This Row],[Subgroup]])</f>
        <v>4628825/THDP/x/3</v>
      </c>
      <c r="AG7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0.47600788781770376</v>
      </c>
      <c r="AH780">
        <f>_xlfn.LET(_xlpm.pct, FINI_grouping_for_wheel[[#This Row],[% forecast within subgroup]], _xlpm.lote, FINI_grouping_for_wheel[[#This Row],[Lot size considered]], _xlpm.pct*_xlpm.lote)</f>
        <v>4076.675756946494</v>
      </c>
      <c r="AI780" cm="1">
        <f t="array" aca="1" ref="AI780" ca="1">IFERROR(INDIRECT("FINI_grouping_for_wheel[@["&amp;FINI_grouping_for_wheel[[#This Row],[Selected PV]]&amp;"]]"),"")</f>
        <v>172</v>
      </c>
      <c r="AJ78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8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80" s="4"/>
      <c r="AM78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172</v>
      </c>
      <c r="AN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8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80" t="str">
        <f>_xlfn.CONCAT(FINI_grouping_for_wheel[[#This Row],[Recipe Combination]],FINI_grouping_for_wheel[[#This Row],[Subgroup]])</f>
        <v>3</v>
      </c>
    </row>
    <row r="781" spans="1:55" hidden="1">
      <c r="A781" t="s">
        <v>11</v>
      </c>
      <c r="B781">
        <v>4628825</v>
      </c>
      <c r="C781" t="s">
        <v>3138</v>
      </c>
      <c r="D781">
        <v>8564.30294808</v>
      </c>
      <c r="E781">
        <v>27</v>
      </c>
      <c r="F781">
        <v>0.54</v>
      </c>
      <c r="G781" t="s">
        <v>3158</v>
      </c>
      <c r="H781" t="s">
        <v>3159</v>
      </c>
      <c r="I781">
        <v>450</v>
      </c>
      <c r="J781" t="s">
        <v>90</v>
      </c>
      <c r="K781" t="s">
        <v>264</v>
      </c>
      <c r="L781" t="s">
        <v>265</v>
      </c>
      <c r="M781">
        <v>3615.64587</v>
      </c>
      <c r="N781">
        <v>14.46258348</v>
      </c>
      <c r="O781">
        <v>227273.058945</v>
      </c>
      <c r="P781">
        <v>227273.058945</v>
      </c>
      <c r="Q781">
        <v>1.5908818611338291E-2</v>
      </c>
      <c r="R781">
        <v>136.247942134</v>
      </c>
      <c r="S781" t="s">
        <v>471</v>
      </c>
      <c r="T781" t="s">
        <v>93</v>
      </c>
      <c r="U781">
        <v>2.5</v>
      </c>
      <c r="V781" t="s">
        <v>267</v>
      </c>
      <c r="W781" t="s">
        <v>142</v>
      </c>
      <c r="X781" t="s">
        <v>150</v>
      </c>
      <c r="Y781" s="23" t="s">
        <v>151</v>
      </c>
      <c r="AA781">
        <v>592</v>
      </c>
      <c r="AB781" t="s">
        <v>3160</v>
      </c>
      <c r="AC781" t="s">
        <v>3142</v>
      </c>
      <c r="AD781" s="2">
        <v>4</v>
      </c>
      <c r="AE781" s="2" t="s">
        <v>70</v>
      </c>
      <c r="AF781" t="str">
        <f>_xlfn.CONCAT(FINI_grouping_for_wheel[[#This Row],[SEFI/Plant]],"/",IF(FINI_grouping_for_wheel[[#This Row],[RESET recipe combination]]&lt;&gt;"",FINI_grouping_for_wheel[[#This Row],[RESET recipe combination]],FINI_grouping_for_wheel[[#This Row],[Recipe Combination]]),"/",FINI_grouping_for_wheel[[#This Row],[Subgroup]])</f>
        <v>4628825/THDP/x/4</v>
      </c>
      <c r="AG7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0.25102745355909917</v>
      </c>
      <c r="AH781">
        <f>_xlfn.LET(_xlpm.pct, FINI_grouping_for_wheel[[#This Row],[% forecast within subgroup]], _xlpm.lote, FINI_grouping_for_wheel[[#This Row],[Lot size considered]], _xlpm.pct*_xlpm.lote)</f>
        <v>2149.8751605652083</v>
      </c>
      <c r="AI781" cm="1">
        <f t="array" aca="1" ref="AI781" ca="1">IFERROR(INDIRECT("FINI_grouping_for_wheel[@["&amp;FINI_grouping_for_wheel[[#This Row],[Selected PV]]&amp;"]]"),"")</f>
        <v>129</v>
      </c>
      <c r="AJ78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4.9</v>
      </c>
      <c r="AL781" s="4"/>
      <c r="AM78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129</v>
      </c>
      <c r="AN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8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81" t="str">
        <f>_xlfn.CONCAT(FINI_grouping_for_wheel[[#This Row],[Recipe Combination]],FINI_grouping_for_wheel[[#This Row],[Subgroup]])</f>
        <v>4</v>
      </c>
    </row>
    <row r="782" spans="1:55">
      <c r="A782" t="s">
        <v>11</v>
      </c>
      <c r="B782">
        <v>4628825</v>
      </c>
      <c r="C782" t="s">
        <v>3138</v>
      </c>
      <c r="D782">
        <v>8564.30294808</v>
      </c>
      <c r="E782">
        <v>27</v>
      </c>
      <c r="F782">
        <v>0.54</v>
      </c>
      <c r="G782" t="s">
        <v>3161</v>
      </c>
      <c r="H782" t="s">
        <v>3162</v>
      </c>
      <c r="J782" t="s">
        <v>90</v>
      </c>
      <c r="K782" t="s">
        <v>582</v>
      </c>
      <c r="L782" t="s">
        <v>583</v>
      </c>
      <c r="M782">
        <v>2569.07385</v>
      </c>
      <c r="N782">
        <v>10.2762954</v>
      </c>
      <c r="O782">
        <v>227273.058945</v>
      </c>
      <c r="P782">
        <v>227273.058945</v>
      </c>
      <c r="Q782">
        <v>1.1303908443550781E-2</v>
      </c>
      <c r="R782">
        <v>96.810096408</v>
      </c>
      <c r="S782" t="s">
        <v>471</v>
      </c>
      <c r="T782" t="s">
        <v>93</v>
      </c>
      <c r="U782">
        <v>10</v>
      </c>
      <c r="V782" t="s">
        <v>482</v>
      </c>
      <c r="W782" t="s">
        <v>159</v>
      </c>
      <c r="X782" t="s">
        <v>96</v>
      </c>
      <c r="Y782" s="23" t="s">
        <v>483</v>
      </c>
      <c r="AA782">
        <v>833</v>
      </c>
      <c r="AB782" t="s">
        <v>3163</v>
      </c>
      <c r="AC782" t="s">
        <v>3142</v>
      </c>
      <c r="AD782" s="2">
        <v>100</v>
      </c>
      <c r="AE782" s="2" t="s">
        <v>70</v>
      </c>
      <c r="AF782" t="str">
        <f>_xlfn.CONCAT(FINI_grouping_for_wheel[[#This Row],[SEFI/Plant]],"/",IF(FINI_grouping_for_wheel[[#This Row],[RESET recipe combination]]&lt;&gt;"",FINI_grouping_for_wheel[[#This Row],[RESET recipe combination]],FINI_grouping_for_wheel[[#This Row],[Recipe Combination]]),"/",FINI_grouping_for_wheel[[#This Row],[Subgroup]])</f>
        <v>4628825/THDP/x/100</v>
      </c>
      <c r="AG7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0.1769983686786297</v>
      </c>
      <c r="AH782">
        <f>_xlfn.LET(_xlpm.pct, FINI_grouping_for_wheel[[#This Row],[% forecast within subgroup]], _xlpm.lote, FINI_grouping_for_wheel[[#This Row],[Lot size considered]], _xlpm.pct*_xlpm.lote)</f>
        <v>1515.867650679739</v>
      </c>
      <c r="AI782" cm="1">
        <f t="array" aca="1" ref="AI782" ca="1">IFERROR(INDIRECT("FINI_grouping_for_wheel[@["&amp;FINI_grouping_for_wheel[[#This Row],[Selected PV]]&amp;"]]"),"")</f>
        <v>128</v>
      </c>
      <c r="AJ78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82"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82" s="4"/>
      <c r="AM78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128</v>
      </c>
      <c r="AN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8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82" t="str">
        <f>_xlfn.CONCAT(FINI_grouping_for_wheel[[#This Row],[Recipe Combination]],FINI_grouping_for_wheel[[#This Row],[Subgroup]])</f>
        <v>100</v>
      </c>
    </row>
    <row r="783" spans="1:55" hidden="1">
      <c r="A783" t="s">
        <v>11</v>
      </c>
      <c r="B783">
        <v>4628825</v>
      </c>
      <c r="C783" t="s">
        <v>3138</v>
      </c>
      <c r="D783">
        <v>8564.30294808</v>
      </c>
      <c r="E783">
        <v>27</v>
      </c>
      <c r="F783">
        <v>0.54</v>
      </c>
      <c r="G783" t="s">
        <v>3164</v>
      </c>
      <c r="H783" t="s">
        <v>3165</v>
      </c>
      <c r="I783">
        <v>360</v>
      </c>
      <c r="J783" t="s">
        <v>90</v>
      </c>
      <c r="K783" t="s">
        <v>264</v>
      </c>
      <c r="L783" t="s">
        <v>265</v>
      </c>
      <c r="M783">
        <v>494.87229</v>
      </c>
      <c r="N783">
        <v>1.97948916</v>
      </c>
      <c r="O783">
        <v>227273.058945</v>
      </c>
      <c r="P783">
        <v>227273.058945</v>
      </c>
      <c r="Q783">
        <v>2.1774348983429614E-3</v>
      </c>
      <c r="R783">
        <v>18.6482121191</v>
      </c>
      <c r="S783" t="s">
        <v>471</v>
      </c>
      <c r="T783" t="s">
        <v>93</v>
      </c>
      <c r="U783">
        <v>2.5</v>
      </c>
      <c r="V783" t="s">
        <v>267</v>
      </c>
      <c r="W783" t="s">
        <v>142</v>
      </c>
      <c r="X783" t="s">
        <v>150</v>
      </c>
      <c r="Y783" s="23" t="s">
        <v>151</v>
      </c>
      <c r="AA783">
        <v>4327</v>
      </c>
      <c r="AB783" t="s">
        <v>3166</v>
      </c>
      <c r="AC783" t="s">
        <v>3142</v>
      </c>
      <c r="AD783" s="2">
        <v>4</v>
      </c>
      <c r="AE783" s="2" t="s">
        <v>70</v>
      </c>
      <c r="AF783" t="str">
        <f>_xlfn.CONCAT(FINI_grouping_for_wheel[[#This Row],[SEFI/Plant]],"/",IF(FINI_grouping_for_wheel[[#This Row],[RESET recipe combination]]&lt;&gt;"",FINI_grouping_for_wheel[[#This Row],[RESET recipe combination]],FINI_grouping_for_wheel[[#This Row],[Recipe Combination]]),"/",FINI_grouping_for_wheel[[#This Row],[Subgroup]])</f>
        <v>4628825/THDP/x/4</v>
      </c>
      <c r="AG7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0.034358047016274866</v>
      </c>
      <c r="AH783">
        <f>_xlfn.LET(_xlpm.pct, FINI_grouping_for_wheel[[#This Row],[% forecast within subgroup]], _xlpm.lote, FINI_grouping_for_wheel[[#This Row],[Lot size considered]], _xlpm.pct*_xlpm.lote)</f>
        <v>294.25272335175407</v>
      </c>
      <c r="AI783" cm="1">
        <f t="array" aca="1" ref="AI783" ca="1">IFERROR(INDIRECT("FINI_grouping_for_wheel[@["&amp;FINI_grouping_for_wheel[[#This Row],[Selected PV]]&amp;"]]"),"")</f>
        <v>129</v>
      </c>
      <c r="AJ78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0.8</v>
      </c>
      <c r="AL783" s="4"/>
      <c r="AM78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129</v>
      </c>
      <c r="AN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8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83" t="str">
        <f>_xlfn.CONCAT(FINI_grouping_for_wheel[[#This Row],[Recipe Combination]],FINI_grouping_for_wheel[[#This Row],[Subgroup]])</f>
        <v>4</v>
      </c>
    </row>
    <row r="784" spans="1:55" hidden="1">
      <c r="A784" t="s">
        <v>11</v>
      </c>
      <c r="B784">
        <v>4628825</v>
      </c>
      <c r="C784" t="s">
        <v>3138</v>
      </c>
      <c r="D784">
        <v>8564.30294808</v>
      </c>
      <c r="E784">
        <v>27</v>
      </c>
      <c r="F784">
        <v>0.54</v>
      </c>
      <c r="G784" t="s">
        <v>3167</v>
      </c>
      <c r="H784" t="s">
        <v>3168</v>
      </c>
      <c r="I784">
        <v>396</v>
      </c>
      <c r="J784" t="s">
        <v>90</v>
      </c>
      <c r="K784" t="s">
        <v>312</v>
      </c>
      <c r="L784" t="s">
        <v>313</v>
      </c>
      <c r="M784">
        <v>986.192865</v>
      </c>
      <c r="N784">
        <v>3.94477146</v>
      </c>
      <c r="O784">
        <v>227273.058945</v>
      </c>
      <c r="P784">
        <v>227273.058945</v>
      </c>
      <c r="Q784">
        <v>4.3392422734920746E-3</v>
      </c>
      <c r="R784">
        <v>37.1625853953</v>
      </c>
      <c r="S784" t="s">
        <v>471</v>
      </c>
      <c r="T784" t="s">
        <v>93</v>
      </c>
      <c r="U784">
        <v>1</v>
      </c>
      <c r="V784" t="s">
        <v>315</v>
      </c>
      <c r="W784" t="s">
        <v>142</v>
      </c>
      <c r="X784" t="s">
        <v>150</v>
      </c>
      <c r="Y784" s="23" t="s">
        <v>151</v>
      </c>
      <c r="AA784">
        <v>2171</v>
      </c>
      <c r="AB784" t="s">
        <v>3169</v>
      </c>
      <c r="AC784" t="s">
        <v>3142</v>
      </c>
      <c r="AD784" s="2">
        <v>3</v>
      </c>
      <c r="AE784" s="2" t="s">
        <v>70</v>
      </c>
      <c r="AF784" t="str">
        <f>_xlfn.CONCAT(FINI_grouping_for_wheel[[#This Row],[SEFI/Plant]],"/",IF(FINI_grouping_for_wheel[[#This Row],[RESET recipe combination]]&lt;&gt;"",FINI_grouping_for_wheel[[#This Row],[RESET recipe combination]],FINI_grouping_for_wheel[[#This Row],[Recipe Combination]]),"/",FINI_grouping_for_wheel[[#This Row],[Subgroup]])</f>
        <v>4628825/THDP/x/3</v>
      </c>
      <c r="AG7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0.09125766871165644</v>
      </c>
      <c r="AH784">
        <f>_xlfn.LET(_xlpm.pct, FINI_grouping_for_wheel[[#This Row],[% forecast within subgroup]], _xlpm.lote, FINI_grouping_for_wheel[[#This Row],[Lot size considered]], _xlpm.pct*_xlpm.lote)</f>
        <v>781.5583211821472</v>
      </c>
      <c r="AI784" cm="1">
        <f t="array" aca="1" ref="AI784" ca="1">IFERROR(INDIRECT("FINI_grouping_for_wheel[@["&amp;FINI_grouping_for_wheel[[#This Row],[Selected PV]]&amp;"]]"),"")</f>
        <v>172</v>
      </c>
      <c r="AJ78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v>
      </c>
      <c r="AL784" s="4"/>
      <c r="AM78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172</v>
      </c>
      <c r="AN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8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84" t="str">
        <f>_xlfn.CONCAT(FINI_grouping_for_wheel[[#This Row],[Recipe Combination]],FINI_grouping_for_wheel[[#This Row],[Subgroup]])</f>
        <v>3</v>
      </c>
    </row>
    <row r="785" spans="1:55" hidden="1">
      <c r="A785" t="s">
        <v>11</v>
      </c>
      <c r="B785">
        <v>4628825</v>
      </c>
      <c r="C785" t="s">
        <v>3138</v>
      </c>
      <c r="D785">
        <v>8564.30294808</v>
      </c>
      <c r="E785">
        <v>27</v>
      </c>
      <c r="F785">
        <v>0.54</v>
      </c>
      <c r="G785" t="s">
        <v>3170</v>
      </c>
      <c r="H785" t="s">
        <v>3171</v>
      </c>
      <c r="I785">
        <v>480</v>
      </c>
      <c r="J785" t="s">
        <v>90</v>
      </c>
      <c r="K785" t="s">
        <v>515</v>
      </c>
      <c r="L785" t="s">
        <v>516</v>
      </c>
      <c r="M785">
        <v>5925.444525</v>
      </c>
      <c r="N785">
        <v>23.7017781</v>
      </c>
      <c r="O785">
        <v>227273.058945</v>
      </c>
      <c r="P785">
        <v>227273.058945</v>
      </c>
      <c r="Q785">
        <v>2.6071917861738094E-2</v>
      </c>
      <c r="R785">
        <v>223.287803005</v>
      </c>
      <c r="S785" t="s">
        <v>471</v>
      </c>
      <c r="T785" t="s">
        <v>93</v>
      </c>
      <c r="U785">
        <v>5</v>
      </c>
      <c r="V785" t="s">
        <v>518</v>
      </c>
      <c r="W785" t="s">
        <v>142</v>
      </c>
      <c r="X785" t="s">
        <v>150</v>
      </c>
      <c r="Y785" s="23" t="s">
        <v>151</v>
      </c>
      <c r="AA785">
        <v>361</v>
      </c>
      <c r="AB785" t="s">
        <v>3172</v>
      </c>
      <c r="AC785" t="s">
        <v>3142</v>
      </c>
      <c r="AD785" s="2">
        <v>5</v>
      </c>
      <c r="AE785" s="2" t="s">
        <v>70</v>
      </c>
      <c r="AF785" t="str">
        <f>_xlfn.CONCAT(FINI_grouping_for_wheel[[#This Row],[SEFI/Plant]],"/",IF(FINI_grouping_for_wheel[[#This Row],[RESET recipe combination]]&lt;&gt;"",FINI_grouping_for_wheel[[#This Row],[RESET recipe combination]],FINI_grouping_for_wheel[[#This Row],[Recipe Combination]]),"/",FINI_grouping_for_wheel[[#This Row],[Subgroup]])</f>
        <v>4628825/THDP/x/5</v>
      </c>
      <c r="AG7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0.2887222382463225</v>
      </c>
      <c r="AH785">
        <f>_xlfn.LET(_xlpm.pct, FINI_grouping_for_wheel[[#This Row],[% forecast within subgroup]], _xlpm.lote, FINI_grouping_for_wheel[[#This Row],[Lot size considered]], _xlpm.pct*_xlpm.lote)</f>
        <v>2472.7047161892356</v>
      </c>
      <c r="AI785" cm="1">
        <f t="array" aca="1" ref="AI785" ca="1">IFERROR(INDIRECT("FINI_grouping_for_wheel[@["&amp;FINI_grouping_for_wheel[[#This Row],[Selected PV]]&amp;"]]"),"")</f>
        <v>91</v>
      </c>
      <c r="AJ78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5.3</v>
      </c>
      <c r="AL785" s="4"/>
      <c r="AM78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91</v>
      </c>
      <c r="AN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8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85" t="str">
        <f>_xlfn.CONCAT(FINI_grouping_for_wheel[[#This Row],[Recipe Combination]],FINI_grouping_for_wheel[[#This Row],[Subgroup]])</f>
        <v>5</v>
      </c>
    </row>
    <row r="786" spans="1:55">
      <c r="A786" t="s">
        <v>11</v>
      </c>
      <c r="B786">
        <v>4628825</v>
      </c>
      <c r="C786" t="s">
        <v>3138</v>
      </c>
      <c r="D786">
        <v>8564.30294808</v>
      </c>
      <c r="E786">
        <v>27</v>
      </c>
      <c r="F786">
        <v>0.54</v>
      </c>
      <c r="G786" t="s">
        <v>3173</v>
      </c>
      <c r="H786" t="s">
        <v>3174</v>
      </c>
      <c r="J786" t="s">
        <v>90</v>
      </c>
      <c r="K786" t="s">
        <v>3175</v>
      </c>
      <c r="L786" t="s">
        <v>3176</v>
      </c>
      <c r="M786">
        <v>70643.61135</v>
      </c>
      <c r="N786">
        <v>282.5744454</v>
      </c>
      <c r="O786">
        <v>227273.058945</v>
      </c>
      <c r="P786">
        <v>227273.058945</v>
      </c>
      <c r="Q786">
        <v>0.31083143632565674</v>
      </c>
      <c r="R786">
        <v>2662.05458648</v>
      </c>
      <c r="S786" t="s">
        <v>471</v>
      </c>
      <c r="T786" t="s">
        <v>93</v>
      </c>
      <c r="U786">
        <v>10</v>
      </c>
      <c r="V786" t="s">
        <v>482</v>
      </c>
      <c r="W786" t="s">
        <v>159</v>
      </c>
      <c r="X786" t="s">
        <v>96</v>
      </c>
      <c r="Y786" s="23" t="s">
        <v>483</v>
      </c>
      <c r="AA786">
        <v>30</v>
      </c>
      <c r="AB786" t="s">
        <v>3177</v>
      </c>
      <c r="AC786" t="s">
        <v>3142</v>
      </c>
      <c r="AD786" s="2">
        <v>2</v>
      </c>
      <c r="AE786" s="2" t="s">
        <v>70</v>
      </c>
      <c r="AF786" t="str">
        <f>_xlfn.CONCAT(FINI_grouping_for_wheel[[#This Row],[SEFI/Plant]],"/",IF(FINI_grouping_for_wheel[[#This Row],[RESET recipe combination]]&lt;&gt;"",FINI_grouping_for_wheel[[#This Row],[RESET recipe combination]],FINI_grouping_for_wheel[[#This Row],[Recipe Combination]]),"/",FINI_grouping_for_wheel[[#This Row],[Subgroup]])</f>
        <v>4628825/THDP/x/2</v>
      </c>
      <c r="AG7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786">
        <f>_xlfn.LET(_xlpm.pct, FINI_grouping_for_wheel[[#This Row],[% forecast within subgroup]], _xlpm.lote, FINI_grouping_for_wheel[[#This Row],[Lot size considered]], _xlpm.pct*_xlpm.lote)</f>
        <v>8564.30294808</v>
      </c>
      <c r="AI786" cm="1">
        <f t="array" aca="1" ref="AI786" ca="1">IFERROR(INDIRECT("FINI_grouping_for_wheel[@["&amp;FINI_grouping_for_wheel[[#This Row],[Selected PV]]&amp;"]]"),"")</f>
        <v>26</v>
      </c>
      <c r="AJ78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8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86" s="4"/>
      <c r="AM78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v>
      </c>
      <c r="AN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8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86" t="str">
        <f>_xlfn.CONCAT(FINI_grouping_for_wheel[[#This Row],[Recipe Combination]],FINI_grouping_for_wheel[[#This Row],[Subgroup]])</f>
        <v>2</v>
      </c>
    </row>
    <row r="787" spans="1:55" hidden="1">
      <c r="A787" t="s">
        <v>11</v>
      </c>
      <c r="B787">
        <v>4628825</v>
      </c>
      <c r="C787" t="s">
        <v>3138</v>
      </c>
      <c r="D787">
        <v>8564.30294808</v>
      </c>
      <c r="E787">
        <v>27</v>
      </c>
      <c r="F787">
        <v>0.54</v>
      </c>
      <c r="G787" t="s">
        <v>3178</v>
      </c>
      <c r="H787" t="s">
        <v>3179</v>
      </c>
      <c r="J787" t="s">
        <v>90</v>
      </c>
      <c r="K787" t="s">
        <v>515</v>
      </c>
      <c r="L787" t="s">
        <v>516</v>
      </c>
      <c r="M787">
        <v>556.43535</v>
      </c>
      <c r="N787">
        <v>2.2257414</v>
      </c>
      <c r="O787">
        <v>227273.058945</v>
      </c>
      <c r="P787">
        <v>227273.058945</v>
      </c>
      <c r="Q787">
        <v>2.4483119670363446E-3</v>
      </c>
      <c r="R787">
        <v>20.9680853971</v>
      </c>
      <c r="S787" t="s">
        <v>471</v>
      </c>
      <c r="T787" t="s">
        <v>93</v>
      </c>
      <c r="U787">
        <v>5</v>
      </c>
      <c r="V787" t="s">
        <v>518</v>
      </c>
      <c r="W787" t="s">
        <v>142</v>
      </c>
      <c r="X787" t="s">
        <v>150</v>
      </c>
      <c r="Y787" s="23" t="s">
        <v>151</v>
      </c>
      <c r="AA787">
        <v>3848</v>
      </c>
      <c r="AB787" t="s">
        <v>3180</v>
      </c>
      <c r="AC787" t="s">
        <v>3142</v>
      </c>
      <c r="AD787" s="2">
        <v>5</v>
      </c>
      <c r="AE787" s="2" t="s">
        <v>70</v>
      </c>
      <c r="AF787" t="str">
        <f>_xlfn.CONCAT(FINI_grouping_for_wheel[[#This Row],[SEFI/Plant]],"/",IF(FINI_grouping_for_wheel[[#This Row],[RESET recipe combination]]&lt;&gt;"",FINI_grouping_for_wheel[[#This Row],[RESET recipe combination]],FINI_grouping_for_wheel[[#This Row],[Recipe Combination]]),"/",FINI_grouping_for_wheel[[#This Row],[Subgroup]])</f>
        <v>4628825/THDP/x/5</v>
      </c>
      <c r="AG7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0.027112777617536773</v>
      </c>
      <c r="AH787">
        <f>_xlfn.LET(_xlpm.pct, FINI_grouping_for_wheel[[#This Row],[% forecast within subgroup]], _xlpm.lote, FINI_grouping_for_wheel[[#This Row],[Lot size considered]], _xlpm.pct*_xlpm.lote)</f>
        <v>232.20204128050761</v>
      </c>
      <c r="AI787" cm="1">
        <f t="array" aca="1" ref="AI787" ca="1">IFERROR(INDIRECT("FINI_grouping_for_wheel[@["&amp;FINI_grouping_for_wheel[[#This Row],[Selected PV]]&amp;"]]"),"")</f>
        <v>91</v>
      </c>
      <c r="AJ78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8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87" s="4"/>
      <c r="AM78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91</v>
      </c>
      <c r="AN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8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87" t="str">
        <f>_xlfn.CONCAT(FINI_grouping_for_wheel[[#This Row],[Recipe Combination]],FINI_grouping_for_wheel[[#This Row],[Subgroup]])</f>
        <v>5</v>
      </c>
    </row>
    <row r="788" spans="1:55" hidden="1">
      <c r="A788" t="s">
        <v>11</v>
      </c>
      <c r="B788">
        <v>4628825</v>
      </c>
      <c r="C788" t="s">
        <v>3138</v>
      </c>
      <c r="D788">
        <v>8564.30294808</v>
      </c>
      <c r="E788">
        <v>27</v>
      </c>
      <c r="F788">
        <v>0.54</v>
      </c>
      <c r="G788" t="s">
        <v>3181</v>
      </c>
      <c r="H788" t="s">
        <v>3182</v>
      </c>
      <c r="J788" t="s">
        <v>90</v>
      </c>
      <c r="K788" t="s">
        <v>515</v>
      </c>
      <c r="L788" t="s">
        <v>516</v>
      </c>
      <c r="M788">
        <v>14041.1133</v>
      </c>
      <c r="N788">
        <v>56.1644532</v>
      </c>
      <c r="O788">
        <v>227273.058945</v>
      </c>
      <c r="P788">
        <v>227273.058945</v>
      </c>
      <c r="Q788">
        <v>6.1780808359683075E-2</v>
      </c>
      <c r="R788">
        <v>529.10955917</v>
      </c>
      <c r="S788" t="s">
        <v>471</v>
      </c>
      <c r="T788" t="s">
        <v>93</v>
      </c>
      <c r="U788">
        <v>5</v>
      </c>
      <c r="V788" t="s">
        <v>518</v>
      </c>
      <c r="W788" t="s">
        <v>142</v>
      </c>
      <c r="X788" t="s">
        <v>150</v>
      </c>
      <c r="Y788" s="23" t="s">
        <v>151</v>
      </c>
      <c r="AA788">
        <v>152</v>
      </c>
      <c r="AB788" t="s">
        <v>3183</v>
      </c>
      <c r="AC788" t="s">
        <v>3142</v>
      </c>
      <c r="AD788" s="2">
        <v>5</v>
      </c>
      <c r="AE788" s="2" t="s">
        <v>70</v>
      </c>
      <c r="AF788" t="str">
        <f>_xlfn.CONCAT(FINI_grouping_for_wheel[[#This Row],[SEFI/Plant]],"/",IF(FINI_grouping_for_wheel[[#This Row],[RESET recipe combination]]&lt;&gt;"",FINI_grouping_for_wheel[[#This Row],[RESET recipe combination]],FINI_grouping_for_wheel[[#This Row],[Recipe Combination]]),"/",FINI_grouping_for_wheel[[#This Row],[Subgroup]])</f>
        <v>4628825/THDP/x/5</v>
      </c>
      <c r="AG7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0.6841649841361408</v>
      </c>
      <c r="AH788">
        <f>_xlfn.LET(_xlpm.pct, FINI_grouping_for_wheel[[#This Row],[% forecast within subgroup]], _xlpm.lote, FINI_grouping_for_wheel[[#This Row],[Lot size considered]], _xlpm.pct*_xlpm.lote)</f>
        <v>5859.396190610257</v>
      </c>
      <c r="AI788" cm="1">
        <f t="array" aca="1" ref="AI788" ca="1">IFERROR(INDIRECT("FINI_grouping_for_wheel[@["&amp;FINI_grouping_for_wheel[[#This Row],[Selected PV]]&amp;"]]"),"")</f>
        <v>91</v>
      </c>
      <c r="AJ78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78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788" s="4"/>
      <c r="AM78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91</v>
      </c>
      <c r="AN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8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88" t="str">
        <f>_xlfn.CONCAT(FINI_grouping_for_wheel[[#This Row],[Recipe Combination]],FINI_grouping_for_wheel[[#This Row],[Subgroup]])</f>
        <v>5</v>
      </c>
    </row>
    <row r="789" spans="1:55" hidden="1">
      <c r="A789" t="s">
        <v>11</v>
      </c>
      <c r="B789">
        <v>4317632</v>
      </c>
      <c r="C789" t="s">
        <v>3184</v>
      </c>
      <c r="D789">
        <v>8478.64110975</v>
      </c>
      <c r="E789">
        <v>26</v>
      </c>
      <c r="F789">
        <v>0.52</v>
      </c>
      <c r="G789" t="s">
        <v>3185</v>
      </c>
      <c r="H789" t="s">
        <v>3186</v>
      </c>
      <c r="I789">
        <v>300</v>
      </c>
      <c r="J789" t="s">
        <v>90</v>
      </c>
      <c r="K789" t="s">
        <v>254</v>
      </c>
      <c r="L789" t="s">
        <v>255</v>
      </c>
      <c r="M789">
        <v>29775.21075</v>
      </c>
      <c r="N789">
        <v>119.100843</v>
      </c>
      <c r="O789">
        <v>29775.21075</v>
      </c>
      <c r="P789">
        <v>216381.132945</v>
      </c>
      <c r="Q789">
        <v>1</v>
      </c>
      <c r="R789">
        <v>8478.64110975</v>
      </c>
      <c r="S789" t="s">
        <v>249</v>
      </c>
      <c r="T789" t="s">
        <v>93</v>
      </c>
      <c r="U789">
        <v>5</v>
      </c>
      <c r="V789" t="s">
        <v>119</v>
      </c>
      <c r="W789" t="s">
        <v>95</v>
      </c>
      <c r="X789" t="s">
        <v>96</v>
      </c>
      <c r="Y789" s="23" t="s">
        <v>120</v>
      </c>
      <c r="AA789">
        <v>71</v>
      </c>
      <c r="AB789" t="s">
        <v>3187</v>
      </c>
      <c r="AC789" t="s">
        <v>3188</v>
      </c>
      <c r="AD789" s="2">
        <v>2</v>
      </c>
      <c r="AE789" s="2" t="s">
        <v>70</v>
      </c>
      <c r="AF789" t="str">
        <f>_xlfn.CONCAT(FINI_grouping_for_wheel[[#This Row],[SEFI/Plant]],"/",IF(FINI_grouping_for_wheel[[#This Row],[RESET recipe combination]]&lt;&gt;"",FINI_grouping_for_wheel[[#This Row],[RESET recipe combination]],FINI_grouping_for_wheel[[#This Row],[Recipe Combination]]),"/",FINI_grouping_for_wheel[[#This Row],[Subgroup]])</f>
        <v>4317632/THDP/x/2</v>
      </c>
      <c r="AG7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0.5060667645934361</v>
      </c>
      <c r="AH789">
        <f>_xlfn.LET(_xlpm.pct, FINI_grouping_for_wheel[[#This Row],[% forecast within subgroup]], _xlpm.lote, FINI_grouping_for_wheel[[#This Row],[Lot size considered]], _xlpm.pct*_xlpm.lote)</f>
        <v>4290.758474560083</v>
      </c>
      <c r="AI789" cm="1">
        <f t="array" aca="1" ref="AI789" ca="1">IFERROR(INDIRECT("FINI_grouping_for_wheel[@["&amp;FINI_grouping_for_wheel[[#This Row],[Selected PV]]&amp;"]]"),"")</f>
        <v>32</v>
      </c>
      <c r="AJ78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789" s="4"/>
      <c r="AM78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32</v>
      </c>
      <c r="AN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8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89" t="str">
        <f>_xlfn.CONCAT(FINI_grouping_for_wheel[[#This Row],[Recipe Combination]],FINI_grouping_for_wheel[[#This Row],[Subgroup]])</f>
        <v>%2</v>
      </c>
    </row>
    <row r="790" spans="1:55" hidden="1">
      <c r="A790" t="s">
        <v>11</v>
      </c>
      <c r="B790">
        <v>4317632</v>
      </c>
      <c r="C790" t="s">
        <v>3184</v>
      </c>
      <c r="D790">
        <v>8478.64110975</v>
      </c>
      <c r="E790">
        <v>26</v>
      </c>
      <c r="F790">
        <v>0.52</v>
      </c>
      <c r="G790" t="s">
        <v>3189</v>
      </c>
      <c r="H790" t="s">
        <v>3190</v>
      </c>
      <c r="I790">
        <v>190</v>
      </c>
      <c r="J790" t="s">
        <v>90</v>
      </c>
      <c r="K790" t="s">
        <v>602</v>
      </c>
      <c r="L790" t="s">
        <v>603</v>
      </c>
      <c r="M790">
        <v>4128.276735</v>
      </c>
      <c r="N790">
        <v>16.51310694</v>
      </c>
      <c r="O790">
        <v>4128.276735</v>
      </c>
      <c r="P790">
        <v>216381.132945</v>
      </c>
      <c r="Q790">
        <v>1</v>
      </c>
      <c r="R790">
        <v>8478.64110975</v>
      </c>
      <c r="S790" t="s">
        <v>104</v>
      </c>
      <c r="T790" t="s">
        <v>93</v>
      </c>
      <c r="U790">
        <v>2.5</v>
      </c>
      <c r="V790" t="s">
        <v>604</v>
      </c>
      <c r="W790" t="s">
        <v>142</v>
      </c>
      <c r="X790" t="s">
        <v>128</v>
      </c>
      <c r="Y790" s="23" t="s">
        <v>136</v>
      </c>
      <c r="AA790">
        <v>513</v>
      </c>
      <c r="AB790" t="s">
        <v>3191</v>
      </c>
      <c r="AC790" t="s">
        <v>3188</v>
      </c>
      <c r="AD790" s="2">
        <v>2</v>
      </c>
      <c r="AE790" s="2" t="s">
        <v>70</v>
      </c>
      <c r="AF790" t="str">
        <f>_xlfn.CONCAT(FINI_grouping_for_wheel[[#This Row],[SEFI/Plant]],"/",IF(FINI_grouping_for_wheel[[#This Row],[RESET recipe combination]]&lt;&gt;"",FINI_grouping_for_wheel[[#This Row],[RESET recipe combination]],FINI_grouping_for_wheel[[#This Row],[Recipe Combination]]),"/",FINI_grouping_for_wheel[[#This Row],[Subgroup]])</f>
        <v>4317632/THDP/x/2</v>
      </c>
      <c r="AG7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0.07016520111877982</v>
      </c>
      <c r="AH790">
        <f>_xlfn.LET(_xlpm.pct, FINI_grouping_for_wheel[[#This Row],[% forecast within subgroup]], _xlpm.lote, FINI_grouping_for_wheel[[#This Row],[Lot size considered]], _xlpm.pct*_xlpm.lote)</f>
        <v>594.9055586795632</v>
      </c>
      <c r="AI790" cm="1">
        <f t="array" aca="1" ref="AI790" ca="1">IFERROR(INDIRECT("FINI_grouping_for_wheel[@["&amp;FINI_grouping_for_wheel[[#This Row],[Selected PV]]&amp;"]]"),"")</f>
        <v>32</v>
      </c>
      <c r="AJ79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3.3</v>
      </c>
      <c r="AL790" s="4"/>
      <c r="AM79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32</v>
      </c>
      <c r="AN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9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90" t="str">
        <f>_xlfn.CONCAT(FINI_grouping_for_wheel[[#This Row],[Recipe Combination]],FINI_grouping_for_wheel[[#This Row],[Subgroup]])</f>
        <v>02</v>
      </c>
    </row>
    <row r="791" spans="1:55" hidden="1">
      <c r="A791" t="s">
        <v>11</v>
      </c>
      <c r="B791">
        <v>4317632</v>
      </c>
      <c r="C791" t="s">
        <v>3184</v>
      </c>
      <c r="D791">
        <v>8478.64110975</v>
      </c>
      <c r="E791">
        <v>26</v>
      </c>
      <c r="F791">
        <v>0.52</v>
      </c>
      <c r="G791" t="s">
        <v>3192</v>
      </c>
      <c r="H791" t="s">
        <v>3193</v>
      </c>
      <c r="I791">
        <v>435</v>
      </c>
      <c r="J791" t="s">
        <v>90</v>
      </c>
      <c r="K791" t="s">
        <v>264</v>
      </c>
      <c r="L791" t="s">
        <v>265</v>
      </c>
      <c r="M791">
        <v>1723.76568</v>
      </c>
      <c r="N791">
        <v>6.89506272</v>
      </c>
      <c r="O791">
        <v>2558.418705</v>
      </c>
      <c r="P791">
        <v>216381.132945</v>
      </c>
      <c r="Q791">
        <v>0.67376214715409533</v>
      </c>
      <c r="R791">
        <v>5712.58743905</v>
      </c>
      <c r="S791" t="s">
        <v>266</v>
      </c>
      <c r="T791" t="s">
        <v>93</v>
      </c>
      <c r="U791">
        <v>2.5</v>
      </c>
      <c r="V791" t="s">
        <v>267</v>
      </c>
      <c r="W791" t="s">
        <v>142</v>
      </c>
      <c r="X791" t="s">
        <v>150</v>
      </c>
      <c r="Y791" s="23" t="s">
        <v>151</v>
      </c>
      <c r="AA791">
        <v>1230</v>
      </c>
      <c r="AB791" t="s">
        <v>3194</v>
      </c>
      <c r="AC791" t="s">
        <v>3188</v>
      </c>
      <c r="AD791" s="2">
        <v>200</v>
      </c>
      <c r="AE791" s="2" t="s">
        <v>70</v>
      </c>
      <c r="AF791" t="str">
        <f>_xlfn.CONCAT(FINI_grouping_for_wheel[[#This Row],[SEFI/Plant]],"/",IF(FINI_grouping_for_wheel[[#This Row],[RESET recipe combination]]&lt;&gt;"",FINI_grouping_for_wheel[[#This Row],[RESET recipe combination]],FINI_grouping_for_wheel[[#This Row],[Recipe Combination]]),"/",FINI_grouping_for_wheel[[#This Row],[Subgroup]])</f>
        <v>4317632/THDP/x/200</v>
      </c>
      <c r="AG7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0.19517426273458444</v>
      </c>
      <c r="AH791">
        <f>_xlfn.LET(_xlpm.pct, FINI_grouping_for_wheel[[#This Row],[% forecast within subgroup]], _xlpm.lote, FINI_grouping_for_wheel[[#This Row],[Lot size considered]], _xlpm.pct*_xlpm.lote)</f>
        <v>1654.812527586595</v>
      </c>
      <c r="AI791" cm="1">
        <f t="array" aca="1" ref="AI791" ca="1">IFERROR(INDIRECT("FINI_grouping_for_wheel[@["&amp;FINI_grouping_for_wheel[[#This Row],[Selected PV]]&amp;"]]"),"")</f>
        <v>214</v>
      </c>
      <c r="AJ79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v>
      </c>
      <c r="AL791" s="4"/>
      <c r="AM79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214</v>
      </c>
      <c r="AN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9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91" t="str">
        <f>_xlfn.CONCAT(FINI_grouping_for_wheel[[#This Row],[Recipe Combination]],FINI_grouping_for_wheel[[#This Row],[Subgroup]])</f>
        <v>1200</v>
      </c>
    </row>
    <row r="792" spans="1:55" hidden="1">
      <c r="A792" t="s">
        <v>11</v>
      </c>
      <c r="B792">
        <v>4317632</v>
      </c>
      <c r="C792" t="s">
        <v>3184</v>
      </c>
      <c r="D792">
        <v>8478.64110975</v>
      </c>
      <c r="E792">
        <v>26</v>
      </c>
      <c r="F792">
        <v>0.52</v>
      </c>
      <c r="G792" t="s">
        <v>3195</v>
      </c>
      <c r="H792" t="s">
        <v>3196</v>
      </c>
      <c r="I792">
        <v>300</v>
      </c>
      <c r="J792" t="s">
        <v>90</v>
      </c>
      <c r="K792" t="s">
        <v>632</v>
      </c>
      <c r="L792" t="s">
        <v>633</v>
      </c>
      <c r="M792">
        <v>389.504745</v>
      </c>
      <c r="N792">
        <v>1.55801898</v>
      </c>
      <c r="O792">
        <v>2558.418705</v>
      </c>
      <c r="P792">
        <v>216381.132945</v>
      </c>
      <c r="Q792">
        <v>0.15224433132808884</v>
      </c>
      <c r="R792">
        <v>1290.82504632</v>
      </c>
      <c r="S792" t="s">
        <v>266</v>
      </c>
      <c r="T792" t="s">
        <v>93</v>
      </c>
      <c r="U792">
        <v>2.5</v>
      </c>
      <c r="V792" t="s">
        <v>166</v>
      </c>
      <c r="W792" t="s">
        <v>142</v>
      </c>
      <c r="X792" t="s">
        <v>96</v>
      </c>
      <c r="Y792" s="23" t="s">
        <v>167</v>
      </c>
      <c r="AA792">
        <v>5442</v>
      </c>
      <c r="AB792" t="s">
        <v>3197</v>
      </c>
      <c r="AC792" t="s">
        <v>3188</v>
      </c>
      <c r="AD792" s="2">
        <v>30</v>
      </c>
      <c r="AE792" s="2" t="s">
        <v>70</v>
      </c>
      <c r="AF792" t="str">
        <f>_xlfn.CONCAT(FINI_grouping_for_wheel[[#This Row],[SEFI/Plant]],"/",IF(FINI_grouping_for_wheel[[#This Row],[RESET recipe combination]]&lt;&gt;"",FINI_grouping_for_wheel[[#This Row],[RESET recipe combination]],FINI_grouping_for_wheel[[#This Row],[Recipe Combination]]),"/",FINI_grouping_for_wheel[[#This Row],[Subgroup]])</f>
        <v>4317632/THDP/x/30</v>
      </c>
      <c r="AG7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0.1456396635679504</v>
      </c>
      <c r="AH792">
        <f>_xlfn.LET(_xlpm.pct, FINI_grouping_for_wheel[[#This Row],[% forecast within subgroup]], _xlpm.lote, FINI_grouping_for_wheel[[#This Row],[Lot size considered]], _xlpm.pct*_xlpm.lote)</f>
        <v>1234.8264387373838</v>
      </c>
      <c r="AI792" cm="1">
        <f t="array" aca="1" ref="AI792" ca="1">IFERROR(INDIRECT("FINI_grouping_for_wheel[@["&amp;FINI_grouping_for_wheel[[#This Row],[Selected PV]]&amp;"]]"),"")</f>
        <v>706</v>
      </c>
      <c r="AJ79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4.3</v>
      </c>
      <c r="AL792" s="4"/>
      <c r="AM79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706</v>
      </c>
      <c r="AN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9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92" t="str">
        <f>_xlfn.CONCAT(FINI_grouping_for_wheel[[#This Row],[Recipe Combination]],FINI_grouping_for_wheel[[#This Row],[Subgroup]])</f>
        <v>130</v>
      </c>
    </row>
    <row r="793" spans="1:55" hidden="1">
      <c r="A793" t="s">
        <v>11</v>
      </c>
      <c r="B793">
        <v>4317632</v>
      </c>
      <c r="C793" t="s">
        <v>3184</v>
      </c>
      <c r="D793">
        <v>8478.64110975</v>
      </c>
      <c r="E793">
        <v>26</v>
      </c>
      <c r="F793">
        <v>0.52</v>
      </c>
      <c r="G793" t="s">
        <v>3198</v>
      </c>
      <c r="H793" t="s">
        <v>3199</v>
      </c>
      <c r="I793">
        <v>525</v>
      </c>
      <c r="J793" t="s">
        <v>90</v>
      </c>
      <c r="K793" t="s">
        <v>264</v>
      </c>
      <c r="L793" t="s">
        <v>265</v>
      </c>
      <c r="M793">
        <v>445.14828</v>
      </c>
      <c r="N793">
        <v>1.78059312</v>
      </c>
      <c r="O793">
        <v>2558.418705</v>
      </c>
      <c r="P793">
        <v>216381.132945</v>
      </c>
      <c r="Q793">
        <v>0.17399352151781583</v>
      </c>
      <c r="R793">
        <v>1475.22862437</v>
      </c>
      <c r="S793" t="s">
        <v>266</v>
      </c>
      <c r="T793" t="s">
        <v>93</v>
      </c>
      <c r="U793">
        <v>2.5</v>
      </c>
      <c r="V793" t="s">
        <v>267</v>
      </c>
      <c r="W793" t="s">
        <v>142</v>
      </c>
      <c r="X793" t="s">
        <v>150</v>
      </c>
      <c r="Y793" s="23" t="s">
        <v>151</v>
      </c>
      <c r="AA793">
        <v>4762</v>
      </c>
      <c r="AB793" t="s">
        <v>3200</v>
      </c>
      <c r="AC793" t="s">
        <v>3188</v>
      </c>
      <c r="AD793" s="2">
        <v>200</v>
      </c>
      <c r="AE793" s="2" t="s">
        <v>70</v>
      </c>
      <c r="AF793" t="str">
        <f>_xlfn.CONCAT(FINI_grouping_for_wheel[[#This Row],[SEFI/Plant]],"/",IF(FINI_grouping_for_wheel[[#This Row],[RESET recipe combination]]&lt;&gt;"",FINI_grouping_for_wheel[[#This Row],[RESET recipe combination]],FINI_grouping_for_wheel[[#This Row],[Recipe Combination]]),"/",FINI_grouping_for_wheel[[#This Row],[Subgroup]])</f>
        <v>4317632/THDP/x/200</v>
      </c>
      <c r="AG7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0.05040214477211796</v>
      </c>
      <c r="AH793">
        <f>_xlfn.LET(_xlpm.pct, FINI_grouping_for_wheel[[#This Row],[% forecast within subgroup]], _xlpm.lote, FINI_grouping_for_wheel[[#This Row],[Lot size considered]], _xlpm.pct*_xlpm.lote)</f>
        <v>427.3416966844504</v>
      </c>
      <c r="AI793" cm="1">
        <f t="array" aca="1" ref="AI793" ca="1">IFERROR(INDIRECT("FINI_grouping_for_wheel[@["&amp;FINI_grouping_for_wheel[[#This Row],[Selected PV]]&amp;"]]"),"")</f>
        <v>214</v>
      </c>
      <c r="AJ79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0.9</v>
      </c>
      <c r="AL793" s="4"/>
      <c r="AM79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214</v>
      </c>
      <c r="AN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9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93" t="str">
        <f>_xlfn.CONCAT(FINI_grouping_for_wheel[[#This Row],[Recipe Combination]],FINI_grouping_for_wheel[[#This Row],[Subgroup]])</f>
        <v>1200</v>
      </c>
    </row>
    <row r="794" spans="1:55" hidden="1">
      <c r="A794" t="s">
        <v>11</v>
      </c>
      <c r="B794">
        <v>4317632</v>
      </c>
      <c r="C794" t="s">
        <v>3184</v>
      </c>
      <c r="D794">
        <v>8478.64110975</v>
      </c>
      <c r="E794">
        <v>26</v>
      </c>
      <c r="F794">
        <v>0.52</v>
      </c>
      <c r="G794" t="s">
        <v>3201</v>
      </c>
      <c r="H794" t="s">
        <v>3202</v>
      </c>
      <c r="I794">
        <v>300</v>
      </c>
      <c r="J794" t="s">
        <v>90</v>
      </c>
      <c r="K794" t="s">
        <v>188</v>
      </c>
      <c r="L794" t="s">
        <v>189</v>
      </c>
      <c r="M794">
        <v>514.998675</v>
      </c>
      <c r="N794">
        <v>2.0599947</v>
      </c>
      <c r="O794">
        <v>514.998675</v>
      </c>
      <c r="P794">
        <v>216381.132945</v>
      </c>
      <c r="Q794">
        <v>1</v>
      </c>
      <c r="R794">
        <v>8478.64110975</v>
      </c>
      <c r="S794" t="s">
        <v>594</v>
      </c>
      <c r="T794" t="s">
        <v>93</v>
      </c>
      <c r="U794">
        <v>5</v>
      </c>
      <c r="V794" t="s">
        <v>119</v>
      </c>
      <c r="W794" t="s">
        <v>142</v>
      </c>
      <c r="X794" t="s">
        <v>96</v>
      </c>
      <c r="Y794" s="23" t="s">
        <v>120</v>
      </c>
      <c r="AA794">
        <v>4116</v>
      </c>
      <c r="AB794" t="s">
        <v>3203</v>
      </c>
      <c r="AC794" t="s">
        <v>3188</v>
      </c>
      <c r="AD794" s="2">
        <v>30</v>
      </c>
      <c r="AE794" s="2" t="s">
        <v>70</v>
      </c>
      <c r="AF794" t="str">
        <f>_xlfn.CONCAT(FINI_grouping_for_wheel[[#This Row],[SEFI/Plant]],"/",IF(FINI_grouping_for_wheel[[#This Row],[RESET recipe combination]]&lt;&gt;"",FINI_grouping_for_wheel[[#This Row],[RESET recipe combination]],FINI_grouping_for_wheel[[#This Row],[Recipe Combination]]),"/",FINI_grouping_for_wheel[[#This Row],[Subgroup]])</f>
        <v>4317632/THDP/x/30</v>
      </c>
      <c r="AG7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0.19256308100929614</v>
      </c>
      <c r="AH794">
        <f>_xlfn.LET(_xlpm.pct, FINI_grouping_for_wheel[[#This Row],[% forecast within subgroup]], _xlpm.lote, FINI_grouping_for_wheel[[#This Row],[Lot size considered]], _xlpm.pct*_xlpm.lote)</f>
        <v>1632.673254865538</v>
      </c>
      <c r="AI794" cm="1">
        <f t="array" aca="1" ref="AI794" ca="1">IFERROR(INDIRECT("FINI_grouping_for_wheel[@["&amp;FINI_grouping_for_wheel[[#This Row],[Selected PV]]&amp;"]]"),"")</f>
        <v>706</v>
      </c>
      <c r="AJ79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5.7</v>
      </c>
      <c r="AL794" s="4"/>
      <c r="AM79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706</v>
      </c>
      <c r="AN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9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94" t="str">
        <f>_xlfn.CONCAT(FINI_grouping_for_wheel[[#This Row],[Recipe Combination]],FINI_grouping_for_wheel[[#This Row],[Subgroup]])</f>
        <v>430</v>
      </c>
    </row>
    <row r="795" spans="1:55" hidden="1">
      <c r="A795" t="s">
        <v>11</v>
      </c>
      <c r="B795">
        <v>4317632</v>
      </c>
      <c r="C795" t="s">
        <v>3184</v>
      </c>
      <c r="D795">
        <v>8478.64110975</v>
      </c>
      <c r="E795">
        <v>26</v>
      </c>
      <c r="F795">
        <v>0.52</v>
      </c>
      <c r="G795" t="s">
        <v>3204</v>
      </c>
      <c r="H795" t="s">
        <v>3205</v>
      </c>
      <c r="I795">
        <v>300</v>
      </c>
      <c r="J795" t="s">
        <v>90</v>
      </c>
      <c r="K795" t="s">
        <v>292</v>
      </c>
      <c r="L795" t="s">
        <v>293</v>
      </c>
      <c r="M795">
        <v>95039.15778</v>
      </c>
      <c r="N795">
        <v>380.15663112</v>
      </c>
      <c r="O795">
        <v>95039.15778</v>
      </c>
      <c r="P795">
        <v>216381.132945</v>
      </c>
      <c r="Q795">
        <v>1</v>
      </c>
      <c r="R795">
        <v>8478.64110975</v>
      </c>
      <c r="S795" t="s">
        <v>294</v>
      </c>
      <c r="T795" t="s">
        <v>93</v>
      </c>
      <c r="U795">
        <v>12.5</v>
      </c>
      <c r="V795" t="s">
        <v>295</v>
      </c>
      <c r="W795" t="s">
        <v>142</v>
      </c>
      <c r="X795" t="s">
        <v>128</v>
      </c>
      <c r="Y795" s="23" t="s">
        <v>120</v>
      </c>
      <c r="AA795">
        <v>22</v>
      </c>
      <c r="AB795" t="s">
        <v>3206</v>
      </c>
      <c r="AC795" t="s">
        <v>3188</v>
      </c>
      <c r="AD795" s="2">
        <v>1</v>
      </c>
      <c r="AE795" s="2" t="s">
        <v>70</v>
      </c>
      <c r="AF795" t="str">
        <f>_xlfn.CONCAT(FINI_grouping_for_wheel[[#This Row],[SEFI/Plant]],"/",IF(FINI_grouping_for_wheel[[#This Row],[RESET recipe combination]]&lt;&gt;"",FINI_grouping_for_wheel[[#This Row],[RESET recipe combination]],FINI_grouping_for_wheel[[#This Row],[Recipe Combination]]),"/",FINI_grouping_for_wheel[[#This Row],[Subgroup]])</f>
        <v>4317632/THDP/x/1</v>
      </c>
      <c r="AG7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0.7119759469982528</v>
      </c>
      <c r="AH795">
        <f>_xlfn.LET(_xlpm.pct, FINI_grouping_for_wheel[[#This Row],[% forecast within subgroup]], _xlpm.lote, FINI_grouping_for_wheel[[#This Row],[Lot size considered]], _xlpm.pct*_xlpm.lote)</f>
        <v>6036.588533372574</v>
      </c>
      <c r="AI795" cm="1">
        <f t="array" aca="1" ref="AI795" ca="1">IFERROR(INDIRECT("FINI_grouping_for_wheel[@["&amp;FINI_grouping_for_wheel[[#This Row],[Selected PV]]&amp;"]]"),"")</f>
        <v>14</v>
      </c>
      <c r="AJ79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21.1</v>
      </c>
      <c r="AL795" s="4"/>
      <c r="AM79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9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95" t="str">
        <f>_xlfn.CONCAT(FINI_grouping_for_wheel[[#This Row],[Recipe Combination]],FINI_grouping_for_wheel[[#This Row],[Subgroup]])</f>
        <v>C1</v>
      </c>
    </row>
    <row r="796" spans="1:55" hidden="1">
      <c r="A796" t="s">
        <v>11</v>
      </c>
      <c r="B796">
        <v>4317632</v>
      </c>
      <c r="C796" t="s">
        <v>3184</v>
      </c>
      <c r="D796">
        <v>8478.64110975</v>
      </c>
      <c r="E796">
        <v>26</v>
      </c>
      <c r="F796">
        <v>0.52</v>
      </c>
      <c r="G796" t="s">
        <v>3207</v>
      </c>
      <c r="H796" t="s">
        <v>3208</v>
      </c>
      <c r="I796">
        <v>280</v>
      </c>
      <c r="J796" t="s">
        <v>90</v>
      </c>
      <c r="K796" t="s">
        <v>140</v>
      </c>
      <c r="L796" t="s">
        <v>141</v>
      </c>
      <c r="M796">
        <v>24933.0393</v>
      </c>
      <c r="N796">
        <v>99.7321572</v>
      </c>
      <c r="O796">
        <v>24933.0393</v>
      </c>
      <c r="P796">
        <v>216381.132945</v>
      </c>
      <c r="Q796">
        <v>1</v>
      </c>
      <c r="R796">
        <v>8478.64110975</v>
      </c>
      <c r="S796" t="s">
        <v>905</v>
      </c>
      <c r="T796" t="s">
        <v>93</v>
      </c>
      <c r="U796">
        <v>5</v>
      </c>
      <c r="V796" t="s">
        <v>135</v>
      </c>
      <c r="W796" t="s">
        <v>142</v>
      </c>
      <c r="X796" t="s">
        <v>128</v>
      </c>
      <c r="Y796" s="23" t="s">
        <v>136</v>
      </c>
      <c r="AA796">
        <v>85</v>
      </c>
      <c r="AB796" t="s">
        <v>3209</v>
      </c>
      <c r="AC796" t="s">
        <v>3188</v>
      </c>
      <c r="AD796" s="2">
        <v>2</v>
      </c>
      <c r="AE796" s="2" t="s">
        <v>70</v>
      </c>
      <c r="AF796" t="str">
        <f>_xlfn.CONCAT(FINI_grouping_for_wheel[[#This Row],[SEFI/Plant]],"/",IF(FINI_grouping_for_wheel[[#This Row],[RESET recipe combination]]&lt;&gt;"",FINI_grouping_for_wheel[[#This Row],[RESET recipe combination]],FINI_grouping_for_wheel[[#This Row],[Recipe Combination]]),"/",FINI_grouping_for_wheel[[#This Row],[Subgroup]])</f>
        <v>4317632/THDP/x/2</v>
      </c>
      <c r="AG7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0.423768034287784</v>
      </c>
      <c r="AH796">
        <f>_xlfn.LET(_xlpm.pct, FINI_grouping_for_wheel[[#This Row],[% forecast within subgroup]], _xlpm.lote, FINI_grouping_for_wheel[[#This Row],[Lot size considered]], _xlpm.pct*_xlpm.lote)</f>
        <v>3592.977076510353</v>
      </c>
      <c r="AI796" cm="1">
        <f t="array" aca="1" ref="AI796" ca="1">IFERROR(INDIRECT("FINI_grouping_for_wheel[@["&amp;FINI_grouping_for_wheel[[#This Row],[Selected PV]]&amp;"]]"),"")</f>
        <v>32</v>
      </c>
      <c r="AJ79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13.4</v>
      </c>
      <c r="AL796" s="4"/>
      <c r="AM79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32</v>
      </c>
      <c r="AN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9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96" t="str">
        <f>_xlfn.CONCAT(FINI_grouping_for_wheel[[#This Row],[Recipe Combination]],FINI_grouping_for_wheel[[#This Row],[Subgroup]])</f>
        <v>F2</v>
      </c>
    </row>
    <row r="797" spans="1:55" hidden="1">
      <c r="A797" t="s">
        <v>11</v>
      </c>
      <c r="B797">
        <v>4317632</v>
      </c>
      <c r="C797" t="s">
        <v>3184</v>
      </c>
      <c r="D797">
        <v>8478.64110975</v>
      </c>
      <c r="E797">
        <v>26</v>
      </c>
      <c r="F797">
        <v>0.52</v>
      </c>
      <c r="G797" t="s">
        <v>3210</v>
      </c>
      <c r="H797" t="s">
        <v>3211</v>
      </c>
      <c r="I797">
        <v>396</v>
      </c>
      <c r="J797" t="s">
        <v>90</v>
      </c>
      <c r="K797" t="s">
        <v>912</v>
      </c>
      <c r="L797" t="s">
        <v>913</v>
      </c>
      <c r="M797">
        <v>6303.11022</v>
      </c>
      <c r="N797">
        <v>25.21244088</v>
      </c>
      <c r="O797">
        <v>6303.11022</v>
      </c>
      <c r="P797">
        <v>216381.132945</v>
      </c>
      <c r="Q797">
        <v>1</v>
      </c>
      <c r="R797">
        <v>8478.64110975</v>
      </c>
      <c r="S797" t="s">
        <v>914</v>
      </c>
      <c r="T797" t="s">
        <v>93</v>
      </c>
      <c r="U797">
        <v>1</v>
      </c>
      <c r="V797" t="s">
        <v>505</v>
      </c>
      <c r="W797" t="s">
        <v>142</v>
      </c>
      <c r="X797" t="s">
        <v>150</v>
      </c>
      <c r="Y797" s="23" t="s">
        <v>151</v>
      </c>
      <c r="AA797">
        <v>336</v>
      </c>
      <c r="AB797" t="s">
        <v>3212</v>
      </c>
      <c r="AC797" t="s">
        <v>3188</v>
      </c>
      <c r="AD797" s="2">
        <v>200</v>
      </c>
      <c r="AE797" s="2" t="s">
        <v>70</v>
      </c>
      <c r="AF797" t="str">
        <f>_xlfn.CONCAT(FINI_grouping_for_wheel[[#This Row],[SEFI/Plant]],"/",IF(FINI_grouping_for_wheel[[#This Row],[RESET recipe combination]]&lt;&gt;"",FINI_grouping_for_wheel[[#This Row],[RESET recipe combination]],FINI_grouping_for_wheel[[#This Row],[Recipe Combination]]),"/",FINI_grouping_for_wheel[[#This Row],[Subgroup]])</f>
        <v>4317632/THDP/x/200</v>
      </c>
      <c r="AG7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0.7136729222520106</v>
      </c>
      <c r="AH797">
        <f>_xlfn.LET(_xlpm.pct, FINI_grouping_for_wheel[[#This Row],[% forecast within subgroup]], _xlpm.lote, FINI_grouping_for_wheel[[#This Row],[Lot size considered]], _xlpm.pct*_xlpm.lote)</f>
        <v>6050.976577521313</v>
      </c>
      <c r="AI797" cm="1">
        <f t="array" aca="1" ref="AI797" ca="1">IFERROR(INDIRECT("FINI_grouping_for_wheel[@["&amp;FINI_grouping_for_wheel[[#This Row],[Selected PV]]&amp;"]]"),"")</f>
        <v>214</v>
      </c>
      <c r="AJ79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v>
      </c>
      <c r="AL797" s="4"/>
      <c r="AM79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214</v>
      </c>
      <c r="AN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9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97" t="str">
        <f>_xlfn.CONCAT(FINI_grouping_for_wheel[[#This Row],[Recipe Combination]],FINI_grouping_for_wheel[[#This Row],[Subgroup]])</f>
        <v>G200</v>
      </c>
    </row>
    <row r="798" spans="1:55" hidden="1">
      <c r="A798" t="s">
        <v>11</v>
      </c>
      <c r="B798">
        <v>4317632</v>
      </c>
      <c r="C798" t="s">
        <v>3184</v>
      </c>
      <c r="D798">
        <v>8478.64110975</v>
      </c>
      <c r="E798">
        <v>26</v>
      </c>
      <c r="F798">
        <v>0.52</v>
      </c>
      <c r="G798" t="s">
        <v>3213</v>
      </c>
      <c r="H798" t="s">
        <v>3214</v>
      </c>
      <c r="I798">
        <v>330</v>
      </c>
      <c r="J798" t="s">
        <v>90</v>
      </c>
      <c r="K798" t="s">
        <v>1558</v>
      </c>
      <c r="L798" t="s">
        <v>1559</v>
      </c>
      <c r="M798">
        <v>92.34459</v>
      </c>
      <c r="N798">
        <v>0.36937836</v>
      </c>
      <c r="O798">
        <v>359.90712</v>
      </c>
      <c r="P798">
        <v>216381.132945</v>
      </c>
      <c r="Q798">
        <v>0.25657894736842107</v>
      </c>
      <c r="R798">
        <v>2175.44081105</v>
      </c>
      <c r="S798" t="s">
        <v>314</v>
      </c>
      <c r="T798" t="s">
        <v>93</v>
      </c>
      <c r="U798">
        <v>1</v>
      </c>
      <c r="V798" t="s">
        <v>315</v>
      </c>
      <c r="W798" t="s">
        <v>142</v>
      </c>
      <c r="X798" t="s">
        <v>150</v>
      </c>
      <c r="Y798" s="23" t="s">
        <v>151</v>
      </c>
      <c r="AA798">
        <v>22954</v>
      </c>
      <c r="AB798" t="s">
        <v>3215</v>
      </c>
      <c r="AC798" t="s">
        <v>3188</v>
      </c>
      <c r="AD798" s="2">
        <v>200</v>
      </c>
      <c r="AE798" s="2" t="s">
        <v>70</v>
      </c>
      <c r="AF798" t="str">
        <f>_xlfn.CONCAT(FINI_grouping_for_wheel[[#This Row],[SEFI/Plant]],"/",IF(FINI_grouping_for_wheel[[#This Row],[RESET recipe combination]]&lt;&gt;"",FINI_grouping_for_wheel[[#This Row],[RESET recipe combination]],FINI_grouping_for_wheel[[#This Row],[Recipe Combination]]),"/",FINI_grouping_for_wheel[[#This Row],[Subgroup]])</f>
        <v>4317632/THDP/x/200</v>
      </c>
      <c r="AG7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0.010455764075067023</v>
      </c>
      <c r="AH798">
        <f>_xlfn.LET(_xlpm.pct, FINI_grouping_for_wheel[[#This Row],[% forecast within subgroup]], _xlpm.lote, FINI_grouping_for_wheel[[#This Row],[Lot size considered]], _xlpm.pct*_xlpm.lote)</f>
        <v>88.65067112071046</v>
      </c>
      <c r="AI798" cm="1">
        <f t="array" aca="1" ref="AI798" ca="1">IFERROR(INDIRECT("FINI_grouping_for_wheel[@["&amp;FINI_grouping_for_wheel[[#This Row],[Selected PV]]&amp;"]]"),"")</f>
        <v>214</v>
      </c>
      <c r="AJ79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0.3</v>
      </c>
      <c r="AL798" s="4"/>
      <c r="AM79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214</v>
      </c>
      <c r="AN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9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98" t="str">
        <f>_xlfn.CONCAT(FINI_grouping_for_wheel[[#This Row],[Recipe Combination]],FINI_grouping_for_wheel[[#This Row],[Subgroup]])</f>
        <v>K200</v>
      </c>
    </row>
    <row r="799" spans="1:55" hidden="1">
      <c r="A799" t="s">
        <v>11</v>
      </c>
      <c r="B799">
        <v>4317632</v>
      </c>
      <c r="C799" t="s">
        <v>3184</v>
      </c>
      <c r="D799">
        <v>8478.64110975</v>
      </c>
      <c r="E799">
        <v>26</v>
      </c>
      <c r="F799">
        <v>0.52</v>
      </c>
      <c r="G799" t="s">
        <v>3216</v>
      </c>
      <c r="H799" t="s">
        <v>3217</v>
      </c>
      <c r="I799">
        <v>462</v>
      </c>
      <c r="J799" t="s">
        <v>90</v>
      </c>
      <c r="K799" t="s">
        <v>312</v>
      </c>
      <c r="L799" t="s">
        <v>313</v>
      </c>
      <c r="M799">
        <v>267.56253</v>
      </c>
      <c r="N799">
        <v>1.07025012</v>
      </c>
      <c r="O799">
        <v>359.90712</v>
      </c>
      <c r="P799">
        <v>216381.132945</v>
      </c>
      <c r="Q799">
        <v>0.74342105263157898</v>
      </c>
      <c r="R799">
        <v>6303.20029869</v>
      </c>
      <c r="S799" t="s">
        <v>314</v>
      </c>
      <c r="T799" t="s">
        <v>93</v>
      </c>
      <c r="U799">
        <v>1</v>
      </c>
      <c r="V799" t="s">
        <v>315</v>
      </c>
      <c r="W799" t="s">
        <v>142</v>
      </c>
      <c r="X799" t="s">
        <v>150</v>
      </c>
      <c r="Y799" s="23" t="s">
        <v>151</v>
      </c>
      <c r="AA799">
        <v>7922</v>
      </c>
      <c r="AB799" t="s">
        <v>3218</v>
      </c>
      <c r="AC799" t="s">
        <v>3188</v>
      </c>
      <c r="AD799" s="2">
        <v>200</v>
      </c>
      <c r="AE799" s="2" t="s">
        <v>70</v>
      </c>
      <c r="AF799" t="str">
        <f>_xlfn.CONCAT(FINI_grouping_for_wheel[[#This Row],[SEFI/Plant]],"/",IF(FINI_grouping_for_wheel[[#This Row],[RESET recipe combination]]&lt;&gt;"",FINI_grouping_for_wheel[[#This Row],[RESET recipe combination]],FINI_grouping_for_wheel[[#This Row],[Recipe Combination]]),"/",FINI_grouping_for_wheel[[#This Row],[Subgroup]])</f>
        <v>4317632/THDP/x/200</v>
      </c>
      <c r="AG7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0.030294906166219836</v>
      </c>
      <c r="AH799">
        <f>_xlfn.LET(_xlpm.pct, FINI_grouping_for_wheel[[#This Row],[% forecast within subgroup]], _xlpm.lote, FINI_grouping_for_wheel[[#This Row],[Lot size considered]], _xlpm.pct*_xlpm.lote)</f>
        <v>256.8596368369303</v>
      </c>
      <c r="AI799" cm="1">
        <f t="array" aca="1" ref="AI799" ca="1">IFERROR(INDIRECT("FINI_grouping_for_wheel[@["&amp;FINI_grouping_for_wheel[[#This Row],[Selected PV]]&amp;"]]"),"")</f>
        <v>214</v>
      </c>
      <c r="AJ79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7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799" s="4"/>
      <c r="AM79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214</v>
      </c>
      <c r="AN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7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79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799" t="str">
        <f>_xlfn.CONCAT(FINI_grouping_for_wheel[[#This Row],[Recipe Combination]],FINI_grouping_for_wheel[[#This Row],[Subgroup]])</f>
        <v>K200</v>
      </c>
    </row>
    <row r="800" spans="1:55" hidden="1">
      <c r="A800" t="s">
        <v>11</v>
      </c>
      <c r="B800">
        <v>4317632</v>
      </c>
      <c r="C800" t="s">
        <v>3184</v>
      </c>
      <c r="D800">
        <v>8478.64110975</v>
      </c>
      <c r="E800">
        <v>26</v>
      </c>
      <c r="F800">
        <v>0.52</v>
      </c>
      <c r="G800" t="s">
        <v>3219</v>
      </c>
      <c r="H800" t="s">
        <v>3220</v>
      </c>
      <c r="I800">
        <v>360</v>
      </c>
      <c r="J800" t="s">
        <v>90</v>
      </c>
      <c r="K800" t="s">
        <v>493</v>
      </c>
      <c r="L800" t="s">
        <v>494</v>
      </c>
      <c r="M800">
        <v>1089.1926</v>
      </c>
      <c r="N800">
        <v>4.3567704</v>
      </c>
      <c r="O800">
        <v>1089.1926</v>
      </c>
      <c r="P800">
        <v>216381.132945</v>
      </c>
      <c r="Q800">
        <v>1</v>
      </c>
      <c r="R800">
        <v>8478.64110975</v>
      </c>
      <c r="S800" t="s">
        <v>157</v>
      </c>
      <c r="T800" t="s">
        <v>93</v>
      </c>
      <c r="U800">
        <v>10</v>
      </c>
      <c r="V800" t="s">
        <v>158</v>
      </c>
      <c r="W800" t="s">
        <v>159</v>
      </c>
      <c r="X800" t="s">
        <v>96</v>
      </c>
      <c r="Y800" s="23" t="s">
        <v>97</v>
      </c>
      <c r="AA800">
        <v>1946</v>
      </c>
      <c r="AB800" t="s">
        <v>3221</v>
      </c>
      <c r="AC800" t="s">
        <v>3188</v>
      </c>
      <c r="AD800" s="2">
        <v>30</v>
      </c>
      <c r="AE800" s="2" t="s">
        <v>70</v>
      </c>
      <c r="AF800" t="str">
        <f>_xlfn.CONCAT(FINI_grouping_for_wheel[[#This Row],[SEFI/Plant]],"/",IF(FINI_grouping_for_wheel[[#This Row],[RESET recipe combination]]&lt;&gt;"",FINI_grouping_for_wheel[[#This Row],[RESET recipe combination]],FINI_grouping_for_wheel[[#This Row],[Recipe Combination]]),"/",FINI_grouping_for_wheel[[#This Row],[Subgroup]])</f>
        <v>4317632/THDP/x/30</v>
      </c>
      <c r="AG8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0.4072598494909252</v>
      </c>
      <c r="AH800">
        <f>_xlfn.LET(_xlpm.pct, FINI_grouping_for_wheel[[#This Row],[% forecast within subgroup]], _xlpm.lote, FINI_grouping_for_wheel[[#This Row],[Lot size considered]], _xlpm.pct*_xlpm.lote)</f>
        <v>3453.010102244356</v>
      </c>
      <c r="AI800" cm="1">
        <f t="array" aca="1" ref="AI800" ca="1">IFERROR(INDIRECT("FINI_grouping_for_wheel[@["&amp;FINI_grouping_for_wheel[[#This Row],[Selected PV]]&amp;"]]"),"")</f>
        <v>706</v>
      </c>
      <c r="AJ80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8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v>
      </c>
      <c r="AL800" s="4"/>
      <c r="AM80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706</v>
      </c>
      <c r="AN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0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00" t="str">
        <f>_xlfn.CONCAT(FINI_grouping_for_wheel[[#This Row],[Recipe Combination]],FINI_grouping_for_wheel[[#This Row],[Subgroup]])</f>
        <v>M30</v>
      </c>
    </row>
    <row r="801" spans="1:55" hidden="1">
      <c r="A801" t="s">
        <v>11</v>
      </c>
      <c r="B801">
        <v>4317632</v>
      </c>
      <c r="C801" t="s">
        <v>3184</v>
      </c>
      <c r="D801">
        <v>8478.64110975</v>
      </c>
      <c r="E801">
        <v>26</v>
      </c>
      <c r="F801">
        <v>0.52</v>
      </c>
      <c r="G801" t="s">
        <v>3222</v>
      </c>
      <c r="H801" t="s">
        <v>3223</v>
      </c>
      <c r="I801">
        <v>300</v>
      </c>
      <c r="J801" t="s">
        <v>90</v>
      </c>
      <c r="K801" t="s">
        <v>440</v>
      </c>
      <c r="L801" t="s">
        <v>441</v>
      </c>
      <c r="M801">
        <v>680.745375</v>
      </c>
      <c r="N801">
        <v>2.7229815</v>
      </c>
      <c r="O801">
        <v>680.745375</v>
      </c>
      <c r="P801">
        <v>216381.132945</v>
      </c>
      <c r="Q801">
        <v>1</v>
      </c>
      <c r="R801">
        <v>8478.64110975</v>
      </c>
      <c r="S801" t="s">
        <v>173</v>
      </c>
      <c r="T801" t="s">
        <v>93</v>
      </c>
      <c r="U801">
        <v>5</v>
      </c>
      <c r="V801" t="s">
        <v>119</v>
      </c>
      <c r="W801" t="s">
        <v>95</v>
      </c>
      <c r="X801" t="s">
        <v>96</v>
      </c>
      <c r="Y801" s="23" t="s">
        <v>120</v>
      </c>
      <c r="AA801">
        <v>3114</v>
      </c>
      <c r="AB801" t="s">
        <v>3224</v>
      </c>
      <c r="AC801" t="s">
        <v>3188</v>
      </c>
      <c r="AD801" s="2">
        <v>30</v>
      </c>
      <c r="AE801" s="2" t="s">
        <v>70</v>
      </c>
      <c r="AF801" t="str">
        <f>_xlfn.CONCAT(FINI_grouping_for_wheel[[#This Row],[SEFI/Plant]],"/",IF(FINI_grouping_for_wheel[[#This Row],[RESET recipe combination]]&lt;&gt;"",FINI_grouping_for_wheel[[#This Row],[RESET recipe combination]],FINI_grouping_for_wheel[[#This Row],[Recipe Combination]]),"/",FINI_grouping_for_wheel[[#This Row],[Subgroup]])</f>
        <v>4317632/THDP/x/30</v>
      </c>
      <c r="AG8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0.2545374059318282</v>
      </c>
      <c r="AH801">
        <f>_xlfn.LET(_xlpm.pct, FINI_grouping_for_wheel[[#This Row],[% forecast within subgroup]], _xlpm.lote, FINI_grouping_for_wheel[[#This Row],[Lot size considered]], _xlpm.pct*_xlpm.lote)</f>
        <v>2158.1313139027225</v>
      </c>
      <c r="AI801" cm="1">
        <f t="array" aca="1" ref="AI801" ca="1">IFERROR(INDIRECT("FINI_grouping_for_wheel[@["&amp;FINI_grouping_for_wheel[[#This Row],[Selected PV]]&amp;"]]"),"")</f>
        <v>706</v>
      </c>
      <c r="AJ80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8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7.5</v>
      </c>
      <c r="AL801" s="4"/>
      <c r="AM80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706</v>
      </c>
      <c r="AN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0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01" t="str">
        <f>_xlfn.CONCAT(FINI_grouping_for_wheel[[#This Row],[Recipe Combination]],FINI_grouping_for_wheel[[#This Row],[Subgroup]])</f>
        <v>P30</v>
      </c>
    </row>
    <row r="802" spans="1:55" hidden="1">
      <c r="A802" t="s">
        <v>11</v>
      </c>
      <c r="B802">
        <v>4317632</v>
      </c>
      <c r="C802" t="s">
        <v>3184</v>
      </c>
      <c r="D802">
        <v>8478.64110975</v>
      </c>
      <c r="E802">
        <v>26</v>
      </c>
      <c r="F802">
        <v>0.52</v>
      </c>
      <c r="G802" t="s">
        <v>3225</v>
      </c>
      <c r="H802" t="s">
        <v>3226</v>
      </c>
      <c r="I802">
        <v>462</v>
      </c>
      <c r="J802" t="s">
        <v>90</v>
      </c>
      <c r="K802" t="s">
        <v>312</v>
      </c>
      <c r="L802" t="s">
        <v>313</v>
      </c>
      <c r="M802">
        <v>12551.76081</v>
      </c>
      <c r="N802">
        <v>50.20704324</v>
      </c>
      <c r="O802">
        <v>12551.76081</v>
      </c>
      <c r="P802">
        <v>216381.132945</v>
      </c>
      <c r="Q802">
        <v>1</v>
      </c>
      <c r="R802">
        <v>8478.64110975</v>
      </c>
      <c r="S802" t="s">
        <v>356</v>
      </c>
      <c r="T802" t="s">
        <v>93</v>
      </c>
      <c r="U802">
        <v>1</v>
      </c>
      <c r="V802" t="s">
        <v>315</v>
      </c>
      <c r="W802" t="s">
        <v>142</v>
      </c>
      <c r="X802" t="s">
        <v>150</v>
      </c>
      <c r="Y802" s="23" t="s">
        <v>151</v>
      </c>
      <c r="AA802">
        <v>169</v>
      </c>
      <c r="AB802" t="s">
        <v>3227</v>
      </c>
      <c r="AC802" t="s">
        <v>3188</v>
      </c>
      <c r="AD802" s="2">
        <v>100</v>
      </c>
      <c r="AE802" s="2" t="s">
        <v>70</v>
      </c>
      <c r="AF802" t="str">
        <f>_xlfn.CONCAT(FINI_grouping_for_wheel[[#This Row],[SEFI/Plant]],"/",IF(FINI_grouping_for_wheel[[#This Row],[RESET recipe combination]]&lt;&gt;"",FINI_grouping_for_wheel[[#This Row],[RESET recipe combination]],FINI_grouping_for_wheel[[#This Row],[Recipe Combination]]),"/",FINI_grouping_for_wheel[[#This Row],[Subgroup]])</f>
        <v>4317632/THDP/x/100</v>
      </c>
      <c r="AG8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802">
        <f>_xlfn.LET(_xlpm.pct, FINI_grouping_for_wheel[[#This Row],[% forecast within subgroup]], _xlpm.lote, FINI_grouping_for_wheel[[#This Row],[Lot size considered]], _xlpm.pct*_xlpm.lote)</f>
        <v>8478.64110975</v>
      </c>
      <c r="AI802" cm="1">
        <f t="array" aca="1" ref="AI802" ca="1">IFERROR(INDIRECT("FINI_grouping_for_wheel[@["&amp;FINI_grouping_for_wheel[[#This Row],[Selected PV]]&amp;"]]"),"")</f>
        <v>150</v>
      </c>
      <c r="AJ80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8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19.2</v>
      </c>
      <c r="AL802" s="4"/>
      <c r="AM80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150</v>
      </c>
      <c r="AN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0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02" t="str">
        <f>_xlfn.CONCAT(FINI_grouping_for_wheel[[#This Row],[Recipe Combination]],FINI_grouping_for_wheel[[#This Row],[Subgroup]])</f>
        <v>R100</v>
      </c>
    </row>
    <row r="803" spans="1:55" hidden="1">
      <c r="A803" t="s">
        <v>11</v>
      </c>
      <c r="B803">
        <v>4317632</v>
      </c>
      <c r="C803" t="s">
        <v>3184</v>
      </c>
      <c r="D803">
        <v>8478.64110975</v>
      </c>
      <c r="E803">
        <v>26</v>
      </c>
      <c r="F803">
        <v>0.52</v>
      </c>
      <c r="G803" t="s">
        <v>3228</v>
      </c>
      <c r="H803" t="s">
        <v>3229</v>
      </c>
      <c r="I803">
        <v>495</v>
      </c>
      <c r="J803" t="s">
        <v>90</v>
      </c>
      <c r="K803" t="s">
        <v>412</v>
      </c>
      <c r="L803" t="s">
        <v>413</v>
      </c>
      <c r="M803">
        <v>38447.314875</v>
      </c>
      <c r="N803">
        <v>153.7892595</v>
      </c>
      <c r="O803">
        <v>38447.314875</v>
      </c>
      <c r="P803">
        <v>216381.132945</v>
      </c>
      <c r="Q803">
        <v>1</v>
      </c>
      <c r="R803">
        <v>8478.64110975</v>
      </c>
      <c r="S803" t="s">
        <v>387</v>
      </c>
      <c r="T803" t="s">
        <v>93</v>
      </c>
      <c r="U803">
        <v>15</v>
      </c>
      <c r="V803" t="s">
        <v>408</v>
      </c>
      <c r="W803" t="s">
        <v>95</v>
      </c>
      <c r="X803" t="s">
        <v>96</v>
      </c>
      <c r="Y803" s="23" t="s">
        <v>97</v>
      </c>
      <c r="AA803">
        <v>55</v>
      </c>
      <c r="AB803" t="s">
        <v>3230</v>
      </c>
      <c r="AC803" t="s">
        <v>3188</v>
      </c>
      <c r="AD803" s="2">
        <v>1</v>
      </c>
      <c r="AE803" s="2" t="s">
        <v>70</v>
      </c>
      <c r="AF803" t="str">
        <f>_xlfn.CONCAT(FINI_grouping_for_wheel[[#This Row],[SEFI/Plant]],"/",IF(FINI_grouping_for_wheel[[#This Row],[RESET recipe combination]]&lt;&gt;"",FINI_grouping_for_wheel[[#This Row],[RESET recipe combination]],FINI_grouping_for_wheel[[#This Row],[Recipe Combination]]),"/",FINI_grouping_for_wheel[[#This Row],[Subgroup]])</f>
        <v>4317632/THDP/x/1</v>
      </c>
      <c r="AG8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0.2880240530017472</v>
      </c>
      <c r="AH803">
        <f>_xlfn.LET(_xlpm.pct, FINI_grouping_for_wheel[[#This Row],[% forecast within subgroup]], _xlpm.lote, FINI_grouping_for_wheel[[#This Row],[Lot size considered]], _xlpm.pct*_xlpm.lote)</f>
        <v>2442.052576377427</v>
      </c>
      <c r="AI803" cm="1">
        <f t="array" aca="1" ref="AI803" ca="1">IFERROR(INDIRECT("FINI_grouping_for_wheel[@["&amp;FINI_grouping_for_wheel[[#This Row],[Selected PV]]&amp;"]]"),"")</f>
        <v>14</v>
      </c>
      <c r="AJ80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8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5.2</v>
      </c>
      <c r="AL803" s="4"/>
      <c r="AM80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0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03" t="str">
        <f>_xlfn.CONCAT(FINI_grouping_for_wheel[[#This Row],[Recipe Combination]],FINI_grouping_for_wheel[[#This Row],[Subgroup]])</f>
        <v>X1</v>
      </c>
    </row>
    <row r="804" spans="1:55" hidden="1">
      <c r="A804" t="s">
        <v>11</v>
      </c>
      <c r="B804">
        <v>4982638</v>
      </c>
      <c r="C804" t="s">
        <v>3231</v>
      </c>
      <c r="D804">
        <v>8410.47263819</v>
      </c>
      <c r="E804">
        <v>26</v>
      </c>
      <c r="F804">
        <v>0.52</v>
      </c>
      <c r="G804" t="s">
        <v>3232</v>
      </c>
      <c r="H804" t="s">
        <v>3233</v>
      </c>
      <c r="J804" t="s">
        <v>90</v>
      </c>
      <c r="K804" t="s">
        <v>3234</v>
      </c>
      <c r="L804" t="s">
        <v>3235</v>
      </c>
      <c r="M804">
        <v>208343.6019</v>
      </c>
      <c r="N804">
        <v>833.3744076</v>
      </c>
      <c r="O804">
        <v>215641.19232</v>
      </c>
      <c r="P804">
        <v>215641.19232</v>
      </c>
      <c r="Q804">
        <v>0.96615864371047089</v>
      </c>
      <c r="R804">
        <v>8125.85083707</v>
      </c>
      <c r="S804" t="s">
        <v>471</v>
      </c>
      <c r="T804" t="s">
        <v>93</v>
      </c>
      <c r="U804">
        <v>10</v>
      </c>
      <c r="V804" t="s">
        <v>295</v>
      </c>
      <c r="W804" t="s">
        <v>95</v>
      </c>
      <c r="X804" t="s">
        <v>128</v>
      </c>
      <c r="Y804" s="23" t="s">
        <v>120</v>
      </c>
      <c r="AA804">
        <v>10</v>
      </c>
      <c r="AB804" t="s">
        <v>3236</v>
      </c>
      <c r="AC804" t="s">
        <v>3237</v>
      </c>
      <c r="AD804" s="2">
        <v>1</v>
      </c>
      <c r="AE804" s="2" t="s">
        <v>70</v>
      </c>
      <c r="AF804" t="str">
        <f>_xlfn.CONCAT(FINI_grouping_for_wheel[[#This Row],[SEFI/Plant]],"/",IF(FINI_grouping_for_wheel[[#This Row],[RESET recipe combination]]&lt;&gt;"",FINI_grouping_for_wheel[[#This Row],[RESET recipe combination]],FINI_grouping_for_wheel[[#This Row],[Recipe Combination]]),"/",FINI_grouping_for_wheel[[#This Row],[Subgroup]])</f>
        <v>4982638/THDP/x/1</v>
      </c>
      <c r="AG8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0.9661586437104709</v>
      </c>
      <c r="AH804">
        <f>_xlfn.LET(_xlpm.pct, FINI_grouping_for_wheel[[#This Row],[% forecast within subgroup]], _xlpm.lote, FINI_grouping_for_wheel[[#This Row],[Lot size considered]], _xlpm.pct*_xlpm.lote)</f>
        <v>8125.850837077676</v>
      </c>
      <c r="AI804" cm="1">
        <f t="array" aca="1" ref="AI804" ca="1">IFERROR(INDIRECT("FINI_grouping_for_wheel[@["&amp;FINI_grouping_for_wheel[[#This Row],[Selected PV]]&amp;"]]"),"")</f>
        <v>9</v>
      </c>
      <c r="AJ80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8679.207555</v>
      </c>
      <c r="AK80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804" s="4"/>
      <c r="AM80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v>
      </c>
      <c r="AN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0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04" t="str">
        <f>_xlfn.CONCAT(FINI_grouping_for_wheel[[#This Row],[Recipe Combination]],FINI_grouping_for_wheel[[#This Row],[Subgroup]])</f>
        <v>1</v>
      </c>
    </row>
    <row r="805" spans="1:55" hidden="1">
      <c r="A805" t="s">
        <v>11</v>
      </c>
      <c r="B805">
        <v>4982638</v>
      </c>
      <c r="C805" t="s">
        <v>3231</v>
      </c>
      <c r="D805">
        <v>8410.47263819</v>
      </c>
      <c r="E805">
        <v>26</v>
      </c>
      <c r="F805">
        <v>0.52</v>
      </c>
      <c r="G805" t="s">
        <v>3238</v>
      </c>
      <c r="H805" t="s">
        <v>3239</v>
      </c>
      <c r="I805">
        <v>300</v>
      </c>
      <c r="J805" t="s">
        <v>90</v>
      </c>
      <c r="K805" t="s">
        <v>292</v>
      </c>
      <c r="L805" t="s">
        <v>293</v>
      </c>
      <c r="M805">
        <v>7297.59042</v>
      </c>
      <c r="N805">
        <v>29.19036168</v>
      </c>
      <c r="O805">
        <v>215641.19232</v>
      </c>
      <c r="P805">
        <v>215641.19232</v>
      </c>
      <c r="Q805">
        <v>3.3841356289529161E-2</v>
      </c>
      <c r="R805">
        <v>284.621801112</v>
      </c>
      <c r="S805" t="s">
        <v>471</v>
      </c>
      <c r="T805" t="s">
        <v>93</v>
      </c>
      <c r="U805">
        <v>12.5</v>
      </c>
      <c r="V805" t="s">
        <v>295</v>
      </c>
      <c r="W805" t="s">
        <v>142</v>
      </c>
      <c r="X805" t="s">
        <v>128</v>
      </c>
      <c r="Y805" s="23" t="s">
        <v>120</v>
      </c>
      <c r="AA805">
        <v>288</v>
      </c>
      <c r="AB805" t="s">
        <v>3240</v>
      </c>
      <c r="AC805" t="s">
        <v>3237</v>
      </c>
      <c r="AD805" s="2">
        <v>1</v>
      </c>
      <c r="AE805" s="2" t="s">
        <v>70</v>
      </c>
      <c r="AF805" t="str">
        <f>_xlfn.CONCAT(FINI_grouping_for_wheel[[#This Row],[SEFI/Plant]],"/",IF(FINI_grouping_for_wheel[[#This Row],[RESET recipe combination]]&lt;&gt;"",FINI_grouping_for_wheel[[#This Row],[RESET recipe combination]],FINI_grouping_for_wheel[[#This Row],[Recipe Combination]]),"/",FINI_grouping_for_wheel[[#This Row],[Subgroup]])</f>
        <v>4982638/THDP/x/1</v>
      </c>
      <c r="AG8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0.03384135628952917</v>
      </c>
      <c r="AH805">
        <f>_xlfn.LET(_xlpm.pct, FINI_grouping_for_wheel[[#This Row],[% forecast within subgroup]], _xlpm.lote, FINI_grouping_for_wheel[[#This Row],[Lot size considered]], _xlpm.pct*_xlpm.lote)</f>
        <v>284.62180111232414</v>
      </c>
      <c r="AI805" cm="1">
        <f t="array" aca="1" ref="AI805" ca="1">IFERROR(INDIRECT("FINI_grouping_for_wheel[@["&amp;FINI_grouping_for_wheel[[#This Row],[Selected PV]]&amp;"]]"),"")</f>
        <v>9</v>
      </c>
      <c r="AJ80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8679.207555</v>
      </c>
      <c r="AK8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v>
      </c>
      <c r="AL805" s="4"/>
      <c r="AM80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9</v>
      </c>
      <c r="AN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0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05" t="str">
        <f>_xlfn.CONCAT(FINI_grouping_for_wheel[[#This Row],[Recipe Combination]],FINI_grouping_for_wheel[[#This Row],[Subgroup]])</f>
        <v>1</v>
      </c>
    </row>
    <row r="806" spans="1:55" hidden="1">
      <c r="A806" t="s">
        <v>12</v>
      </c>
      <c r="B806">
        <v>4037735</v>
      </c>
      <c r="C806" t="s">
        <v>3241</v>
      </c>
      <c r="D806">
        <v>7849.2731154</v>
      </c>
      <c r="E806">
        <v>22</v>
      </c>
      <c r="F806">
        <v>0.44</v>
      </c>
      <c r="G806" t="s">
        <v>3242</v>
      </c>
      <c r="H806" t="s">
        <v>3243</v>
      </c>
      <c r="I806">
        <v>405</v>
      </c>
      <c r="J806" t="s">
        <v>90</v>
      </c>
      <c r="K806" t="s">
        <v>406</v>
      </c>
      <c r="L806" t="s">
        <v>407</v>
      </c>
      <c r="M806">
        <v>3818.093625</v>
      </c>
      <c r="N806">
        <v>15.2723745</v>
      </c>
      <c r="O806">
        <v>61000.705125</v>
      </c>
      <c r="P806">
        <v>168335.900235</v>
      </c>
      <c r="Q806">
        <v>6.2590975254730716E-2</v>
      </c>
      <c r="R806">
        <v>491.293659333</v>
      </c>
      <c r="S806" t="s">
        <v>471</v>
      </c>
      <c r="T806" t="s">
        <v>93</v>
      </c>
      <c r="U806">
        <v>15</v>
      </c>
      <c r="V806" t="s">
        <v>408</v>
      </c>
      <c r="W806" t="s">
        <v>142</v>
      </c>
      <c r="X806" t="s">
        <v>96</v>
      </c>
      <c r="Y806" s="23" t="s">
        <v>97</v>
      </c>
      <c r="AA806">
        <v>514</v>
      </c>
      <c r="AB806" t="s">
        <v>3244</v>
      </c>
      <c r="AC806" t="s">
        <v>3245</v>
      </c>
      <c r="AE806" s="2"/>
      <c r="AF806"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0.022681398440082424</v>
      </c>
      <c r="AH806">
        <f>_xlfn.LET(_xlpm.pct, FINI_grouping_for_wheel[[#This Row],[% forecast within subgroup]], _xlpm.lote, FINI_grouping_for_wheel[[#This Row],[Lot size considered]], _xlpm.pct*_xlpm.lote)</f>
        <v>178.03249099541446</v>
      </c>
      <c r="AI806" cm="1" t="str">
        <f t="array" aca="1" ref="AI806" ca="1">IFERROR(INDIRECT("FINI_grouping_for_wheel[@["&amp;FINI_grouping_for_wheel[[#This Row],[Selected PV]]&amp;"]]"),"")</f>
        <v/>
      </c>
      <c r="AJ80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0.5</v>
      </c>
      <c r="AL806" s="4"/>
      <c r="AM80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0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06" t="str">
        <f>_xlfn.CONCAT(FINI_grouping_for_wheel[[#This Row],[Recipe Combination]],FINI_grouping_for_wheel[[#This Row],[Subgroup]])</f>
        <v/>
      </c>
    </row>
    <row r="807" spans="1:55" hidden="1">
      <c r="A807" t="s">
        <v>12</v>
      </c>
      <c r="B807">
        <v>4037735</v>
      </c>
      <c r="C807" t="s">
        <v>3241</v>
      </c>
      <c r="D807">
        <v>7849.2731154</v>
      </c>
      <c r="E807">
        <v>22</v>
      </c>
      <c r="F807">
        <v>0.44</v>
      </c>
      <c r="G807" t="s">
        <v>3246</v>
      </c>
      <c r="H807" t="s">
        <v>3247</v>
      </c>
      <c r="I807">
        <v>300</v>
      </c>
      <c r="J807" t="s">
        <v>90</v>
      </c>
      <c r="K807" t="s">
        <v>254</v>
      </c>
      <c r="L807" t="s">
        <v>255</v>
      </c>
      <c r="M807">
        <v>26353.7253</v>
      </c>
      <c r="N807">
        <v>105.4149012</v>
      </c>
      <c r="O807">
        <v>61000.705125</v>
      </c>
      <c r="P807">
        <v>168335.900235</v>
      </c>
      <c r="Q807">
        <v>0.43202328966521109</v>
      </c>
      <c r="R807">
        <v>3391.06879279</v>
      </c>
      <c r="S807" t="s">
        <v>471</v>
      </c>
      <c r="T807" t="s">
        <v>93</v>
      </c>
      <c r="U807">
        <v>5</v>
      </c>
      <c r="V807" t="s">
        <v>119</v>
      </c>
      <c r="W807" t="s">
        <v>95</v>
      </c>
      <c r="X807" t="s">
        <v>96</v>
      </c>
      <c r="Y807" s="23" t="s">
        <v>120</v>
      </c>
      <c r="AA807">
        <v>74</v>
      </c>
      <c r="AB807" t="s">
        <v>3248</v>
      </c>
      <c r="AC807" t="s">
        <v>3245</v>
      </c>
      <c r="AE807" s="2"/>
      <c r="AF807"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0.15655439667480148</v>
      </c>
      <c r="AH807">
        <f>_xlfn.LET(_xlpm.pct, FINI_grouping_for_wheel[[#This Row],[% forecast within subgroup]], _xlpm.lote, FINI_grouping_for_wheel[[#This Row],[Lot size considered]], _xlpm.pct*_xlpm.lote)</f>
        <v>1228.8382169171864</v>
      </c>
      <c r="AI807" cm="1" t="str">
        <f t="array" aca="1" ref="AI807" ca="1">IFERROR(INDIRECT("FINI_grouping_for_wheel[@["&amp;FINI_grouping_for_wheel[[#This Row],[Selected PV]]&amp;"]]"),"")</f>
        <v/>
      </c>
      <c r="AJ80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4.5</v>
      </c>
      <c r="AL807" s="4"/>
      <c r="AM80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0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07" t="str">
        <f>_xlfn.CONCAT(FINI_grouping_for_wheel[[#This Row],[Recipe Combination]],FINI_grouping_for_wheel[[#This Row],[Subgroup]])</f>
        <v/>
      </c>
    </row>
    <row r="808" spans="1:55" hidden="1">
      <c r="A808" t="s">
        <v>12</v>
      </c>
      <c r="B808">
        <v>4037735</v>
      </c>
      <c r="C808" t="s">
        <v>3241</v>
      </c>
      <c r="D808">
        <v>7849.2731154</v>
      </c>
      <c r="E808">
        <v>22</v>
      </c>
      <c r="F808">
        <v>0.44</v>
      </c>
      <c r="G808" t="s">
        <v>3249</v>
      </c>
      <c r="H808" t="s">
        <v>3250</v>
      </c>
      <c r="I808">
        <v>300</v>
      </c>
      <c r="J808" t="s">
        <v>90</v>
      </c>
      <c r="K808" t="s">
        <v>188</v>
      </c>
      <c r="L808" t="s">
        <v>189</v>
      </c>
      <c r="M808">
        <v>4830.3324</v>
      </c>
      <c r="N808">
        <v>19.3213296</v>
      </c>
      <c r="O808">
        <v>61000.705125</v>
      </c>
      <c r="P808">
        <v>168335.900235</v>
      </c>
      <c r="Q808">
        <v>7.9184861717612812E-2</v>
      </c>
      <c r="R808">
        <v>621.543606226</v>
      </c>
      <c r="S808" t="s">
        <v>471</v>
      </c>
      <c r="T808" t="s">
        <v>93</v>
      </c>
      <c r="U808">
        <v>5</v>
      </c>
      <c r="V808" t="s">
        <v>119</v>
      </c>
      <c r="W808" t="s">
        <v>142</v>
      </c>
      <c r="X808" t="s">
        <v>96</v>
      </c>
      <c r="Y808" s="23" t="s">
        <v>120</v>
      </c>
      <c r="AA808">
        <v>406</v>
      </c>
      <c r="AB808" t="s">
        <v>3251</v>
      </c>
      <c r="AC808" t="s">
        <v>3245</v>
      </c>
      <c r="AE808" s="2"/>
      <c r="AF808"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0.02869460639861591</v>
      </c>
      <c r="AH808">
        <f>_xlfn.LET(_xlpm.pct, FINI_grouping_for_wheel[[#This Row],[% forecast within subgroup]], _xlpm.lote, FINI_grouping_for_wheel[[#This Row],[Lot size considered]], _xlpm.pct*_xlpm.lote)</f>
        <v>225.23180256164068</v>
      </c>
      <c r="AI808" cm="1" t="str">
        <f t="array" aca="1" ref="AI808" ca="1">IFERROR(INDIRECT("FINI_grouping_for_wheel[@["&amp;FINI_grouping_for_wheel[[#This Row],[Selected PV]]&amp;"]]"),"")</f>
        <v/>
      </c>
      <c r="AJ80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0.8</v>
      </c>
      <c r="AL808" s="4"/>
      <c r="AM80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0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08" t="str">
        <f>_xlfn.CONCAT(FINI_grouping_for_wheel[[#This Row],[Recipe Combination]],FINI_grouping_for_wheel[[#This Row],[Subgroup]])</f>
        <v/>
      </c>
    </row>
    <row r="809" spans="1:55" hidden="1">
      <c r="A809" t="s">
        <v>12</v>
      </c>
      <c r="B809">
        <v>4037735</v>
      </c>
      <c r="C809" t="s">
        <v>3241</v>
      </c>
      <c r="D809">
        <v>7849.2731154</v>
      </c>
      <c r="E809">
        <v>22</v>
      </c>
      <c r="F809">
        <v>0.44</v>
      </c>
      <c r="G809" t="s">
        <v>3252</v>
      </c>
      <c r="H809" t="s">
        <v>3253</v>
      </c>
      <c r="I809">
        <v>462</v>
      </c>
      <c r="J809" t="s">
        <v>90</v>
      </c>
      <c r="K809" t="s">
        <v>312</v>
      </c>
      <c r="L809" t="s">
        <v>313</v>
      </c>
      <c r="M809">
        <v>926.997615</v>
      </c>
      <c r="N809">
        <v>3.70799046</v>
      </c>
      <c r="O809">
        <v>61000.705125</v>
      </c>
      <c r="P809">
        <v>168335.900235</v>
      </c>
      <c r="Q809">
        <v>1.519650655021834E-2</v>
      </c>
      <c r="R809">
        <v>119.281530313</v>
      </c>
      <c r="S809" t="s">
        <v>471</v>
      </c>
      <c r="T809" t="s">
        <v>93</v>
      </c>
      <c r="U809">
        <v>1</v>
      </c>
      <c r="V809" t="s">
        <v>315</v>
      </c>
      <c r="W809" t="s">
        <v>142</v>
      </c>
      <c r="X809" t="s">
        <v>150</v>
      </c>
      <c r="Y809" s="23" t="s">
        <v>151</v>
      </c>
      <c r="AA809">
        <v>2117</v>
      </c>
      <c r="AB809" t="s">
        <v>3254</v>
      </c>
      <c r="AC809" t="s">
        <v>3245</v>
      </c>
      <c r="AE809" s="2"/>
      <c r="AF809"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0.005506832551499082</v>
      </c>
      <c r="AH809">
        <f>_xlfn.LET(_xlpm.pct, FINI_grouping_for_wheel[[#This Row],[% forecast within subgroup]], _xlpm.lote, FINI_grouping_for_wheel[[#This Row],[Lot size considered]], _xlpm.pct*_xlpm.lote)</f>
        <v>43.22463269749133</v>
      </c>
      <c r="AI809" cm="1" t="str">
        <f t="array" aca="1" ref="AI809" ca="1">IFERROR(INDIRECT("FINI_grouping_for_wheel[@["&amp;FINI_grouping_for_wheel[[#This Row],[Selected PV]]&amp;"]]"),"")</f>
        <v/>
      </c>
      <c r="AJ80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809" s="4"/>
      <c r="AM80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0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09" t="str">
        <f>_xlfn.CONCAT(FINI_grouping_for_wheel[[#This Row],[Recipe Combination]],FINI_grouping_for_wheel[[#This Row],[Subgroup]])</f>
        <v/>
      </c>
    </row>
    <row r="810" spans="1:55" hidden="1">
      <c r="A810" t="s">
        <v>12</v>
      </c>
      <c r="B810">
        <v>4037735</v>
      </c>
      <c r="C810" t="s">
        <v>3241</v>
      </c>
      <c r="D810">
        <v>7849.2731154</v>
      </c>
      <c r="E810">
        <v>22</v>
      </c>
      <c r="F810">
        <v>0.44</v>
      </c>
      <c r="G810" t="s">
        <v>3255</v>
      </c>
      <c r="H810" t="s">
        <v>3256</v>
      </c>
      <c r="I810">
        <v>405</v>
      </c>
      <c r="J810" t="s">
        <v>90</v>
      </c>
      <c r="K810" t="s">
        <v>412</v>
      </c>
      <c r="L810" t="s">
        <v>413</v>
      </c>
      <c r="M810">
        <v>24897.52215</v>
      </c>
      <c r="N810">
        <v>99.5900886</v>
      </c>
      <c r="O810">
        <v>61000.705125</v>
      </c>
      <c r="P810">
        <v>168335.900235</v>
      </c>
      <c r="Q810">
        <v>0.40815138282387192</v>
      </c>
      <c r="R810">
        <v>3203.69167621</v>
      </c>
      <c r="S810" t="s">
        <v>471</v>
      </c>
      <c r="T810" t="s">
        <v>93</v>
      </c>
      <c r="U810">
        <v>15</v>
      </c>
      <c r="V810" t="s">
        <v>408</v>
      </c>
      <c r="W810" t="s">
        <v>95</v>
      </c>
      <c r="X810" t="s">
        <v>96</v>
      </c>
      <c r="Y810" s="23" t="s">
        <v>97</v>
      </c>
      <c r="AA810">
        <v>79</v>
      </c>
      <c r="AB810" t="s">
        <v>3257</v>
      </c>
      <c r="AC810" t="s">
        <v>3245</v>
      </c>
      <c r="AE810" s="2"/>
      <c r="AF810"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0.14790381680463052</v>
      </c>
      <c r="AH810">
        <f>_xlfn.LET(_xlpm.pct, FINI_grouping_for_wheel[[#This Row],[% forecast within subgroup]], _xlpm.lote, FINI_grouping_for_wheel[[#This Row],[Lot size considered]], _xlpm.pct*_xlpm.lote)</f>
        <v>1160.937452909633</v>
      </c>
      <c r="AI810" cm="1" t="str">
        <f t="array" aca="1" ref="AI810" ca="1">IFERROR(INDIRECT("FINI_grouping_for_wheel[@["&amp;FINI_grouping_for_wheel[[#This Row],[Selected PV]]&amp;"]]"),"")</f>
        <v/>
      </c>
      <c r="AJ81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3.2</v>
      </c>
      <c r="AL810" s="4"/>
      <c r="AM81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1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10" t="str">
        <f>_xlfn.CONCAT(FINI_grouping_for_wheel[[#This Row],[Recipe Combination]],FINI_grouping_for_wheel[[#This Row],[Subgroup]])</f>
        <v/>
      </c>
    </row>
    <row r="811" spans="1:55" hidden="1">
      <c r="A811" t="s">
        <v>12</v>
      </c>
      <c r="B811">
        <v>4037735</v>
      </c>
      <c r="C811" t="s">
        <v>3241</v>
      </c>
      <c r="D811">
        <v>7849.2731154</v>
      </c>
      <c r="E811">
        <v>22</v>
      </c>
      <c r="F811">
        <v>0.44</v>
      </c>
      <c r="G811" t="s">
        <v>3258</v>
      </c>
      <c r="H811" t="s">
        <v>3259</v>
      </c>
      <c r="I811">
        <v>462</v>
      </c>
      <c r="J811" t="s">
        <v>90</v>
      </c>
      <c r="K811" t="s">
        <v>312</v>
      </c>
      <c r="L811" t="s">
        <v>313</v>
      </c>
      <c r="M811">
        <v>174.034035</v>
      </c>
      <c r="N811">
        <v>0.69613614</v>
      </c>
      <c r="O811">
        <v>61000.705125</v>
      </c>
      <c r="P811">
        <v>168335.900235</v>
      </c>
      <c r="Q811">
        <v>2.8529839883551676E-3</v>
      </c>
      <c r="R811">
        <v>22.3938505185</v>
      </c>
      <c r="S811" t="s">
        <v>471</v>
      </c>
      <c r="T811" t="s">
        <v>93</v>
      </c>
      <c r="U811">
        <v>1</v>
      </c>
      <c r="V811" t="s">
        <v>315</v>
      </c>
      <c r="W811" t="s">
        <v>142</v>
      </c>
      <c r="X811" t="s">
        <v>150</v>
      </c>
      <c r="Y811" s="23" t="s">
        <v>151</v>
      </c>
      <c r="AA811">
        <v>11275</v>
      </c>
      <c r="AB811" t="s">
        <v>3260</v>
      </c>
      <c r="AC811" t="s">
        <v>3245</v>
      </c>
      <c r="AE811" s="2"/>
      <c r="AF811"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0.0010338497893618965</v>
      </c>
      <c r="AH811">
        <f>_xlfn.LET(_xlpm.pct, FINI_grouping_for_wheel[[#This Row],[% forecast within subgroup]], _xlpm.lote, FINI_grouping_for_wheel[[#This Row],[Lot size considered]], _xlpm.pct*_xlpm.lote)</f>
        <v>8.114969357000287</v>
      </c>
      <c r="AI811" cm="1" t="str">
        <f t="array" aca="1" ref="AI811" ca="1">IFERROR(INDIRECT("FINI_grouping_for_wheel[@["&amp;FINI_grouping_for_wheel[[#This Row],[Selected PV]]&amp;"]]"),"")</f>
        <v/>
      </c>
      <c r="AJ81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v>
      </c>
      <c r="AL811" s="4"/>
      <c r="AM81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1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11" t="str">
        <f>_xlfn.CONCAT(FINI_grouping_for_wheel[[#This Row],[Recipe Combination]],FINI_grouping_for_wheel[[#This Row],[Subgroup]])</f>
        <v/>
      </c>
    </row>
    <row r="812" spans="1:55" hidden="1">
      <c r="A812" t="s">
        <v>12</v>
      </c>
      <c r="B812">
        <v>4037735</v>
      </c>
      <c r="C812" t="s">
        <v>3241</v>
      </c>
      <c r="D812">
        <v>7849.2731154</v>
      </c>
      <c r="E812">
        <v>22</v>
      </c>
      <c r="F812">
        <v>0.44</v>
      </c>
      <c r="G812" t="s">
        <v>3261</v>
      </c>
      <c r="H812" t="s">
        <v>3262</v>
      </c>
      <c r="I812">
        <v>450</v>
      </c>
      <c r="J812" t="s">
        <v>90</v>
      </c>
      <c r="K812" t="s">
        <v>264</v>
      </c>
      <c r="L812" t="s">
        <v>265</v>
      </c>
      <c r="M812">
        <v>2270.72979</v>
      </c>
      <c r="N812">
        <v>9.08291916</v>
      </c>
      <c r="O812">
        <v>2270.72979</v>
      </c>
      <c r="P812">
        <v>168335.900235</v>
      </c>
      <c r="Q812">
        <v>1</v>
      </c>
      <c r="R812">
        <v>7849.2731154</v>
      </c>
      <c r="S812" t="s">
        <v>594</v>
      </c>
      <c r="T812" t="s">
        <v>93</v>
      </c>
      <c r="U812">
        <v>2.5</v>
      </c>
      <c r="V812" t="s">
        <v>267</v>
      </c>
      <c r="W812" t="s">
        <v>142</v>
      </c>
      <c r="X812" t="s">
        <v>150</v>
      </c>
      <c r="Y812" s="23" t="s">
        <v>151</v>
      </c>
      <c r="AA812">
        <v>864</v>
      </c>
      <c r="AB812" t="s">
        <v>3263</v>
      </c>
      <c r="AC812" t="s">
        <v>3245</v>
      </c>
      <c r="AE812" s="2"/>
      <c r="AF812"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0.013489278204055221</v>
      </c>
      <c r="AH812">
        <f>_xlfn.LET(_xlpm.pct, FINI_grouping_for_wheel[[#This Row],[% forecast within subgroup]], _xlpm.lote, FINI_grouping_for_wheel[[#This Row],[Lot size considered]], _xlpm.pct*_xlpm.lote)</f>
        <v>105.88102875324185</v>
      </c>
      <c r="AI812" cm="1" t="str">
        <f t="array" aca="1" ref="AI812" ca="1">IFERROR(INDIRECT("FINI_grouping_for_wheel[@["&amp;FINI_grouping_for_wheel[[#This Row],[Selected PV]]&amp;"]]"),"")</f>
        <v/>
      </c>
      <c r="AJ81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0.3</v>
      </c>
      <c r="AL812" s="4"/>
      <c r="AM81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1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12" t="str">
        <f>_xlfn.CONCAT(FINI_grouping_for_wheel[[#This Row],[Recipe Combination]],FINI_grouping_for_wheel[[#This Row],[Subgroup]])</f>
        <v>4</v>
      </c>
    </row>
    <row r="813" spans="1:55" hidden="1">
      <c r="A813" t="s">
        <v>12</v>
      </c>
      <c r="B813">
        <v>4037735</v>
      </c>
      <c r="C813" t="s">
        <v>3241</v>
      </c>
      <c r="D813">
        <v>7849.2731154</v>
      </c>
      <c r="E813">
        <v>22</v>
      </c>
      <c r="F813">
        <v>0.44</v>
      </c>
      <c r="G813" t="s">
        <v>3264</v>
      </c>
      <c r="H813" t="s">
        <v>3265</v>
      </c>
      <c r="I813">
        <v>300</v>
      </c>
      <c r="J813" t="s">
        <v>90</v>
      </c>
      <c r="K813" t="s">
        <v>292</v>
      </c>
      <c r="L813" t="s">
        <v>293</v>
      </c>
      <c r="M813">
        <v>23565.629025</v>
      </c>
      <c r="N813">
        <v>94.2625161</v>
      </c>
      <c r="O813">
        <v>23565.629025</v>
      </c>
      <c r="P813">
        <v>168335.900235</v>
      </c>
      <c r="Q813">
        <v>1</v>
      </c>
      <c r="R813">
        <v>7849.2731154</v>
      </c>
      <c r="S813" t="s">
        <v>294</v>
      </c>
      <c r="T813" t="s">
        <v>93</v>
      </c>
      <c r="U813">
        <v>12.5</v>
      </c>
      <c r="V813" t="s">
        <v>295</v>
      </c>
      <c r="W813" t="s">
        <v>142</v>
      </c>
      <c r="X813" t="s">
        <v>128</v>
      </c>
      <c r="Y813" s="23" t="s">
        <v>120</v>
      </c>
      <c r="AA813">
        <v>83</v>
      </c>
      <c r="AB813" t="s">
        <v>3266</v>
      </c>
      <c r="AC813" t="s">
        <v>3245</v>
      </c>
      <c r="AE813" s="2"/>
      <c r="AF813"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0.13999170106971803</v>
      </c>
      <c r="AH813">
        <f>_xlfn.LET(_xlpm.pct, FINI_grouping_for_wheel[[#This Row],[% forecast within subgroup]], _xlpm.lote, FINI_grouping_for_wheel[[#This Row],[Lot size considered]], _xlpm.pct*_xlpm.lote)</f>
        <v>1098.833095585651</v>
      </c>
      <c r="AI813" cm="1" t="str">
        <f t="array" aca="1" ref="AI813" ca="1">IFERROR(INDIRECT("FINI_grouping_for_wheel[@["&amp;FINI_grouping_for_wheel[[#This Row],[Selected PV]]&amp;"]]"),"")</f>
        <v/>
      </c>
      <c r="AJ81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v>
      </c>
      <c r="AL813" s="4"/>
      <c r="AM81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1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13" t="str">
        <f>_xlfn.CONCAT(FINI_grouping_for_wheel[[#This Row],[Recipe Combination]],FINI_grouping_for_wheel[[#This Row],[Subgroup]])</f>
        <v>C</v>
      </c>
    </row>
    <row r="814" spans="1:55" hidden="1">
      <c r="A814" t="s">
        <v>12</v>
      </c>
      <c r="B814">
        <v>4037735</v>
      </c>
      <c r="C814" t="s">
        <v>3241</v>
      </c>
      <c r="D814">
        <v>7849.2731154</v>
      </c>
      <c r="E814">
        <v>22</v>
      </c>
      <c r="F814">
        <v>0.44</v>
      </c>
      <c r="G814" t="s">
        <v>3267</v>
      </c>
      <c r="H814" t="s">
        <v>3268</v>
      </c>
      <c r="I814">
        <v>340</v>
      </c>
      <c r="J814" t="s">
        <v>90</v>
      </c>
      <c r="K814" t="s">
        <v>140</v>
      </c>
      <c r="L814" t="s">
        <v>141</v>
      </c>
      <c r="M814">
        <v>1681.1451</v>
      </c>
      <c r="N814">
        <v>6.7245804</v>
      </c>
      <c r="O814">
        <v>6363.489375</v>
      </c>
      <c r="P814">
        <v>168335.900235</v>
      </c>
      <c r="Q814">
        <v>0.26418604651162791</v>
      </c>
      <c r="R814">
        <v>2073.66843235</v>
      </c>
      <c r="S814" t="s">
        <v>905</v>
      </c>
      <c r="T814" t="s">
        <v>93</v>
      </c>
      <c r="U814">
        <v>5</v>
      </c>
      <c r="V814" t="s">
        <v>135</v>
      </c>
      <c r="W814" t="s">
        <v>142</v>
      </c>
      <c r="X814" t="s">
        <v>128</v>
      </c>
      <c r="Y814" s="23" t="s">
        <v>136</v>
      </c>
      <c r="AA814">
        <v>1167</v>
      </c>
      <c r="AB814" t="s">
        <v>3269</v>
      </c>
      <c r="AC814" t="s">
        <v>3245</v>
      </c>
      <c r="AE814" s="2"/>
      <c r="AF814"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0.009986848305400633</v>
      </c>
      <c r="AH814">
        <f>_xlfn.LET(_xlpm.pct, FINI_grouping_for_wheel[[#This Row],[% forecast within subgroup]], _xlpm.lote, FINI_grouping_for_wheel[[#This Row],[Lot size considered]], _xlpm.pct*_xlpm.lote)</f>
        <v>78.38949991115925</v>
      </c>
      <c r="AI814" cm="1" t="str">
        <f t="array" aca="1" ref="AI814" ca="1">IFERROR(INDIRECT("FINI_grouping_for_wheel[@["&amp;FINI_grouping_for_wheel[[#This Row],[Selected PV]]&amp;"]]"),"")</f>
        <v/>
      </c>
      <c r="AJ81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0.3</v>
      </c>
      <c r="AL814" s="4"/>
      <c r="AM81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1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14" t="str">
        <f>_xlfn.CONCAT(FINI_grouping_for_wheel[[#This Row],[Recipe Combination]],FINI_grouping_for_wheel[[#This Row],[Subgroup]])</f>
        <v>F</v>
      </c>
    </row>
    <row r="815" spans="1:55" hidden="1">
      <c r="A815" t="s">
        <v>12</v>
      </c>
      <c r="B815">
        <v>4037735</v>
      </c>
      <c r="C815" t="s">
        <v>3241</v>
      </c>
      <c r="D815">
        <v>7849.2731154</v>
      </c>
      <c r="E815">
        <v>22</v>
      </c>
      <c r="F815">
        <v>0.44</v>
      </c>
      <c r="G815" t="s">
        <v>3270</v>
      </c>
      <c r="H815" t="s">
        <v>3271</v>
      </c>
      <c r="I815">
        <v>240</v>
      </c>
      <c r="J815" t="s">
        <v>90</v>
      </c>
      <c r="K815" t="s">
        <v>440</v>
      </c>
      <c r="L815" t="s">
        <v>441</v>
      </c>
      <c r="M815">
        <v>4682.344275</v>
      </c>
      <c r="N815">
        <v>18.7293771</v>
      </c>
      <c r="O815">
        <v>6363.489375</v>
      </c>
      <c r="P815">
        <v>168335.900235</v>
      </c>
      <c r="Q815">
        <v>0.73581395348837209</v>
      </c>
      <c r="R815">
        <v>5775.60468305</v>
      </c>
      <c r="S815" t="s">
        <v>905</v>
      </c>
      <c r="T815" t="s">
        <v>93</v>
      </c>
      <c r="U815">
        <v>5</v>
      </c>
      <c r="V815" t="s">
        <v>119</v>
      </c>
      <c r="W815" t="s">
        <v>95</v>
      </c>
      <c r="X815" t="s">
        <v>96</v>
      </c>
      <c r="Y815" s="23" t="s">
        <v>120</v>
      </c>
      <c r="AA815">
        <v>419</v>
      </c>
      <c r="AB815" t="s">
        <v>3272</v>
      </c>
      <c r="AC815" t="s">
        <v>3245</v>
      </c>
      <c r="AE815" s="2"/>
      <c r="AF815"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0.02781548242807008</v>
      </c>
      <c r="AH815">
        <f>_xlfn.LET(_xlpm.pct, FINI_grouping_for_wheel[[#This Row],[% forecast within subgroup]], _xlpm.lote, FINI_grouping_for_wheel[[#This Row],[Lot size considered]], _xlpm.pct*_xlpm.lote)</f>
        <v>218.33131841453158</v>
      </c>
      <c r="AI815" cm="1" t="str">
        <f t="array" aca="1" ref="AI815" ca="1">IFERROR(INDIRECT("FINI_grouping_for_wheel[@["&amp;FINI_grouping_for_wheel[[#This Row],[Selected PV]]&amp;"]]"),"")</f>
        <v/>
      </c>
      <c r="AJ81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v>
      </c>
      <c r="AL815" s="4"/>
      <c r="AM81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1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15" t="str">
        <f>_xlfn.CONCAT(FINI_grouping_for_wheel[[#This Row],[Recipe Combination]],FINI_grouping_for_wheel[[#This Row],[Subgroup]])</f>
        <v>F</v>
      </c>
    </row>
    <row r="816" spans="1:55" hidden="1">
      <c r="A816" t="s">
        <v>12</v>
      </c>
      <c r="B816">
        <v>4037735</v>
      </c>
      <c r="C816" t="s">
        <v>3241</v>
      </c>
      <c r="D816">
        <v>7849.2731154</v>
      </c>
      <c r="E816">
        <v>22</v>
      </c>
      <c r="F816">
        <v>0.44</v>
      </c>
      <c r="G816" t="s">
        <v>3273</v>
      </c>
      <c r="H816" t="s">
        <v>3274</v>
      </c>
      <c r="I816">
        <v>300</v>
      </c>
      <c r="J816" t="s">
        <v>90</v>
      </c>
      <c r="K816" t="s">
        <v>487</v>
      </c>
      <c r="L816" t="s">
        <v>488</v>
      </c>
      <c r="M816">
        <v>4114.069875</v>
      </c>
      <c r="N816">
        <v>16.4562795</v>
      </c>
      <c r="O816">
        <v>4114.069875</v>
      </c>
      <c r="P816">
        <v>168335.900235</v>
      </c>
      <c r="Q816">
        <v>1</v>
      </c>
      <c r="R816">
        <v>7849.2731154</v>
      </c>
      <c r="S816" t="s">
        <v>307</v>
      </c>
      <c r="T816" t="s">
        <v>93</v>
      </c>
      <c r="U816">
        <v>0.25</v>
      </c>
      <c r="V816" t="s">
        <v>489</v>
      </c>
      <c r="W816" t="s">
        <v>142</v>
      </c>
      <c r="X816" t="s">
        <v>150</v>
      </c>
      <c r="Y816" s="23" t="s">
        <v>151</v>
      </c>
      <c r="AA816">
        <v>477</v>
      </c>
      <c r="AB816" t="s">
        <v>3275</v>
      </c>
      <c r="AC816" t="s">
        <v>3245</v>
      </c>
      <c r="AE816" s="2"/>
      <c r="AF816"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0.024439646381174088</v>
      </c>
      <c r="AH816">
        <f>_xlfn.LET(_xlpm.pct, FINI_grouping_for_wheel[[#This Row],[% forecast within subgroup]], _xlpm.lote, FINI_grouping_for_wheel[[#This Row],[Lot size considered]], _xlpm.pct*_xlpm.lote)</f>
        <v>191.83345928963269</v>
      </c>
      <c r="AI816" cm="1" t="str">
        <f t="array" aca="1" ref="AI816" ca="1">IFERROR(INDIRECT("FINI_grouping_for_wheel[@["&amp;FINI_grouping_for_wheel[[#This Row],[Selected PV]]&amp;"]]"),"")</f>
        <v/>
      </c>
      <c r="AJ81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0.7</v>
      </c>
      <c r="AL816" s="4"/>
      <c r="AM81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1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16" t="str">
        <f>_xlfn.CONCAT(FINI_grouping_for_wheel[[#This Row],[Recipe Combination]],FINI_grouping_for_wheel[[#This Row],[Subgroup]])</f>
        <v>H</v>
      </c>
    </row>
    <row r="817" spans="1:55" hidden="1">
      <c r="A817" t="s">
        <v>12</v>
      </c>
      <c r="B817">
        <v>4037735</v>
      </c>
      <c r="C817" t="s">
        <v>3241</v>
      </c>
      <c r="D817">
        <v>7849.2731154</v>
      </c>
      <c r="E817">
        <v>22</v>
      </c>
      <c r="F817">
        <v>0.44</v>
      </c>
      <c r="G817" t="s">
        <v>3276</v>
      </c>
      <c r="H817" t="s">
        <v>3277</v>
      </c>
      <c r="I817">
        <v>440</v>
      </c>
      <c r="J817" t="s">
        <v>90</v>
      </c>
      <c r="K817" t="s">
        <v>666</v>
      </c>
      <c r="L817" t="s">
        <v>667</v>
      </c>
      <c r="M817">
        <v>13224.21885</v>
      </c>
      <c r="N817">
        <v>52.8968754</v>
      </c>
      <c r="O817">
        <v>13224.21885</v>
      </c>
      <c r="P817">
        <v>168335.900235</v>
      </c>
      <c r="Q817">
        <v>1</v>
      </c>
      <c r="R817">
        <v>7849.2731154</v>
      </c>
      <c r="S817" t="s">
        <v>157</v>
      </c>
      <c r="T817" t="s">
        <v>93</v>
      </c>
      <c r="U817">
        <v>10</v>
      </c>
      <c r="V817" t="s">
        <v>94</v>
      </c>
      <c r="W817" t="s">
        <v>95</v>
      </c>
      <c r="X817" t="s">
        <v>96</v>
      </c>
      <c r="Y817" s="23" t="s">
        <v>97</v>
      </c>
      <c r="AA817">
        <v>148</v>
      </c>
      <c r="AB817" t="s">
        <v>3278</v>
      </c>
      <c r="AC817" t="s">
        <v>3245</v>
      </c>
      <c r="AE817" s="2"/>
      <c r="AF817"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0.0785585180079754</v>
      </c>
      <c r="AH817">
        <f>_xlfn.LET(_xlpm.pct, FINI_grouping_for_wheel[[#This Row],[% forecast within subgroup]], _xlpm.lote, FINI_grouping_for_wheel[[#This Row],[Lot size considered]], _xlpm.pct*_xlpm.lote)</f>
        <v>616.6272633856681</v>
      </c>
      <c r="AI817" cm="1" t="str">
        <f t="array" aca="1" ref="AI817" ca="1">IFERROR(INDIRECT("FINI_grouping_for_wheel[@["&amp;FINI_grouping_for_wheel[[#This Row],[Selected PV]]&amp;"]]"),"")</f>
        <v/>
      </c>
      <c r="AJ81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817" s="4"/>
      <c r="AM81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1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17" t="str">
        <f>_xlfn.CONCAT(FINI_grouping_for_wheel[[#This Row],[Recipe Combination]],FINI_grouping_for_wheel[[#This Row],[Subgroup]])</f>
        <v>M</v>
      </c>
    </row>
    <row r="818" spans="1:55" hidden="1">
      <c r="A818" t="s">
        <v>12</v>
      </c>
      <c r="B818">
        <v>4037735</v>
      </c>
      <c r="C818" t="s">
        <v>3241</v>
      </c>
      <c r="D818">
        <v>7849.2731154</v>
      </c>
      <c r="E818">
        <v>22</v>
      </c>
      <c r="F818">
        <v>0.44</v>
      </c>
      <c r="G818" t="s">
        <v>3279</v>
      </c>
      <c r="H818" t="s">
        <v>3280</v>
      </c>
      <c r="I818">
        <v>300</v>
      </c>
      <c r="J818" t="s">
        <v>90</v>
      </c>
      <c r="K818" t="s">
        <v>440</v>
      </c>
      <c r="L818" t="s">
        <v>441</v>
      </c>
      <c r="M818">
        <v>739.940625</v>
      </c>
      <c r="N818">
        <v>2.9597625</v>
      </c>
      <c r="O818">
        <v>739.940625</v>
      </c>
      <c r="P818">
        <v>168335.900235</v>
      </c>
      <c r="Q818">
        <v>1</v>
      </c>
      <c r="R818">
        <v>7849.2731154</v>
      </c>
      <c r="S818" t="s">
        <v>173</v>
      </c>
      <c r="T818" t="s">
        <v>93</v>
      </c>
      <c r="U818">
        <v>5</v>
      </c>
      <c r="V818" t="s">
        <v>119</v>
      </c>
      <c r="W818" t="s">
        <v>95</v>
      </c>
      <c r="X818" t="s">
        <v>96</v>
      </c>
      <c r="Y818" s="23" t="s">
        <v>120</v>
      </c>
      <c r="AA818">
        <v>2652</v>
      </c>
      <c r="AB818" t="s">
        <v>3281</v>
      </c>
      <c r="AC818" t="s">
        <v>3245</v>
      </c>
      <c r="AE818" s="2"/>
      <c r="AF818"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0.004395619852729152</v>
      </c>
      <c r="AH818">
        <f>_xlfn.LET(_xlpm.pct, FINI_grouping_for_wheel[[#This Row],[% forecast within subgroup]], _xlpm.lote, FINI_grouping_for_wheel[[#This Row],[Lot size considered]], _xlpm.pct*_xlpm.lote)</f>
        <v>34.50242073554544</v>
      </c>
      <c r="AI818" cm="1" t="str">
        <f t="array" aca="1" ref="AI818" ca="1">IFERROR(INDIRECT("FINI_grouping_for_wheel[@["&amp;FINI_grouping_for_wheel[[#This Row],[Selected PV]]&amp;"]]"),"")</f>
        <v/>
      </c>
      <c r="AJ81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818" s="4"/>
      <c r="AM81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1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18" t="str">
        <f>_xlfn.CONCAT(FINI_grouping_for_wheel[[#This Row],[Recipe Combination]],FINI_grouping_for_wheel[[#This Row],[Subgroup]])</f>
        <v>P</v>
      </c>
    </row>
    <row r="819" spans="1:55" hidden="1">
      <c r="A819" t="s">
        <v>12</v>
      </c>
      <c r="B819">
        <v>4037735</v>
      </c>
      <c r="C819" t="s">
        <v>3241</v>
      </c>
      <c r="D819">
        <v>7849.2731154</v>
      </c>
      <c r="E819">
        <v>22</v>
      </c>
      <c r="F819">
        <v>0.44</v>
      </c>
      <c r="G819" t="s">
        <v>3282</v>
      </c>
      <c r="H819" t="s">
        <v>3283</v>
      </c>
      <c r="I819">
        <v>288</v>
      </c>
      <c r="J819" t="s">
        <v>90</v>
      </c>
      <c r="K819" t="s">
        <v>344</v>
      </c>
      <c r="L819" t="s">
        <v>345</v>
      </c>
      <c r="M819">
        <v>15623.994285</v>
      </c>
      <c r="N819">
        <v>62.49597714</v>
      </c>
      <c r="O819">
        <v>15623.994285</v>
      </c>
      <c r="P819">
        <v>168335.900235</v>
      </c>
      <c r="Q819">
        <v>1</v>
      </c>
      <c r="R819">
        <v>7849.2731154</v>
      </c>
      <c r="S819" t="s">
        <v>346</v>
      </c>
      <c r="T819" t="s">
        <v>93</v>
      </c>
      <c r="U819">
        <v>3</v>
      </c>
      <c r="V819" t="s">
        <v>347</v>
      </c>
      <c r="W819" t="s">
        <v>142</v>
      </c>
      <c r="X819" t="s">
        <v>96</v>
      </c>
      <c r="Y819" s="23" t="s">
        <v>107</v>
      </c>
      <c r="AA819">
        <v>126</v>
      </c>
      <c r="AB819" t="s">
        <v>3284</v>
      </c>
      <c r="AC819" t="s">
        <v>3245</v>
      </c>
      <c r="AE819" s="2"/>
      <c r="AF819"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0.0928143923143466</v>
      </c>
      <c r="AH819">
        <f>_xlfn.LET(_xlpm.pct, FINI_grouping_for_wheel[[#This Row],[% forecast within subgroup]], _xlpm.lote, FINI_grouping_for_wheel[[#This Row],[Lot size considered]], _xlpm.pct*_xlpm.lote)</f>
        <v>728.5255143151892</v>
      </c>
      <c r="AI819" cm="1" t="str">
        <f t="array" aca="1" ref="AI819" ca="1">IFERROR(INDIRECT("FINI_grouping_for_wheel[@["&amp;FINI_grouping_for_wheel[[#This Row],[Selected PV]]&amp;"]]"),"")</f>
        <v/>
      </c>
      <c r="AJ81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v>
      </c>
      <c r="AL819" s="4"/>
      <c r="AM81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1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19" t="str">
        <f>_xlfn.CONCAT(FINI_grouping_for_wheel[[#This Row],[Recipe Combination]],FINI_grouping_for_wheel[[#This Row],[Subgroup]])</f>
        <v>Q</v>
      </c>
    </row>
    <row r="820" spans="1:55" hidden="1">
      <c r="A820" t="s">
        <v>12</v>
      </c>
      <c r="B820">
        <v>4037735</v>
      </c>
      <c r="C820" t="s">
        <v>3241</v>
      </c>
      <c r="D820">
        <v>7849.2731154</v>
      </c>
      <c r="E820">
        <v>22</v>
      </c>
      <c r="F820">
        <v>0.44</v>
      </c>
      <c r="G820" t="s">
        <v>3285</v>
      </c>
      <c r="H820" t="s">
        <v>3286</v>
      </c>
      <c r="I820">
        <v>462</v>
      </c>
      <c r="J820" t="s">
        <v>90</v>
      </c>
      <c r="K820" t="s">
        <v>312</v>
      </c>
      <c r="L820" t="s">
        <v>313</v>
      </c>
      <c r="M820">
        <v>13155.55236</v>
      </c>
      <c r="N820">
        <v>52.62220944</v>
      </c>
      <c r="O820">
        <v>13907.332035</v>
      </c>
      <c r="P820">
        <v>168335.900235</v>
      </c>
      <c r="Q820">
        <v>0.94594364518600493</v>
      </c>
      <c r="R820">
        <v>7424.97002284</v>
      </c>
      <c r="S820" t="s">
        <v>356</v>
      </c>
      <c r="T820" t="s">
        <v>93</v>
      </c>
      <c r="U820">
        <v>1</v>
      </c>
      <c r="V820" t="s">
        <v>315</v>
      </c>
      <c r="W820" t="s">
        <v>142</v>
      </c>
      <c r="X820" t="s">
        <v>150</v>
      </c>
      <c r="Y820" s="23" t="s">
        <v>151</v>
      </c>
      <c r="AA820">
        <v>149</v>
      </c>
      <c r="AB820" t="s">
        <v>3287</v>
      </c>
      <c r="AC820" t="s">
        <v>3245</v>
      </c>
      <c r="AE820" s="2"/>
      <c r="AF820"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0.07815060448564214</v>
      </c>
      <c r="AH820">
        <f>_xlfn.LET(_xlpm.pct, FINI_grouping_for_wheel[[#This Row],[% forecast within subgroup]], _xlpm.lote, FINI_grouping_for_wheel[[#This Row],[Lot size considered]], _xlpm.pct*_xlpm.lote)</f>
        <v>613.4254387414095</v>
      </c>
      <c r="AI820" cm="1" t="str">
        <f t="array" aca="1" ref="AI820" ca="1">IFERROR(INDIRECT("FINI_grouping_for_wheel[@["&amp;FINI_grouping_for_wheel[[#This Row],[Selected PV]]&amp;"]]"),"")</f>
        <v/>
      </c>
      <c r="AJ82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820" s="4"/>
      <c r="AM82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2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20" t="str">
        <f>_xlfn.CONCAT(FINI_grouping_for_wheel[[#This Row],[Recipe Combination]],FINI_grouping_for_wheel[[#This Row],[Subgroup]])</f>
        <v>R</v>
      </c>
    </row>
    <row r="821" spans="1:55" hidden="1">
      <c r="A821" t="s">
        <v>12</v>
      </c>
      <c r="B821">
        <v>4037735</v>
      </c>
      <c r="C821" t="s">
        <v>3241</v>
      </c>
      <c r="D821">
        <v>7849.2731154</v>
      </c>
      <c r="E821">
        <v>22</v>
      </c>
      <c r="F821">
        <v>0.44</v>
      </c>
      <c r="G821" t="s">
        <v>3288</v>
      </c>
      <c r="H821" t="s">
        <v>3289</v>
      </c>
      <c r="I821">
        <v>330</v>
      </c>
      <c r="J821" t="s">
        <v>90</v>
      </c>
      <c r="K821" t="s">
        <v>312</v>
      </c>
      <c r="L821" t="s">
        <v>313</v>
      </c>
      <c r="M821">
        <v>751.779675</v>
      </c>
      <c r="N821">
        <v>3.0071187</v>
      </c>
      <c r="O821">
        <v>13907.332035</v>
      </c>
      <c r="P821">
        <v>168335.900235</v>
      </c>
      <c r="Q821">
        <v>5.405635481399506E-2</v>
      </c>
      <c r="R821">
        <v>424.303092558</v>
      </c>
      <c r="S821" t="s">
        <v>356</v>
      </c>
      <c r="T821" t="s">
        <v>93</v>
      </c>
      <c r="U821">
        <v>1</v>
      </c>
      <c r="V821" t="s">
        <v>315</v>
      </c>
      <c r="W821" t="s">
        <v>142</v>
      </c>
      <c r="X821" t="s">
        <v>150</v>
      </c>
      <c r="Y821" s="23" t="s">
        <v>151</v>
      </c>
      <c r="AA821">
        <v>2610</v>
      </c>
      <c r="AB821" t="s">
        <v>3290</v>
      </c>
      <c r="AC821" t="s">
        <v>3245</v>
      </c>
      <c r="AE821" s="2"/>
      <c r="AF821"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0.004465949770372819</v>
      </c>
      <c r="AH821">
        <f>_xlfn.LET(_xlpm.pct, FINI_grouping_for_wheel[[#This Row],[% forecast within subgroup]], _xlpm.lote, FINI_grouping_for_wheel[[#This Row],[Lot size considered]], _xlpm.pct*_xlpm.lote)</f>
        <v>35.054459467314175</v>
      </c>
      <c r="AI821" cm="1" t="str">
        <f t="array" aca="1" ref="AI821" ca="1">IFERROR(INDIRECT("FINI_grouping_for_wheel[@["&amp;FINI_grouping_for_wheel[[#This Row],[Selected PV]]&amp;"]]"),"")</f>
        <v/>
      </c>
      <c r="AJ82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821" s="4"/>
      <c r="AM82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2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21" t="str">
        <f>_xlfn.CONCAT(FINI_grouping_for_wheel[[#This Row],[Recipe Combination]],FINI_grouping_for_wheel[[#This Row],[Subgroup]])</f>
        <v>R</v>
      </c>
    </row>
    <row r="822" spans="1:55" hidden="1">
      <c r="A822" t="s">
        <v>12</v>
      </c>
      <c r="B822">
        <v>4037735</v>
      </c>
      <c r="C822" t="s">
        <v>3241</v>
      </c>
      <c r="D822">
        <v>7849.2731154</v>
      </c>
      <c r="E822">
        <v>22</v>
      </c>
      <c r="F822">
        <v>0.44</v>
      </c>
      <c r="G822" t="s">
        <v>3291</v>
      </c>
      <c r="H822" t="s">
        <v>3292</v>
      </c>
      <c r="I822">
        <v>240</v>
      </c>
      <c r="J822" t="s">
        <v>90</v>
      </c>
      <c r="K822" t="s">
        <v>396</v>
      </c>
      <c r="L822" t="s">
        <v>397</v>
      </c>
      <c r="M822">
        <v>27525.79125</v>
      </c>
      <c r="N822">
        <v>110.103165</v>
      </c>
      <c r="O822">
        <v>27525.79125</v>
      </c>
      <c r="P822">
        <v>168335.900235</v>
      </c>
      <c r="Q822">
        <v>1</v>
      </c>
      <c r="R822">
        <v>7849.2731154</v>
      </c>
      <c r="S822" t="s">
        <v>387</v>
      </c>
      <c r="T822" t="s">
        <v>93</v>
      </c>
      <c r="U822">
        <v>10</v>
      </c>
      <c r="V822" t="s">
        <v>238</v>
      </c>
      <c r="W822" t="s">
        <v>142</v>
      </c>
      <c r="X822" t="s">
        <v>96</v>
      </c>
      <c r="Y822" s="23" t="s">
        <v>97</v>
      </c>
      <c r="AA822">
        <v>71</v>
      </c>
      <c r="AB822" t="s">
        <v>3293</v>
      </c>
      <c r="AC822" t="s">
        <v>3245</v>
      </c>
      <c r="AE822" s="2"/>
      <c r="AF822" t="str">
        <f>_xlfn.CONCAT(FINI_grouping_for_wheel[[#This Row],[SEFI/Plant]],"/",IF(FINI_grouping_for_wheel[[#This Row],[RESET recipe combination]]&lt;&gt;"",FINI_grouping_for_wheel[[#This Row],[RESET recipe combination]],FINI_grouping_for_wheel[[#This Row],[Recipe Combination]]),"/",FINI_grouping_for_wheel[[#This Row],[Subgroup]])</f>
        <v>4037735/THDP/x/</v>
      </c>
      <c r="AG8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0.16351705852152446</v>
      </c>
      <c r="AH822">
        <f>_xlfn.LET(_xlpm.pct, FINI_grouping_for_wheel[[#This Row],[% forecast within subgroup]], _xlpm.lote, FINI_grouping_for_wheel[[#This Row],[Lot size considered]], _xlpm.pct*_xlpm.lote)</f>
        <v>1283.4900513622904</v>
      </c>
      <c r="AI822" cm="1" t="str">
        <f t="array" aca="1" ref="AI822" ca="1">IFERROR(INDIRECT("FINI_grouping_for_wheel[@["&amp;FINI_grouping_for_wheel[[#This Row],[Selected PV]]&amp;"]]"),"")</f>
        <v/>
      </c>
      <c r="AJ82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8642.5065</v>
      </c>
      <c r="AK8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5.9</v>
      </c>
      <c r="AL822" s="4"/>
      <c r="AM82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2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22" t="str">
        <f>_xlfn.CONCAT(FINI_grouping_for_wheel[[#This Row],[Recipe Combination]],FINI_grouping_for_wheel[[#This Row],[Subgroup]])</f>
        <v>X</v>
      </c>
    </row>
    <row r="823" spans="1:55" hidden="1">
      <c r="A823" t="s">
        <v>12</v>
      </c>
      <c r="B823">
        <v>4387746</v>
      </c>
      <c r="C823" t="s">
        <v>3294</v>
      </c>
      <c r="D823">
        <v>8635.10781369</v>
      </c>
      <c r="E823">
        <v>21</v>
      </c>
      <c r="F823">
        <v>0.42</v>
      </c>
      <c r="G823" t="s">
        <v>3295</v>
      </c>
      <c r="H823" t="s">
        <v>3296</v>
      </c>
      <c r="I823">
        <v>450</v>
      </c>
      <c r="J823" t="s">
        <v>90</v>
      </c>
      <c r="K823" t="s">
        <v>3297</v>
      </c>
      <c r="L823" t="s">
        <v>3298</v>
      </c>
      <c r="M823">
        <v>5434.12395</v>
      </c>
      <c r="N823">
        <v>21.7364958</v>
      </c>
      <c r="O823">
        <v>7548.57828</v>
      </c>
      <c r="P823">
        <v>178980.39009</v>
      </c>
      <c r="Q823">
        <v>0.71988707653701378</v>
      </c>
      <c r="R823">
        <v>6216.30251958</v>
      </c>
      <c r="S823" t="s">
        <v>104</v>
      </c>
      <c r="T823" t="s">
        <v>93</v>
      </c>
      <c r="U823">
        <v>3</v>
      </c>
      <c r="V823" t="s">
        <v>105</v>
      </c>
      <c r="W823" t="s">
        <v>95</v>
      </c>
      <c r="X823" t="s">
        <v>106</v>
      </c>
      <c r="Y823" s="23" t="s">
        <v>107</v>
      </c>
      <c r="AA823">
        <v>397</v>
      </c>
      <c r="AB823" t="s">
        <v>3299</v>
      </c>
      <c r="AC823" t="s">
        <v>3300</v>
      </c>
      <c r="AE823" s="2"/>
      <c r="AF823" t="str">
        <f>_xlfn.CONCAT(FINI_grouping_for_wheel[[#This Row],[SEFI/Plant]],"/",IF(FINI_grouping_for_wheel[[#This Row],[RESET recipe combination]]&lt;&gt;"",FINI_grouping_for_wheel[[#This Row],[RESET recipe combination]],FINI_grouping_for_wheel[[#This Row],[Recipe Combination]]),"/",FINI_grouping_for_wheel[[#This Row],[Subgroup]])</f>
        <v>4387746/THDP/x/</v>
      </c>
      <c r="AG8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0.030361560544523675</v>
      </c>
      <c r="AH823">
        <f>_xlfn.LET(_xlpm.pct, FINI_grouping_for_wheel[[#This Row],[% forecast within subgroup]], _xlpm.lote, FINI_grouping_for_wheel[[#This Row],[Lot size considered]], _xlpm.pct*_xlpm.lote)</f>
        <v>262.1753486938384</v>
      </c>
      <c r="AI823" cm="1" t="str">
        <f t="array" aca="1" ref="AI823" ca="1">IFERROR(INDIRECT("FINI_grouping_for_wheel[@["&amp;FINI_grouping_for_wheel[[#This Row],[Selected PV]]&amp;"]]"),"")</f>
        <v/>
      </c>
      <c r="AJ82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8910.06903</v>
      </c>
      <c r="AK8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823" s="4"/>
      <c r="AM82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2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23" t="str">
        <f>_xlfn.CONCAT(FINI_grouping_for_wheel[[#This Row],[Recipe Combination]],FINI_grouping_for_wheel[[#This Row],[Subgroup]])</f>
        <v>0</v>
      </c>
    </row>
    <row r="824" spans="1:55" hidden="1">
      <c r="A824" t="s">
        <v>12</v>
      </c>
      <c r="B824">
        <v>4387746</v>
      </c>
      <c r="C824" t="s">
        <v>3294</v>
      </c>
      <c r="D824">
        <v>8635.10781369</v>
      </c>
      <c r="E824">
        <v>21</v>
      </c>
      <c r="F824">
        <v>0.42</v>
      </c>
      <c r="G824" t="s">
        <v>3301</v>
      </c>
      <c r="H824" t="s">
        <v>3302</v>
      </c>
      <c r="I824">
        <v>375</v>
      </c>
      <c r="J824" t="s">
        <v>90</v>
      </c>
      <c r="K824" t="s">
        <v>3303</v>
      </c>
      <c r="L824" t="s">
        <v>3304</v>
      </c>
      <c r="M824">
        <v>2114.45433</v>
      </c>
      <c r="N824">
        <v>8.45781732</v>
      </c>
      <c r="O824">
        <v>7548.57828</v>
      </c>
      <c r="P824">
        <v>178980.39009</v>
      </c>
      <c r="Q824">
        <v>0.28011292346298622</v>
      </c>
      <c r="R824">
        <v>2418.80529411</v>
      </c>
      <c r="S824" t="s">
        <v>104</v>
      </c>
      <c r="T824" t="s">
        <v>93</v>
      </c>
      <c r="U824">
        <v>2.5</v>
      </c>
      <c r="V824" t="s">
        <v>105</v>
      </c>
      <c r="W824" t="s">
        <v>95</v>
      </c>
      <c r="X824" t="s">
        <v>106</v>
      </c>
      <c r="Y824" s="23" t="s">
        <v>107</v>
      </c>
      <c r="AA824">
        <v>1021</v>
      </c>
      <c r="AB824" t="s">
        <v>3305</v>
      </c>
      <c r="AC824" t="s">
        <v>3300</v>
      </c>
      <c r="AE824" s="2"/>
      <c r="AF824" t="str">
        <f>_xlfn.CONCAT(FINI_grouping_for_wheel[[#This Row],[SEFI/Plant]],"/",IF(FINI_grouping_for_wheel[[#This Row],[RESET recipe combination]]&lt;&gt;"",FINI_grouping_for_wheel[[#This Row],[RESET recipe combination]],FINI_grouping_for_wheel[[#This Row],[Recipe Combination]]),"/",FINI_grouping_for_wheel[[#This Row],[Subgroup]])</f>
        <v>4387746/THDP/x/</v>
      </c>
      <c r="AG8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0.01181388826416542</v>
      </c>
      <c r="AH824">
        <f>_xlfn.LET(_xlpm.pct, FINI_grouping_for_wheel[[#This Row],[% forecast within subgroup]], _xlpm.lote, FINI_grouping_for_wheel[[#This Row],[Lot size considered]], _xlpm.pct*_xlpm.lote)</f>
        <v>102.0141988599554</v>
      </c>
      <c r="AI824" cm="1" t="str">
        <f t="array" aca="1" ref="AI824" ca="1">IFERROR(INDIRECT("FINI_grouping_for_wheel[@["&amp;FINI_grouping_for_wheel[[#This Row],[Selected PV]]&amp;"]]"),"")</f>
        <v/>
      </c>
      <c r="AJ82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8910.06903</v>
      </c>
      <c r="AK8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0.3</v>
      </c>
      <c r="AL824" s="4"/>
      <c r="AM82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2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24" t="str">
        <f>_xlfn.CONCAT(FINI_grouping_for_wheel[[#This Row],[Recipe Combination]],FINI_grouping_for_wheel[[#This Row],[Subgroup]])</f>
        <v>0</v>
      </c>
    </row>
    <row r="825" spans="1:55" hidden="1">
      <c r="A825" t="s">
        <v>12</v>
      </c>
      <c r="B825">
        <v>4387746</v>
      </c>
      <c r="C825" t="s">
        <v>3294</v>
      </c>
      <c r="D825">
        <v>8635.10781369</v>
      </c>
      <c r="E825">
        <v>21</v>
      </c>
      <c r="F825">
        <v>0.42</v>
      </c>
      <c r="G825" t="s">
        <v>3306</v>
      </c>
      <c r="H825" t="s">
        <v>3307</v>
      </c>
      <c r="I825">
        <v>375</v>
      </c>
      <c r="J825" t="s">
        <v>90</v>
      </c>
      <c r="K825" t="s">
        <v>469</v>
      </c>
      <c r="L825" t="s">
        <v>470</v>
      </c>
      <c r="M825">
        <v>1539.0765</v>
      </c>
      <c r="N825">
        <v>6.156306</v>
      </c>
      <c r="O825">
        <v>1539.0765</v>
      </c>
      <c r="P825">
        <v>178980.39009</v>
      </c>
      <c r="Q825">
        <v>1</v>
      </c>
      <c r="R825">
        <v>8635.10781369</v>
      </c>
      <c r="S825" t="s">
        <v>266</v>
      </c>
      <c r="T825" t="s">
        <v>93</v>
      </c>
      <c r="U825">
        <v>2.5</v>
      </c>
      <c r="V825" t="s">
        <v>472</v>
      </c>
      <c r="W825" t="s">
        <v>142</v>
      </c>
      <c r="X825" t="s">
        <v>150</v>
      </c>
      <c r="Y825" s="23" t="s">
        <v>151</v>
      </c>
      <c r="AA825">
        <v>1403</v>
      </c>
      <c r="AB825" t="s">
        <v>3308</v>
      </c>
      <c r="AC825" t="s">
        <v>3300</v>
      </c>
      <c r="AE825" s="2"/>
      <c r="AF825" t="str">
        <f>_xlfn.CONCAT(FINI_grouping_for_wheel[[#This Row],[SEFI/Plant]],"/",IF(FINI_grouping_for_wheel[[#This Row],[RESET recipe combination]]&lt;&gt;"",FINI_grouping_for_wheel[[#This Row],[RESET recipe combination]],FINI_grouping_for_wheel[[#This Row],[Recipe Combination]]),"/",FINI_grouping_for_wheel[[#This Row],[Subgroup]])</f>
        <v>4387746/THDP/x/</v>
      </c>
      <c r="AG8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0.008599134794745266</v>
      </c>
      <c r="AH825">
        <f>_xlfn.LET(_xlpm.pct, FINI_grouping_for_wheel[[#This Row],[% forecast within subgroup]], _xlpm.lote, FINI_grouping_for_wheel[[#This Row],[Lot size considered]], _xlpm.pct*_xlpm.lote)</f>
        <v>74.2544560570784</v>
      </c>
      <c r="AI825" cm="1" t="str">
        <f t="array" aca="1" ref="AI825" ca="1">IFERROR(INDIRECT("FINI_grouping_for_wheel[@["&amp;FINI_grouping_for_wheel[[#This Row],[Selected PV]]&amp;"]]"),"")</f>
        <v/>
      </c>
      <c r="AJ82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8910.06903</v>
      </c>
      <c r="AK8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825" s="4"/>
      <c r="AM82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2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25" t="str">
        <f>_xlfn.CONCAT(FINI_grouping_for_wheel[[#This Row],[Recipe Combination]],FINI_grouping_for_wheel[[#This Row],[Subgroup]])</f>
        <v>1</v>
      </c>
    </row>
    <row r="826" spans="1:55" hidden="1">
      <c r="A826" t="s">
        <v>12</v>
      </c>
      <c r="B826">
        <v>4387746</v>
      </c>
      <c r="C826" t="s">
        <v>3294</v>
      </c>
      <c r="D826">
        <v>8635.10781369</v>
      </c>
      <c r="E826">
        <v>21</v>
      </c>
      <c r="F826">
        <v>0.42</v>
      </c>
      <c r="G826" t="s">
        <v>3309</v>
      </c>
      <c r="H826" t="s">
        <v>3310</v>
      </c>
      <c r="I826">
        <v>240</v>
      </c>
      <c r="J826" t="s">
        <v>90</v>
      </c>
      <c r="K826" t="s">
        <v>3311</v>
      </c>
      <c r="L826" t="s">
        <v>3312</v>
      </c>
      <c r="M826">
        <v>20925.520875</v>
      </c>
      <c r="N826">
        <v>83.7020835</v>
      </c>
      <c r="O826">
        <v>36191.97585</v>
      </c>
      <c r="P826">
        <v>178980.39009</v>
      </c>
      <c r="Q826">
        <v>0.57818122342165523</v>
      </c>
      <c r="R826">
        <v>4992.6572001</v>
      </c>
      <c r="S826" t="s">
        <v>273</v>
      </c>
      <c r="T826" t="s">
        <v>93</v>
      </c>
      <c r="U826">
        <v>5</v>
      </c>
      <c r="V826" t="s">
        <v>196</v>
      </c>
      <c r="W826" t="s">
        <v>95</v>
      </c>
      <c r="X826" t="s">
        <v>106</v>
      </c>
      <c r="Y826" s="23" t="s">
        <v>107</v>
      </c>
      <c r="AA826">
        <v>103</v>
      </c>
      <c r="AB826" t="s">
        <v>3313</v>
      </c>
      <c r="AC826" t="s">
        <v>3300</v>
      </c>
      <c r="AE826" s="2"/>
      <c r="AF826" t="str">
        <f>_xlfn.CONCAT(FINI_grouping_for_wheel[[#This Row],[SEFI/Plant]],"/",IF(FINI_grouping_for_wheel[[#This Row],[RESET recipe combination]]&lt;&gt;"",FINI_grouping_for_wheel[[#This Row],[RESET recipe combination]],FINI_grouping_for_wheel[[#This Row],[Recipe Combination]]),"/",FINI_grouping_for_wheel[[#This Row],[Subgroup]])</f>
        <v>4387746/THDP/x/</v>
      </c>
      <c r="AG8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0.11691515961317121</v>
      </c>
      <c r="AH826">
        <f>_xlfn.LET(_xlpm.pct, FINI_grouping_for_wheel[[#This Row],[% forecast within subgroup]], _xlpm.lote, FINI_grouping_for_wheel[[#This Row],[Lot size considered]], _xlpm.pct*_xlpm.lote)</f>
        <v>1009.5750083145082</v>
      </c>
      <c r="AI826" cm="1" t="str">
        <f t="array" aca="1" ref="AI826" ca="1">IFERROR(INDIRECT("FINI_grouping_for_wheel[@["&amp;FINI_grouping_for_wheel[[#This Row],[Selected PV]]&amp;"]]"),"")</f>
        <v/>
      </c>
      <c r="AJ82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8910.06903</v>
      </c>
      <c r="AK8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4.3</v>
      </c>
      <c r="AL826" s="4"/>
      <c r="AM82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2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26" t="str">
        <f>_xlfn.CONCAT(FINI_grouping_for_wheel[[#This Row],[Recipe Combination]],FINI_grouping_for_wheel[[#This Row],[Subgroup]])</f>
        <v>?</v>
      </c>
    </row>
    <row r="827" spans="1:55" hidden="1">
      <c r="A827" t="s">
        <v>12</v>
      </c>
      <c r="B827">
        <v>4387746</v>
      </c>
      <c r="C827" t="s">
        <v>3294</v>
      </c>
      <c r="D827">
        <v>8635.10781369</v>
      </c>
      <c r="E827">
        <v>21</v>
      </c>
      <c r="F827">
        <v>0.42</v>
      </c>
      <c r="G827" t="s">
        <v>3314</v>
      </c>
      <c r="H827" t="s">
        <v>3315</v>
      </c>
      <c r="I827">
        <v>375</v>
      </c>
      <c r="J827" t="s">
        <v>90</v>
      </c>
      <c r="K827" t="s">
        <v>3316</v>
      </c>
      <c r="L827" t="s">
        <v>3317</v>
      </c>
      <c r="M827">
        <v>15266.454975</v>
      </c>
      <c r="N827">
        <v>61.0658199</v>
      </c>
      <c r="O827">
        <v>36191.97585</v>
      </c>
      <c r="P827">
        <v>178980.39009</v>
      </c>
      <c r="Q827">
        <v>0.42181877657834477</v>
      </c>
      <c r="R827">
        <v>3642.45061359</v>
      </c>
      <c r="S827" t="s">
        <v>273</v>
      </c>
      <c r="T827" t="s">
        <v>93</v>
      </c>
      <c r="U827">
        <v>2.5</v>
      </c>
      <c r="V827" t="s">
        <v>105</v>
      </c>
      <c r="W827" t="s">
        <v>95</v>
      </c>
      <c r="X827" t="s">
        <v>106</v>
      </c>
      <c r="Y827" s="23" t="s">
        <v>107</v>
      </c>
      <c r="AA827">
        <v>141</v>
      </c>
      <c r="AB827" t="s">
        <v>3318</v>
      </c>
      <c r="AC827" t="s">
        <v>3300</v>
      </c>
      <c r="AE827" s="2"/>
      <c r="AF827" t="str">
        <f>_xlfn.CONCAT(FINI_grouping_for_wheel[[#This Row],[SEFI/Plant]],"/",IF(FINI_grouping_for_wheel[[#This Row],[RESET recipe combination]]&lt;&gt;"",FINI_grouping_for_wheel[[#This Row],[RESET recipe combination]],FINI_grouping_for_wheel[[#This Row],[Recipe Combination]]),"/",FINI_grouping_for_wheel[[#This Row],[Subgroup]])</f>
        <v>4387746/THDP/x/</v>
      </c>
      <c r="AG8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0.08529680244480017</v>
      </c>
      <c r="AH827">
        <f>_xlfn.LET(_xlpm.pct, FINI_grouping_for_wheel[[#This Row],[% forecast within subgroup]], _xlpm.lote, FINI_grouping_for_wheel[[#This Row],[Lot size considered]], _xlpm.pct*_xlpm.lote)</f>
        <v>736.5470852738663</v>
      </c>
      <c r="AI827" cm="1" t="str">
        <f t="array" aca="1" ref="AI827" ca="1">IFERROR(INDIRECT("FINI_grouping_for_wheel[@["&amp;FINI_grouping_for_wheel[[#This Row],[Selected PV]]&amp;"]]"),"")</f>
        <v/>
      </c>
      <c r="AJ82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8910.06903</v>
      </c>
      <c r="AK8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v>
      </c>
      <c r="AL827" s="4"/>
      <c r="AM82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2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27" t="str">
        <f>_xlfn.CONCAT(FINI_grouping_for_wheel[[#This Row],[Recipe Combination]],FINI_grouping_for_wheel[[#This Row],[Subgroup]])</f>
        <v>?</v>
      </c>
    </row>
    <row r="828" spans="1:55" hidden="1">
      <c r="A828" t="s">
        <v>12</v>
      </c>
      <c r="B828">
        <v>4387746</v>
      </c>
      <c r="C828" t="s">
        <v>3294</v>
      </c>
      <c r="D828">
        <v>8635.10781369</v>
      </c>
      <c r="E828">
        <v>21</v>
      </c>
      <c r="F828">
        <v>0.42</v>
      </c>
      <c r="G828" t="s">
        <v>3319</v>
      </c>
      <c r="H828" t="s">
        <v>3320</v>
      </c>
      <c r="I828">
        <v>375</v>
      </c>
      <c r="J828" t="s">
        <v>90</v>
      </c>
      <c r="K828" t="s">
        <v>1611</v>
      </c>
      <c r="L828" t="s">
        <v>1612</v>
      </c>
      <c r="M828">
        <v>22157.96598</v>
      </c>
      <c r="N828">
        <v>88.63186392</v>
      </c>
      <c r="O828">
        <v>22157.96598</v>
      </c>
      <c r="P828">
        <v>178980.39009</v>
      </c>
      <c r="Q828">
        <v>1</v>
      </c>
      <c r="R828">
        <v>8635.10781369</v>
      </c>
      <c r="S828" t="s">
        <v>346</v>
      </c>
      <c r="T828" t="s">
        <v>93</v>
      </c>
      <c r="U828">
        <v>2.5</v>
      </c>
      <c r="V828" t="s">
        <v>1613</v>
      </c>
      <c r="W828" t="s">
        <v>142</v>
      </c>
      <c r="X828" t="s">
        <v>150</v>
      </c>
      <c r="Y828" s="23" t="s">
        <v>151</v>
      </c>
      <c r="AA828">
        <v>97</v>
      </c>
      <c r="AB828" t="s">
        <v>3321</v>
      </c>
      <c r="AC828" t="s">
        <v>3300</v>
      </c>
      <c r="AE828" s="2"/>
      <c r="AF828" t="str">
        <f>_xlfn.CONCAT(FINI_grouping_for_wheel[[#This Row],[SEFI/Plant]],"/",IF(FINI_grouping_for_wheel[[#This Row],[RESET recipe combination]]&lt;&gt;"",FINI_grouping_for_wheel[[#This Row],[RESET recipe combination]],FINI_grouping_for_wheel[[#This Row],[Recipe Combination]]),"/",FINI_grouping_for_wheel[[#This Row],[Subgroup]])</f>
        <v>4387746/THDP/x/</v>
      </c>
      <c r="AG8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0.12380108216804032</v>
      </c>
      <c r="AH828">
        <f>_xlfn.LET(_xlpm.pct, FINI_grouping_for_wheel[[#This Row],[% forecast within subgroup]], _xlpm.lote, FINI_grouping_for_wheel[[#This Row],[Lot size considered]], _xlpm.pct*_xlpm.lote)</f>
        <v>1069.0356919725227</v>
      </c>
      <c r="AI828" cm="1" t="str">
        <f t="array" aca="1" ref="AI828" ca="1">IFERROR(INDIRECT("FINI_grouping_for_wheel[@["&amp;FINI_grouping_for_wheel[[#This Row],[Selected PV]]&amp;"]]"),"")</f>
        <v/>
      </c>
      <c r="AJ82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8910.06903</v>
      </c>
      <c r="AK8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v>
      </c>
      <c r="AL828" s="4"/>
      <c r="AM82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2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28" t="str">
        <f>_xlfn.CONCAT(FINI_grouping_for_wheel[[#This Row],[Recipe Combination]],FINI_grouping_for_wheel[[#This Row],[Subgroup]])</f>
        <v>Q</v>
      </c>
    </row>
    <row r="829" spans="1:55" hidden="1">
      <c r="A829" t="s">
        <v>12</v>
      </c>
      <c r="B829">
        <v>4387746</v>
      </c>
      <c r="C829" t="s">
        <v>3294</v>
      </c>
      <c r="D829">
        <v>8635.10781369</v>
      </c>
      <c r="E829">
        <v>21</v>
      </c>
      <c r="F829">
        <v>0.42</v>
      </c>
      <c r="G829" t="s">
        <v>3322</v>
      </c>
      <c r="H829" t="s">
        <v>3323</v>
      </c>
      <c r="I829">
        <v>240</v>
      </c>
      <c r="J829" t="s">
        <v>90</v>
      </c>
      <c r="K829" t="s">
        <v>3324</v>
      </c>
      <c r="L829" t="s">
        <v>3325</v>
      </c>
      <c r="M829">
        <v>2296.7757</v>
      </c>
      <c r="N829">
        <v>9.1871028</v>
      </c>
      <c r="O829">
        <v>9300.75768</v>
      </c>
      <c r="P829">
        <v>178980.39009</v>
      </c>
      <c r="Q829">
        <v>0.2469450101832994</v>
      </c>
      <c r="R829">
        <v>2132.39678699</v>
      </c>
      <c r="S829" t="s">
        <v>195</v>
      </c>
      <c r="T829" t="s">
        <v>93</v>
      </c>
      <c r="U829">
        <v>5</v>
      </c>
      <c r="V829" t="s">
        <v>196</v>
      </c>
      <c r="W829" t="s">
        <v>95</v>
      </c>
      <c r="X829" t="s">
        <v>106</v>
      </c>
      <c r="Y829" s="23" t="s">
        <v>107</v>
      </c>
      <c r="AA829">
        <v>940</v>
      </c>
      <c r="AB829" t="s">
        <v>3326</v>
      </c>
      <c r="AC829" t="s">
        <v>3300</v>
      </c>
      <c r="AE829" s="2"/>
      <c r="AF829" t="str">
        <f>_xlfn.CONCAT(FINI_grouping_for_wheel[[#This Row],[SEFI/Plant]],"/",IF(FINI_grouping_for_wheel[[#This Row],[RESET recipe combination]]&lt;&gt;"",FINI_grouping_for_wheel[[#This Row],[RESET recipe combination]],FINI_grouping_for_wheel[[#This Row],[Recipe Combination]]),"/",FINI_grouping_for_wheel[[#This Row],[Subgroup]])</f>
        <v>4387746/THDP/x/</v>
      </c>
      <c r="AG8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0.012832555001389091</v>
      </c>
      <c r="AH829">
        <f>_xlfn.LET(_xlpm.pct, FINI_grouping_for_wheel[[#This Row],[% forecast within subgroup]], _xlpm.lote, FINI_grouping_for_wheel[[#This Row],[Lot size considered]], _xlpm.pct*_xlpm.lote)</f>
        <v>110.81049596210163</v>
      </c>
      <c r="AI829" cm="1" t="str">
        <f t="array" aca="1" ref="AI829" ca="1">IFERROR(INDIRECT("FINI_grouping_for_wheel[@["&amp;FINI_grouping_for_wheel[[#This Row],[Selected PV]]&amp;"]]"),"")</f>
        <v/>
      </c>
      <c r="AJ82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8910.06903</v>
      </c>
      <c r="AK8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0.5</v>
      </c>
      <c r="AL829" s="4"/>
      <c r="AM82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2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29" t="str">
        <f>_xlfn.CONCAT(FINI_grouping_for_wheel[[#This Row],[Recipe Combination]],FINI_grouping_for_wheel[[#This Row],[Subgroup]])</f>
        <v>S</v>
      </c>
    </row>
    <row r="830" spans="1:55" hidden="1">
      <c r="A830" t="s">
        <v>12</v>
      </c>
      <c r="B830">
        <v>4387746</v>
      </c>
      <c r="C830" t="s">
        <v>3294</v>
      </c>
      <c r="D830">
        <v>8635.10781369</v>
      </c>
      <c r="E830">
        <v>21</v>
      </c>
      <c r="F830">
        <v>0.42</v>
      </c>
      <c r="G830" t="s">
        <v>3327</v>
      </c>
      <c r="H830" t="s">
        <v>3328</v>
      </c>
      <c r="I830">
        <v>288</v>
      </c>
      <c r="J830" t="s">
        <v>90</v>
      </c>
      <c r="K830" t="s">
        <v>3329</v>
      </c>
      <c r="L830" t="s">
        <v>3330</v>
      </c>
      <c r="M830">
        <v>7003.98198</v>
      </c>
      <c r="N830">
        <v>28.01592792</v>
      </c>
      <c r="O830">
        <v>9300.75768</v>
      </c>
      <c r="P830">
        <v>178980.39009</v>
      </c>
      <c r="Q830">
        <v>0.7530549898167006</v>
      </c>
      <c r="R830">
        <v>6502.71102671</v>
      </c>
      <c r="S830" t="s">
        <v>195</v>
      </c>
      <c r="T830" t="s">
        <v>93</v>
      </c>
      <c r="U830">
        <v>6</v>
      </c>
      <c r="V830" t="s">
        <v>196</v>
      </c>
      <c r="W830" t="s">
        <v>95</v>
      </c>
      <c r="X830" t="s">
        <v>106</v>
      </c>
      <c r="Y830" s="23" t="s">
        <v>107</v>
      </c>
      <c r="AA830">
        <v>308</v>
      </c>
      <c r="AB830" t="s">
        <v>3331</v>
      </c>
      <c r="AC830" t="s">
        <v>3300</v>
      </c>
      <c r="AE830" s="2"/>
      <c r="AF830" t="str">
        <f>_xlfn.CONCAT(FINI_grouping_for_wheel[[#This Row],[SEFI/Plant]],"/",IF(FINI_grouping_for_wheel[[#This Row],[RESET recipe combination]]&lt;&gt;"",FINI_grouping_for_wheel[[#This Row],[RESET recipe combination]],FINI_grouping_for_wheel[[#This Row],[Recipe Combination]]),"/",FINI_grouping_for_wheel[[#This Row],[Subgroup]])</f>
        <v>4387746/THDP/x/</v>
      </c>
      <c r="AG8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0.03913267803516384</v>
      </c>
      <c r="AH830">
        <f>_xlfn.LET(_xlpm.pct, FINI_grouping_for_wheel[[#This Row],[% forecast within subgroup]], _xlpm.lote, FINI_grouping_for_wheel[[#This Row],[Lot size considered]], _xlpm.pct*_xlpm.lote)</f>
        <v>337.9148938720583</v>
      </c>
      <c r="AI830" cm="1" t="str">
        <f t="array" aca="1" ref="AI830" ca="1">IFERROR(INDIRECT("FINI_grouping_for_wheel[@["&amp;FINI_grouping_for_wheel[[#This Row],[Selected PV]]&amp;"]]"),"")</f>
        <v/>
      </c>
      <c r="AJ83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8910.06903</v>
      </c>
      <c r="AK8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v>
      </c>
      <c r="AL830" s="4"/>
      <c r="AM83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3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30" t="str">
        <f>_xlfn.CONCAT(FINI_grouping_for_wheel[[#This Row],[Recipe Combination]],FINI_grouping_for_wheel[[#This Row],[Subgroup]])</f>
        <v>S</v>
      </c>
    </row>
    <row r="831" spans="1:55" hidden="1">
      <c r="A831" t="s">
        <v>12</v>
      </c>
      <c r="B831">
        <v>4387746</v>
      </c>
      <c r="C831" t="s">
        <v>3294</v>
      </c>
      <c r="D831">
        <v>8635.10781369</v>
      </c>
      <c r="E831">
        <v>21</v>
      </c>
      <c r="F831">
        <v>0.42</v>
      </c>
      <c r="G831" t="s">
        <v>3332</v>
      </c>
      <c r="H831" t="s">
        <v>3333</v>
      </c>
      <c r="I831">
        <v>480</v>
      </c>
      <c r="J831" t="s">
        <v>90</v>
      </c>
      <c r="K831" t="s">
        <v>1489</v>
      </c>
      <c r="L831" t="s">
        <v>1490</v>
      </c>
      <c r="M831">
        <v>102242.0358</v>
      </c>
      <c r="N831">
        <v>408.9681432</v>
      </c>
      <c r="O831">
        <v>102242.0358</v>
      </c>
      <c r="P831">
        <v>178980.39009</v>
      </c>
      <c r="Q831">
        <v>1</v>
      </c>
      <c r="R831">
        <v>8635.10781369</v>
      </c>
      <c r="S831" t="s">
        <v>218</v>
      </c>
      <c r="T831" t="s">
        <v>93</v>
      </c>
      <c r="U831">
        <v>5</v>
      </c>
      <c r="V831" t="s">
        <v>1491</v>
      </c>
      <c r="W831" t="s">
        <v>142</v>
      </c>
      <c r="X831" t="s">
        <v>150</v>
      </c>
      <c r="Y831" s="23" t="s">
        <v>151</v>
      </c>
      <c r="AA831">
        <v>21</v>
      </c>
      <c r="AB831" t="s">
        <v>3334</v>
      </c>
      <c r="AC831" t="s">
        <v>3300</v>
      </c>
      <c r="AE831" s="2"/>
      <c r="AF831" t="str">
        <f>_xlfn.CONCAT(FINI_grouping_for_wheel[[#This Row],[SEFI/Plant]],"/",IF(FINI_grouping_for_wheel[[#This Row],[RESET recipe combination]]&lt;&gt;"",FINI_grouping_for_wheel[[#This Row],[RESET recipe combination]],FINI_grouping_for_wheel[[#This Row],[Recipe Combination]]),"/",FINI_grouping_for_wheel[[#This Row],[Subgroup]])</f>
        <v>4387746/THDP/x/</v>
      </c>
      <c r="AG8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0.5712471391340009</v>
      </c>
      <c r="AH831">
        <f>_xlfn.LET(_xlpm.pct, FINI_grouping_for_wheel[[#This Row],[% forecast within subgroup]], _xlpm.lote, FINI_grouping_for_wheel[[#This Row],[Lot size considered]], _xlpm.pct*_xlpm.lote)</f>
        <v>4932.78063468407</v>
      </c>
      <c r="AI831" cm="1" t="str">
        <f t="array" aca="1" ref="AI831" ca="1">IFERROR(INDIRECT("FINI_grouping_for_wheel[@["&amp;FINI_grouping_for_wheel[[#This Row],[Selected PV]]&amp;"]]"),"")</f>
        <v/>
      </c>
      <c r="AJ83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8910.06903</v>
      </c>
      <c r="AK8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10.6</v>
      </c>
      <c r="AL831" s="4"/>
      <c r="AM83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11</v>
      </c>
      <c r="AN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3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31" t="str">
        <f>_xlfn.CONCAT(FINI_grouping_for_wheel[[#This Row],[Recipe Combination]],FINI_grouping_for_wheel[[#This Row],[Subgroup]])</f>
        <v>U</v>
      </c>
    </row>
    <row r="832" spans="1:55" hidden="1">
      <c r="A832" t="s">
        <v>12</v>
      </c>
      <c r="B832">
        <v>4799594</v>
      </c>
      <c r="C832" t="s">
        <v>3335</v>
      </c>
      <c r="D832">
        <v>7598.66680972</v>
      </c>
      <c r="E832">
        <v>19</v>
      </c>
      <c r="F832">
        <v>0.38</v>
      </c>
      <c r="G832" t="s">
        <v>3336</v>
      </c>
      <c r="H832" t="s">
        <v>3337</v>
      </c>
      <c r="I832">
        <v>360</v>
      </c>
      <c r="J832" t="s">
        <v>90</v>
      </c>
      <c r="K832" t="s">
        <v>946</v>
      </c>
      <c r="L832" t="s">
        <v>947</v>
      </c>
      <c r="M832">
        <v>2167.730055</v>
      </c>
      <c r="N832">
        <v>8.67092022</v>
      </c>
      <c r="O832">
        <v>6738.78726</v>
      </c>
      <c r="P832">
        <v>137808.90981</v>
      </c>
      <c r="Q832">
        <v>0.32167955024595923</v>
      </c>
      <c r="R832">
        <v>2444.33572182</v>
      </c>
      <c r="S832" t="s">
        <v>104</v>
      </c>
      <c r="T832" t="s">
        <v>93</v>
      </c>
      <c r="U832">
        <v>2.5</v>
      </c>
      <c r="V832" t="s">
        <v>166</v>
      </c>
      <c r="W832" t="s">
        <v>95</v>
      </c>
      <c r="X832" t="s">
        <v>96</v>
      </c>
      <c r="Y832" s="23" t="s">
        <v>167</v>
      </c>
      <c r="AA832">
        <v>876</v>
      </c>
      <c r="AB832" t="s">
        <v>3338</v>
      </c>
      <c r="AC832" t="s">
        <v>3339</v>
      </c>
      <c r="AE832" s="2"/>
      <c r="AF832"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0.01572997027542482</v>
      </c>
      <c r="AH832">
        <f>_xlfn.LET(_xlpm.pct, FINI_grouping_for_wheel[[#This Row],[% forecast within subgroup]], _xlpm.lote, FINI_grouping_for_wheel[[#This Row],[Lot size considered]], _xlpm.pct*_xlpm.lote)</f>
        <v>119.52680304975276</v>
      </c>
      <c r="AI832" cm="1" t="str">
        <f t="array" aca="1" ref="AI832" ca="1">IFERROR(INDIRECT("FINI_grouping_for_wheel[@["&amp;FINI_grouping_for_wheel[[#This Row],[Selected PV]]&amp;"]]"),"")</f>
        <v/>
      </c>
      <c r="AJ83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0.4</v>
      </c>
      <c r="AL832" s="4"/>
      <c r="AM83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3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32" t="str">
        <f>_xlfn.CONCAT(FINI_grouping_for_wheel[[#This Row],[Recipe Combination]],FINI_grouping_for_wheel[[#This Row],[Subgroup]])</f>
        <v>0</v>
      </c>
    </row>
    <row r="833" spans="1:55" hidden="1">
      <c r="A833" t="s">
        <v>12</v>
      </c>
      <c r="B833">
        <v>4799594</v>
      </c>
      <c r="C833" t="s">
        <v>3335</v>
      </c>
      <c r="D833">
        <v>7598.66680972</v>
      </c>
      <c r="E833">
        <v>19</v>
      </c>
      <c r="F833">
        <v>0.38</v>
      </c>
      <c r="G833" t="s">
        <v>3340</v>
      </c>
      <c r="H833" t="s">
        <v>3341</v>
      </c>
      <c r="I833">
        <v>375</v>
      </c>
      <c r="J833" t="s">
        <v>90</v>
      </c>
      <c r="K833" t="s">
        <v>1161</v>
      </c>
      <c r="L833" t="s">
        <v>1162</v>
      </c>
      <c r="M833">
        <v>4571.057205</v>
      </c>
      <c r="N833">
        <v>18.28422882</v>
      </c>
      <c r="O833">
        <v>6738.78726</v>
      </c>
      <c r="P833">
        <v>137808.90981</v>
      </c>
      <c r="Q833">
        <v>0.67832044975404071</v>
      </c>
      <c r="R833">
        <v>5154.3310879</v>
      </c>
      <c r="S833" t="s">
        <v>104</v>
      </c>
      <c r="T833" t="s">
        <v>93</v>
      </c>
      <c r="U833">
        <v>2.5</v>
      </c>
      <c r="V833" t="s">
        <v>105</v>
      </c>
      <c r="W833" t="s">
        <v>95</v>
      </c>
      <c r="X833" t="s">
        <v>106</v>
      </c>
      <c r="Y833" s="23" t="s">
        <v>107</v>
      </c>
      <c r="AA833">
        <v>416</v>
      </c>
      <c r="AB833" t="s">
        <v>3342</v>
      </c>
      <c r="AC833" t="s">
        <v>3339</v>
      </c>
      <c r="AE833" s="2"/>
      <c r="AF833"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0.03316953316953317</v>
      </c>
      <c r="AH833">
        <f>_xlfn.LET(_xlpm.pct, FINI_grouping_for_wheel[[#This Row],[% forecast within subgroup]], _xlpm.lote, FINI_grouping_for_wheel[[#This Row],[Lot size considered]], _xlpm.pct*_xlpm.lote)</f>
        <v>252.04423078923836</v>
      </c>
      <c r="AI833" cm="1" t="str">
        <f t="array" aca="1" ref="AI833" ca="1">IFERROR(INDIRECT("FINI_grouping_for_wheel[@["&amp;FINI_grouping_for_wheel[[#This Row],[Selected PV]]&amp;"]]"),"")</f>
        <v/>
      </c>
      <c r="AJ83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0.8</v>
      </c>
      <c r="AL833" s="4"/>
      <c r="AM83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3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33" t="str">
        <f>_xlfn.CONCAT(FINI_grouping_for_wheel[[#This Row],[Recipe Combination]],FINI_grouping_for_wheel[[#This Row],[Subgroup]])</f>
        <v>0</v>
      </c>
    </row>
    <row r="834" spans="1:55" hidden="1">
      <c r="A834" t="s">
        <v>12</v>
      </c>
      <c r="B834">
        <v>4799594</v>
      </c>
      <c r="C834" t="s">
        <v>3335</v>
      </c>
      <c r="D834">
        <v>7598.66680972</v>
      </c>
      <c r="E834">
        <v>19</v>
      </c>
      <c r="F834">
        <v>0.38</v>
      </c>
      <c r="G834" t="s">
        <v>3343</v>
      </c>
      <c r="H834" t="s">
        <v>3344</v>
      </c>
      <c r="I834">
        <v>450</v>
      </c>
      <c r="J834" t="s">
        <v>90</v>
      </c>
      <c r="K834" t="s">
        <v>264</v>
      </c>
      <c r="L834" t="s">
        <v>265</v>
      </c>
      <c r="M834">
        <v>548.148015</v>
      </c>
      <c r="N834">
        <v>2.19259206</v>
      </c>
      <c r="O834">
        <v>2986.992315</v>
      </c>
      <c r="P834">
        <v>137808.90981</v>
      </c>
      <c r="Q834">
        <v>0.18351169242964724</v>
      </c>
      <c r="R834">
        <v>1394.44420646</v>
      </c>
      <c r="S834" t="s">
        <v>266</v>
      </c>
      <c r="T834" t="s">
        <v>93</v>
      </c>
      <c r="U834">
        <v>2.5</v>
      </c>
      <c r="V834" t="s">
        <v>267</v>
      </c>
      <c r="W834" t="s">
        <v>142</v>
      </c>
      <c r="X834" t="s">
        <v>150</v>
      </c>
      <c r="Y834" s="23" t="s">
        <v>151</v>
      </c>
      <c r="AA834">
        <v>3466</v>
      </c>
      <c r="AB834" t="s">
        <v>3345</v>
      </c>
      <c r="AC834" t="s">
        <v>3339</v>
      </c>
      <c r="AE834" s="2"/>
      <c r="AF834"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0.003977594886685796</v>
      </c>
      <c r="AH834">
        <f>_xlfn.LET(_xlpm.pct, FINI_grouping_for_wheel[[#This Row],[% forecast within subgroup]], _xlpm.lote, FINI_grouping_for_wheel[[#This Row],[Lot size considered]], _xlpm.pct*_xlpm.lote)</f>
        <v>30.224418247971343</v>
      </c>
      <c r="AI834" cm="1" t="str">
        <f t="array" aca="1" ref="AI834" ca="1">IFERROR(INDIRECT("FINI_grouping_for_wheel[@["&amp;FINI_grouping_for_wheel[[#This Row],[Selected PV]]&amp;"]]"),"")</f>
        <v/>
      </c>
      <c r="AJ83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834" s="4"/>
      <c r="AM83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3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34" t="str">
        <f>_xlfn.CONCAT(FINI_grouping_for_wheel[[#This Row],[Recipe Combination]],FINI_grouping_for_wheel[[#This Row],[Subgroup]])</f>
        <v>1</v>
      </c>
    </row>
    <row r="835" spans="1:55" hidden="1">
      <c r="A835" t="s">
        <v>12</v>
      </c>
      <c r="B835">
        <v>4799594</v>
      </c>
      <c r="C835" t="s">
        <v>3335</v>
      </c>
      <c r="D835">
        <v>7598.66680972</v>
      </c>
      <c r="E835">
        <v>19</v>
      </c>
      <c r="F835">
        <v>0.38</v>
      </c>
      <c r="G835" t="s">
        <v>3346</v>
      </c>
      <c r="H835" t="s">
        <v>3347</v>
      </c>
      <c r="I835">
        <v>495</v>
      </c>
      <c r="J835" t="s">
        <v>90</v>
      </c>
      <c r="K835" t="s">
        <v>860</v>
      </c>
      <c r="L835" t="s">
        <v>861</v>
      </c>
      <c r="M835">
        <v>762.43482</v>
      </c>
      <c r="N835">
        <v>3.04973928</v>
      </c>
      <c r="O835">
        <v>2986.992315</v>
      </c>
      <c r="P835">
        <v>137808.90981</v>
      </c>
      <c r="Q835">
        <v>0.25525168450257629</v>
      </c>
      <c r="R835">
        <v>1939.57250316</v>
      </c>
      <c r="S835" t="s">
        <v>266</v>
      </c>
      <c r="T835" t="s">
        <v>93</v>
      </c>
      <c r="U835">
        <v>2.5</v>
      </c>
      <c r="V835" t="s">
        <v>862</v>
      </c>
      <c r="W835" t="s">
        <v>142</v>
      </c>
      <c r="X835" t="s">
        <v>150</v>
      </c>
      <c r="Y835" s="23" t="s">
        <v>151</v>
      </c>
      <c r="AA835">
        <v>2492</v>
      </c>
      <c r="AB835" t="s">
        <v>3348</v>
      </c>
      <c r="AC835" t="s">
        <v>3339</v>
      </c>
      <c r="AE835" s="2"/>
      <c r="AF835"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0.005532550987096442</v>
      </c>
      <c r="AH835">
        <f>_xlfn.LET(_xlpm.pct, FINI_grouping_for_wheel[[#This Row],[% forecast within subgroup]], _xlpm.lote, FINI_grouping_for_wheel[[#This Row],[Lot size considered]], _xlpm.pct*_xlpm.lote)</f>
        <v>42.040011558733354</v>
      </c>
      <c r="AI835" cm="1" t="str">
        <f t="array" aca="1" ref="AI835" ca="1">IFERROR(INDIRECT("FINI_grouping_for_wheel[@["&amp;FINI_grouping_for_wheel[[#This Row],[Selected PV]]&amp;"]]"),"")</f>
        <v/>
      </c>
      <c r="AJ83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835" s="4"/>
      <c r="AM83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3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35" t="str">
        <f>_xlfn.CONCAT(FINI_grouping_for_wheel[[#This Row],[Recipe Combination]],FINI_grouping_for_wheel[[#This Row],[Subgroup]])</f>
        <v>1</v>
      </c>
    </row>
    <row r="836" spans="1:55" hidden="1">
      <c r="A836" t="s">
        <v>12</v>
      </c>
      <c r="B836">
        <v>4799594</v>
      </c>
      <c r="C836" t="s">
        <v>3335</v>
      </c>
      <c r="D836">
        <v>7598.66680972</v>
      </c>
      <c r="E836">
        <v>19</v>
      </c>
      <c r="F836">
        <v>0.38</v>
      </c>
      <c r="G836" t="s">
        <v>3349</v>
      </c>
      <c r="H836" t="s">
        <v>3350</v>
      </c>
      <c r="I836">
        <v>525</v>
      </c>
      <c r="J836" t="s">
        <v>90</v>
      </c>
      <c r="K836" t="s">
        <v>264</v>
      </c>
      <c r="L836" t="s">
        <v>265</v>
      </c>
      <c r="M836">
        <v>1676.40948</v>
      </c>
      <c r="N836">
        <v>6.70563792</v>
      </c>
      <c r="O836">
        <v>2986.992315</v>
      </c>
      <c r="P836">
        <v>137808.90981</v>
      </c>
      <c r="Q836">
        <v>0.56123662306777644</v>
      </c>
      <c r="R836">
        <v>4264.65010011</v>
      </c>
      <c r="S836" t="s">
        <v>266</v>
      </c>
      <c r="T836" t="s">
        <v>93</v>
      </c>
      <c r="U836">
        <v>2.5</v>
      </c>
      <c r="V836" t="s">
        <v>267</v>
      </c>
      <c r="W836" t="s">
        <v>142</v>
      </c>
      <c r="X836" t="s">
        <v>150</v>
      </c>
      <c r="Y836" s="23" t="s">
        <v>151</v>
      </c>
      <c r="AA836">
        <v>1133</v>
      </c>
      <c r="AB836" t="s">
        <v>3351</v>
      </c>
      <c r="AC836" t="s">
        <v>3339</v>
      </c>
      <c r="AE836" s="2"/>
      <c r="AF836"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0.012164739437466711</v>
      </c>
      <c r="AH836">
        <f>_xlfn.LET(_xlpm.pct, FINI_grouping_for_wheel[[#This Row],[% forecast within subgroup]], _xlpm.lote, FINI_grouping_for_wheel[[#This Row],[Lot size considered]], _xlpm.pct*_xlpm.lote)</f>
        <v>92.43580181237024</v>
      </c>
      <c r="AI836" cm="1" t="str">
        <f t="array" aca="1" ref="AI836" ca="1">IFERROR(INDIRECT("FINI_grouping_for_wheel[@["&amp;FINI_grouping_for_wheel[[#This Row],[Selected PV]]&amp;"]]"),"")</f>
        <v/>
      </c>
      <c r="AJ83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836" s="4"/>
      <c r="AM83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3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36" t="str">
        <f>_xlfn.CONCAT(FINI_grouping_for_wheel[[#This Row],[Recipe Combination]],FINI_grouping_for_wheel[[#This Row],[Subgroup]])</f>
        <v>1</v>
      </c>
    </row>
    <row r="837" spans="1:55" hidden="1">
      <c r="A837" t="s">
        <v>12</v>
      </c>
      <c r="B837">
        <v>4799594</v>
      </c>
      <c r="C837" t="s">
        <v>3335</v>
      </c>
      <c r="D837">
        <v>7598.66680972</v>
      </c>
      <c r="E837">
        <v>19</v>
      </c>
      <c r="F837">
        <v>0.38</v>
      </c>
      <c r="G837" t="s">
        <v>3352</v>
      </c>
      <c r="H837" t="s">
        <v>3353</v>
      </c>
      <c r="I837">
        <v>300</v>
      </c>
      <c r="J837" t="s">
        <v>90</v>
      </c>
      <c r="K837" t="s">
        <v>188</v>
      </c>
      <c r="L837" t="s">
        <v>189</v>
      </c>
      <c r="M837">
        <v>651.14775</v>
      </c>
      <c r="N837">
        <v>2.604591</v>
      </c>
      <c r="O837">
        <v>651.14775</v>
      </c>
      <c r="P837">
        <v>137808.90981</v>
      </c>
      <c r="Q837">
        <v>1</v>
      </c>
      <c r="R837">
        <v>7598.66680972</v>
      </c>
      <c r="S837" t="s">
        <v>1316</v>
      </c>
      <c r="T837" t="s">
        <v>93</v>
      </c>
      <c r="U837">
        <v>5</v>
      </c>
      <c r="V837" t="s">
        <v>119</v>
      </c>
      <c r="W837" t="s">
        <v>142</v>
      </c>
      <c r="X837" t="s">
        <v>96</v>
      </c>
      <c r="Y837" s="23" t="s">
        <v>120</v>
      </c>
      <c r="AA837">
        <v>2917</v>
      </c>
      <c r="AB837" t="s">
        <v>3354</v>
      </c>
      <c r="AC837" t="s">
        <v>3339</v>
      </c>
      <c r="AE837" s="2"/>
      <c r="AF837"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0.004725004725004725</v>
      </c>
      <c r="AH837">
        <f>_xlfn.LET(_xlpm.pct, FINI_grouping_for_wheel[[#This Row],[% forecast within subgroup]], _xlpm.lote, FINI_grouping_for_wheel[[#This Row],[Lot size considered]], _xlpm.pct*_xlpm.lote)</f>
        <v>35.90373657966358</v>
      </c>
      <c r="AI837" cm="1" t="str">
        <f t="array" aca="1" ref="AI837" ca="1">IFERROR(INDIRECT("FINI_grouping_for_wheel[@["&amp;FINI_grouping_for_wheel[[#This Row],[Selected PV]]&amp;"]]"),"")</f>
        <v/>
      </c>
      <c r="AJ83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837" s="4"/>
      <c r="AM83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3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37" t="str">
        <f>_xlfn.CONCAT(FINI_grouping_for_wheel[[#This Row],[Recipe Combination]],FINI_grouping_for_wheel[[#This Row],[Subgroup]])</f>
        <v>6</v>
      </c>
    </row>
    <row r="838" spans="1:55" hidden="1">
      <c r="A838" t="s">
        <v>12</v>
      </c>
      <c r="B838">
        <v>4799594</v>
      </c>
      <c r="C838" t="s">
        <v>3335</v>
      </c>
      <c r="D838">
        <v>7598.66680972</v>
      </c>
      <c r="E838">
        <v>19</v>
      </c>
      <c r="F838">
        <v>0.38</v>
      </c>
      <c r="G838" t="s">
        <v>3355</v>
      </c>
      <c r="H838" t="s">
        <v>3356</v>
      </c>
      <c r="I838">
        <v>440</v>
      </c>
      <c r="J838" t="s">
        <v>90</v>
      </c>
      <c r="K838" t="s">
        <v>666</v>
      </c>
      <c r="L838" t="s">
        <v>667</v>
      </c>
      <c r="M838">
        <v>12584.91015</v>
      </c>
      <c r="N838">
        <v>50.3396406</v>
      </c>
      <c r="O838">
        <v>13449.1608</v>
      </c>
      <c r="P838">
        <v>137808.90981</v>
      </c>
      <c r="Q838">
        <v>0.93573943661971826</v>
      </c>
      <c r="R838">
        <v>7110.37219959</v>
      </c>
      <c r="S838" t="s">
        <v>118</v>
      </c>
      <c r="T838" t="s">
        <v>93</v>
      </c>
      <c r="U838">
        <v>10</v>
      </c>
      <c r="V838" t="s">
        <v>94</v>
      </c>
      <c r="W838" t="s">
        <v>95</v>
      </c>
      <c r="X838" t="s">
        <v>96</v>
      </c>
      <c r="Y838" s="23" t="s">
        <v>97</v>
      </c>
      <c r="AA838">
        <v>151</v>
      </c>
      <c r="AB838" t="s">
        <v>3357</v>
      </c>
      <c r="AC838" t="s">
        <v>3339</v>
      </c>
      <c r="AE838" s="2"/>
      <c r="AF838"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0.0913214549578186</v>
      </c>
      <c r="AH838">
        <f>_xlfn.LET(_xlpm.pct, FINI_grouping_for_wheel[[#This Row],[% forecast within subgroup]], _xlpm.lote, FINI_grouping_for_wheel[[#This Row],[Lot size considered]], _xlpm.pct*_xlpm.lote)</f>
        <v>693.9213088033162</v>
      </c>
      <c r="AI838" cm="1" t="str">
        <f t="array" aca="1" ref="AI838" ca="1">IFERROR(INDIRECT("FINI_grouping_for_wheel[@["&amp;FINI_grouping_for_wheel[[#This Row],[Selected PV]]&amp;"]]"),"")</f>
        <v/>
      </c>
      <c r="AJ83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v>
      </c>
      <c r="AL838" s="4"/>
      <c r="AM83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3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38" t="str">
        <f>_xlfn.CONCAT(FINI_grouping_for_wheel[[#This Row],[Recipe Combination]],FINI_grouping_for_wheel[[#This Row],[Subgroup]])</f>
        <v>A</v>
      </c>
    </row>
    <row r="839" spans="1:55" hidden="1">
      <c r="A839" t="s">
        <v>12</v>
      </c>
      <c r="B839">
        <v>4799594</v>
      </c>
      <c r="C839" t="s">
        <v>3335</v>
      </c>
      <c r="D839">
        <v>7598.66680972</v>
      </c>
      <c r="E839">
        <v>19</v>
      </c>
      <c r="F839">
        <v>0.38</v>
      </c>
      <c r="G839" t="s">
        <v>3358</v>
      </c>
      <c r="H839" t="s">
        <v>3359</v>
      </c>
      <c r="I839">
        <v>440</v>
      </c>
      <c r="J839" t="s">
        <v>90</v>
      </c>
      <c r="K839" t="s">
        <v>385</v>
      </c>
      <c r="L839" t="s">
        <v>386</v>
      </c>
      <c r="M839">
        <v>864.25065</v>
      </c>
      <c r="N839">
        <v>3.4570026</v>
      </c>
      <c r="O839">
        <v>13449.1608</v>
      </c>
      <c r="P839">
        <v>137808.90981</v>
      </c>
      <c r="Q839">
        <v>6.4260563380281688E-2</v>
      </c>
      <c r="R839">
        <v>488.294610132</v>
      </c>
      <c r="S839" t="s">
        <v>118</v>
      </c>
      <c r="T839" t="s">
        <v>93</v>
      </c>
      <c r="U839">
        <v>10</v>
      </c>
      <c r="V839" t="s">
        <v>94</v>
      </c>
      <c r="W839" t="s">
        <v>95</v>
      </c>
      <c r="X839" t="s">
        <v>96</v>
      </c>
      <c r="Y839" s="23" t="s">
        <v>97</v>
      </c>
      <c r="AA839">
        <v>2198</v>
      </c>
      <c r="AB839" t="s">
        <v>3360</v>
      </c>
      <c r="AC839" t="s">
        <v>3339</v>
      </c>
      <c r="AE839" s="2"/>
      <c r="AF839"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0.006271369907733544</v>
      </c>
      <c r="AH839">
        <f>_xlfn.LET(_xlpm.pct, FINI_grouping_for_wheel[[#This Row],[% forecast within subgroup]], _xlpm.lote, FINI_grouping_for_wheel[[#This Row],[Lot size considered]], _xlpm.pct*_xlpm.lote)</f>
        <v>47.65405036937166</v>
      </c>
      <c r="AI839" cm="1" t="str">
        <f t="array" aca="1" ref="AI839" ca="1">IFERROR(INDIRECT("FINI_grouping_for_wheel[@["&amp;FINI_grouping_for_wheel[[#This Row],[Selected PV]]&amp;"]]"),"")</f>
        <v/>
      </c>
      <c r="AJ83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839" s="4"/>
      <c r="AM83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3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39" t="str">
        <f>_xlfn.CONCAT(FINI_grouping_for_wheel[[#This Row],[Recipe Combination]],FINI_grouping_for_wheel[[#This Row],[Subgroup]])</f>
        <v>A</v>
      </c>
    </row>
    <row r="840" spans="1:55" hidden="1">
      <c r="A840" t="s">
        <v>12</v>
      </c>
      <c r="B840">
        <v>4799594</v>
      </c>
      <c r="C840" t="s">
        <v>3335</v>
      </c>
      <c r="D840">
        <v>7598.66680972</v>
      </c>
      <c r="E840">
        <v>19</v>
      </c>
      <c r="F840">
        <v>0.38</v>
      </c>
      <c r="G840" t="s">
        <v>3361</v>
      </c>
      <c r="H840" t="s">
        <v>3362</v>
      </c>
      <c r="I840">
        <v>360</v>
      </c>
      <c r="J840" t="s">
        <v>90</v>
      </c>
      <c r="K840" t="s">
        <v>493</v>
      </c>
      <c r="L840" t="s">
        <v>494</v>
      </c>
      <c r="M840">
        <v>1006.31925</v>
      </c>
      <c r="N840">
        <v>4.025277</v>
      </c>
      <c r="O840">
        <v>1006.31925</v>
      </c>
      <c r="P840">
        <v>137808.90981</v>
      </c>
      <c r="Q840">
        <v>1</v>
      </c>
      <c r="R840">
        <v>7598.66680972</v>
      </c>
      <c r="S840" t="s">
        <v>1156</v>
      </c>
      <c r="T840" t="s">
        <v>93</v>
      </c>
      <c r="U840">
        <v>10</v>
      </c>
      <c r="V840" t="s">
        <v>158</v>
      </c>
      <c r="W840" t="s">
        <v>159</v>
      </c>
      <c r="X840" t="s">
        <v>96</v>
      </c>
      <c r="Y840" s="23" t="s">
        <v>97</v>
      </c>
      <c r="AA840">
        <v>1888</v>
      </c>
      <c r="AB840" t="s">
        <v>3363</v>
      </c>
      <c r="AC840" t="s">
        <v>3339</v>
      </c>
      <c r="AE840" s="2"/>
      <c r="AF840"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0.007302280029552758</v>
      </c>
      <c r="AH840">
        <f>_xlfn.LET(_xlpm.pct, FINI_grouping_for_wheel[[#This Row],[% forecast within subgroup]], _xlpm.lote, FINI_grouping_for_wheel[[#This Row],[Lot size considered]], _xlpm.pct*_xlpm.lote)</f>
        <v>55.487592895843726</v>
      </c>
      <c r="AI840" cm="1" t="str">
        <f t="array" aca="1" ref="AI840" ca="1">IFERROR(INDIRECT("FINI_grouping_for_wheel[@["&amp;FINI_grouping_for_wheel[[#This Row],[Selected PV]]&amp;"]]"),"")</f>
        <v/>
      </c>
      <c r="AJ84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840" s="4"/>
      <c r="AM84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4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40" t="str">
        <f>_xlfn.CONCAT(FINI_grouping_for_wheel[[#This Row],[Recipe Combination]],FINI_grouping_for_wheel[[#This Row],[Subgroup]])</f>
        <v>B</v>
      </c>
    </row>
    <row r="841" spans="1:55" hidden="1">
      <c r="A841" t="s">
        <v>12</v>
      </c>
      <c r="B841">
        <v>4799594</v>
      </c>
      <c r="C841" t="s">
        <v>3335</v>
      </c>
      <c r="D841">
        <v>7598.66680972</v>
      </c>
      <c r="E841">
        <v>19</v>
      </c>
      <c r="F841">
        <v>0.38</v>
      </c>
      <c r="G841" t="s">
        <v>3364</v>
      </c>
      <c r="H841" t="s">
        <v>3365</v>
      </c>
      <c r="I841">
        <v>440</v>
      </c>
      <c r="J841" t="s">
        <v>90</v>
      </c>
      <c r="K841" t="s">
        <v>3366</v>
      </c>
      <c r="L841" t="s">
        <v>3367</v>
      </c>
      <c r="M841">
        <v>67612.81455</v>
      </c>
      <c r="N841">
        <v>270.4512582</v>
      </c>
      <c r="O841">
        <v>67612.81455</v>
      </c>
      <c r="P841">
        <v>137808.90981</v>
      </c>
      <c r="Q841">
        <v>1</v>
      </c>
      <c r="R841">
        <v>7598.66680972</v>
      </c>
      <c r="S841" t="s">
        <v>126</v>
      </c>
      <c r="T841" t="s">
        <v>93</v>
      </c>
      <c r="U841">
        <v>10</v>
      </c>
      <c r="V841" t="s">
        <v>94</v>
      </c>
      <c r="W841" t="s">
        <v>95</v>
      </c>
      <c r="X841" t="s">
        <v>96</v>
      </c>
      <c r="Y841" s="23" t="s">
        <v>97</v>
      </c>
      <c r="AA841">
        <v>28</v>
      </c>
      <c r="AB841" t="s">
        <v>3368</v>
      </c>
      <c r="AC841" t="s">
        <v>3339</v>
      </c>
      <c r="AE841" s="2"/>
      <c r="AF841"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0.490627308809127</v>
      </c>
      <c r="AH841">
        <f>_xlfn.LET(_xlpm.pct, FINI_grouping_for_wheel[[#This Row],[% forecast within subgroup]], _xlpm.lote, FINI_grouping_for_wheel[[#This Row],[Lot size considered]], _xlpm.pct*_xlpm.lote)</f>
        <v>3728.1134473901584</v>
      </c>
      <c r="AI841" cm="1" t="str">
        <f t="array" aca="1" ref="AI841" ca="1">IFERROR(INDIRECT("FINI_grouping_for_wheel[@["&amp;FINI_grouping_for_wheel[[#This Row],[Selected PV]]&amp;"]]"),"")</f>
        <v/>
      </c>
      <c r="AJ84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9.9</v>
      </c>
      <c r="AL841" s="4"/>
      <c r="AM84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4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41" t="str">
        <f>_xlfn.CONCAT(FINI_grouping_for_wheel[[#This Row],[Recipe Combination]],FINI_grouping_for_wheel[[#This Row],[Subgroup]])</f>
        <v>E</v>
      </c>
    </row>
    <row r="842" spans="1:55" hidden="1">
      <c r="A842" t="s">
        <v>12</v>
      </c>
      <c r="B842">
        <v>4799594</v>
      </c>
      <c r="C842" t="s">
        <v>3335</v>
      </c>
      <c r="D842">
        <v>7598.66680972</v>
      </c>
      <c r="E842">
        <v>19</v>
      </c>
      <c r="F842">
        <v>0.38</v>
      </c>
      <c r="G842" t="s">
        <v>3369</v>
      </c>
      <c r="H842" t="s">
        <v>3370</v>
      </c>
      <c r="I842">
        <v>380</v>
      </c>
      <c r="J842" t="s">
        <v>90</v>
      </c>
      <c r="K842" t="s">
        <v>146</v>
      </c>
      <c r="L842" t="s">
        <v>147</v>
      </c>
      <c r="M842">
        <v>164.562795</v>
      </c>
      <c r="N842">
        <v>0.65825118</v>
      </c>
      <c r="O842">
        <v>164.562795</v>
      </c>
      <c r="P842">
        <v>137808.90981</v>
      </c>
      <c r="Q842">
        <v>1</v>
      </c>
      <c r="R842">
        <v>7598.66680972</v>
      </c>
      <c r="S842" t="s">
        <v>148</v>
      </c>
      <c r="T842" t="s">
        <v>93</v>
      </c>
      <c r="U842">
        <v>0.5</v>
      </c>
      <c r="V842" t="s">
        <v>149</v>
      </c>
      <c r="W842" t="s">
        <v>142</v>
      </c>
      <c r="X842" t="s">
        <v>150</v>
      </c>
      <c r="Y842" s="23" t="s">
        <v>151</v>
      </c>
      <c r="AA842">
        <v>11544</v>
      </c>
      <c r="AB842" t="s">
        <v>3371</v>
      </c>
      <c r="AC842" t="s">
        <v>3339</v>
      </c>
      <c r="AE842" s="2"/>
      <c r="AF842"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0.0011941375577739215</v>
      </c>
      <c r="AH842">
        <f>_xlfn.LET(_xlpm.pct, FINI_grouping_for_wheel[[#This Row],[% forecast within subgroup]], _xlpm.lote, FINI_grouping_for_wheel[[#This Row],[Lot size considered]], _xlpm.pct*_xlpm.lote)</f>
        <v>9.073853426496797</v>
      </c>
      <c r="AI842" cm="1" t="str">
        <f t="array" aca="1" ref="AI842" ca="1">IFERROR(INDIRECT("FINI_grouping_for_wheel[@["&amp;FINI_grouping_for_wheel[[#This Row],[Selected PV]]&amp;"]]"),"")</f>
        <v/>
      </c>
      <c r="AJ84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v>
      </c>
      <c r="AL842" s="4"/>
      <c r="AM84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4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42" t="str">
        <f>_xlfn.CONCAT(FINI_grouping_for_wheel[[#This Row],[Recipe Combination]],FINI_grouping_for_wheel[[#This Row],[Subgroup]])</f>
        <v>I</v>
      </c>
    </row>
    <row r="843" spans="1:55" hidden="1">
      <c r="A843" t="s">
        <v>12</v>
      </c>
      <c r="B843">
        <v>4799594</v>
      </c>
      <c r="C843" t="s">
        <v>3335</v>
      </c>
      <c r="D843">
        <v>7598.66680972</v>
      </c>
      <c r="E843">
        <v>19</v>
      </c>
      <c r="F843">
        <v>0.38</v>
      </c>
      <c r="G843" t="s">
        <v>3372</v>
      </c>
      <c r="H843" t="s">
        <v>3373</v>
      </c>
      <c r="I843">
        <v>440</v>
      </c>
      <c r="J843" t="s">
        <v>90</v>
      </c>
      <c r="K843" t="s">
        <v>385</v>
      </c>
      <c r="L843" t="s">
        <v>386</v>
      </c>
      <c r="M843">
        <v>7387.5672</v>
      </c>
      <c r="N843">
        <v>29.5502688</v>
      </c>
      <c r="O843">
        <v>7387.5672</v>
      </c>
      <c r="P843">
        <v>137808.90981</v>
      </c>
      <c r="Q843">
        <v>1</v>
      </c>
      <c r="R843">
        <v>7598.66680972</v>
      </c>
      <c r="S843" t="s">
        <v>619</v>
      </c>
      <c r="T843" t="s">
        <v>93</v>
      </c>
      <c r="U843">
        <v>10</v>
      </c>
      <c r="V843" t="s">
        <v>94</v>
      </c>
      <c r="W843" t="s">
        <v>95</v>
      </c>
      <c r="X843" t="s">
        <v>96</v>
      </c>
      <c r="Y843" s="23" t="s">
        <v>97</v>
      </c>
      <c r="AA843">
        <v>257</v>
      </c>
      <c r="AB843" t="s">
        <v>3374</v>
      </c>
      <c r="AC843" t="s">
        <v>3339</v>
      </c>
      <c r="AE843" s="2"/>
      <c r="AF843"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0.053607326334599074</v>
      </c>
      <c r="AH843">
        <f>_xlfn.LET(_xlpm.pct, FINI_grouping_for_wheel[[#This Row],[% forecast within subgroup]], _xlpm.lote, FINI_grouping_for_wheel[[#This Row],[Lot size considered]], _xlpm.pct*_xlpm.lote)</f>
        <v>407.34421137654687</v>
      </c>
      <c r="AI843" cm="1" t="str">
        <f t="array" aca="1" ref="AI843" ca="1">IFERROR(INDIRECT("FINI_grouping_for_wheel[@["&amp;FINI_grouping_for_wheel[[#This Row],[Selected PV]]&amp;"]]"),"")</f>
        <v/>
      </c>
      <c r="AJ84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v>
      </c>
      <c r="AL843" s="4"/>
      <c r="AM84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4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43" t="str">
        <f>_xlfn.CONCAT(FINI_grouping_for_wheel[[#This Row],[Recipe Combination]],FINI_grouping_for_wheel[[#This Row],[Subgroup]])</f>
        <v>J</v>
      </c>
    </row>
    <row r="844" spans="1:55" hidden="1">
      <c r="A844" t="s">
        <v>12</v>
      </c>
      <c r="B844">
        <v>4799594</v>
      </c>
      <c r="C844" t="s">
        <v>3335</v>
      </c>
      <c r="D844">
        <v>7598.66680972</v>
      </c>
      <c r="E844">
        <v>19</v>
      </c>
      <c r="F844">
        <v>0.38</v>
      </c>
      <c r="G844" t="s">
        <v>3375</v>
      </c>
      <c r="H844" t="s">
        <v>3376</v>
      </c>
      <c r="I844">
        <v>495</v>
      </c>
      <c r="J844" t="s">
        <v>90</v>
      </c>
      <c r="K844" t="s">
        <v>312</v>
      </c>
      <c r="L844" t="s">
        <v>313</v>
      </c>
      <c r="M844">
        <v>194.16042</v>
      </c>
      <c r="N844">
        <v>0.77664168</v>
      </c>
      <c r="O844">
        <v>3291.2559</v>
      </c>
      <c r="P844">
        <v>137808.90981</v>
      </c>
      <c r="Q844">
        <v>5.8992805755395686E-2</v>
      </c>
      <c r="R844">
        <v>448.266675106</v>
      </c>
      <c r="S844" t="s">
        <v>314</v>
      </c>
      <c r="T844" t="s">
        <v>93</v>
      </c>
      <c r="U844">
        <v>1</v>
      </c>
      <c r="V844" t="s">
        <v>315</v>
      </c>
      <c r="W844" t="s">
        <v>142</v>
      </c>
      <c r="X844" t="s">
        <v>150</v>
      </c>
      <c r="Y844" s="23" t="s">
        <v>151</v>
      </c>
      <c r="AA844">
        <v>9784</v>
      </c>
      <c r="AB844" t="s">
        <v>3377</v>
      </c>
      <c r="AC844" t="s">
        <v>3339</v>
      </c>
      <c r="AE844" s="2"/>
      <c r="AF844"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0.0014089104998195909</v>
      </c>
      <c r="AH844">
        <f>_xlfn.LET(_xlpm.pct, FINI_grouping_for_wheel[[#This Row],[% forecast within subgroup]], _xlpm.lote, FINI_grouping_for_wheel[[#This Row],[Lot size considered]], _xlpm.pct*_xlpm.lote)</f>
        <v>10.70584145284514</v>
      </c>
      <c r="AI844" cm="1" t="str">
        <f t="array" aca="1" ref="AI844" ca="1">IFERROR(INDIRECT("FINI_grouping_for_wheel[@["&amp;FINI_grouping_for_wheel[[#This Row],[Selected PV]]&amp;"]]"),"")</f>
        <v/>
      </c>
      <c r="AJ84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v>
      </c>
      <c r="AL844" s="4"/>
      <c r="AM84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4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44" t="str">
        <f>_xlfn.CONCAT(FINI_grouping_for_wheel[[#This Row],[Recipe Combination]],FINI_grouping_for_wheel[[#This Row],[Subgroup]])</f>
        <v>K</v>
      </c>
    </row>
    <row r="845" spans="1:55" hidden="1">
      <c r="A845" t="s">
        <v>12</v>
      </c>
      <c r="B845">
        <v>4799594</v>
      </c>
      <c r="C845" t="s">
        <v>3335</v>
      </c>
      <c r="D845">
        <v>7598.66680972</v>
      </c>
      <c r="E845">
        <v>19</v>
      </c>
      <c r="F845">
        <v>0.38</v>
      </c>
      <c r="G845" t="s">
        <v>3378</v>
      </c>
      <c r="H845" t="s">
        <v>3379</v>
      </c>
      <c r="I845">
        <v>528</v>
      </c>
      <c r="J845" t="s">
        <v>90</v>
      </c>
      <c r="K845" t="s">
        <v>312</v>
      </c>
      <c r="L845" t="s">
        <v>313</v>
      </c>
      <c r="M845">
        <v>407.26332</v>
      </c>
      <c r="N845">
        <v>1.62905328</v>
      </c>
      <c r="O845">
        <v>3291.2559</v>
      </c>
      <c r="P845">
        <v>137808.90981</v>
      </c>
      <c r="Q845">
        <v>0.12374100719424461</v>
      </c>
      <c r="R845">
        <v>940.266684368</v>
      </c>
      <c r="S845" t="s">
        <v>314</v>
      </c>
      <c r="T845" t="s">
        <v>93</v>
      </c>
      <c r="U845">
        <v>1</v>
      </c>
      <c r="V845" t="s">
        <v>315</v>
      </c>
      <c r="W845" t="s">
        <v>142</v>
      </c>
      <c r="X845" t="s">
        <v>150</v>
      </c>
      <c r="Y845" s="23" t="s">
        <v>151</v>
      </c>
      <c r="AA845">
        <v>4664</v>
      </c>
      <c r="AB845" t="s">
        <v>3380</v>
      </c>
      <c r="AC845" t="s">
        <v>3339</v>
      </c>
      <c r="AE845" s="2"/>
      <c r="AF845"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0.0029552756825484104</v>
      </c>
      <c r="AH845">
        <f>_xlfn.LET(_xlpm.pct, FINI_grouping_for_wheel[[#This Row],[% forecast within subgroup]], _xlpm.lote, FINI_grouping_for_wheel[[#This Row],[Lot size considered]], _xlpm.pct*_xlpm.lote)</f>
        <v>22.456155242553226</v>
      </c>
      <c r="AI845" cm="1" t="str">
        <f t="array" aca="1" ref="AI845" ca="1">IFERROR(INDIRECT("FINI_grouping_for_wheel[@["&amp;FINI_grouping_for_wheel[[#This Row],[Selected PV]]&amp;"]]"),"")</f>
        <v/>
      </c>
      <c r="AJ84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v>
      </c>
      <c r="AL845" s="4"/>
      <c r="AM84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4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45" t="str">
        <f>_xlfn.CONCAT(FINI_grouping_for_wheel[[#This Row],[Recipe Combination]],FINI_grouping_for_wheel[[#This Row],[Subgroup]])</f>
        <v>K</v>
      </c>
    </row>
    <row r="846" spans="1:55" hidden="1">
      <c r="A846" t="s">
        <v>12</v>
      </c>
      <c r="B846">
        <v>4799594</v>
      </c>
      <c r="C846" t="s">
        <v>3335</v>
      </c>
      <c r="D846">
        <v>7598.66680972</v>
      </c>
      <c r="E846">
        <v>19</v>
      </c>
      <c r="F846">
        <v>0.38</v>
      </c>
      <c r="G846" t="s">
        <v>3381</v>
      </c>
      <c r="H846" t="s">
        <v>3382</v>
      </c>
      <c r="I846">
        <v>462</v>
      </c>
      <c r="J846" t="s">
        <v>90</v>
      </c>
      <c r="M846">
        <v>1983.040875</v>
      </c>
      <c r="N846">
        <v>7.9321635</v>
      </c>
      <c r="O846">
        <v>3291.2559</v>
      </c>
      <c r="P846">
        <v>137808.90981</v>
      </c>
      <c r="Q846">
        <v>0.60251798561151082</v>
      </c>
      <c r="R846">
        <v>4578.33341953</v>
      </c>
      <c r="S846" t="s">
        <v>314</v>
      </c>
      <c r="T846" t="s">
        <v>93</v>
      </c>
      <c r="U846">
        <v>1</v>
      </c>
      <c r="AA846">
        <v>958</v>
      </c>
      <c r="AB846" t="s">
        <v>3383</v>
      </c>
      <c r="AC846" t="s">
        <v>3339</v>
      </c>
      <c r="AE846" s="2"/>
      <c r="AF846"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0.014389787117059846</v>
      </c>
      <c r="AH846">
        <f>_xlfn.LET(_xlpm.pct, FINI_grouping_for_wheel[[#This Row],[% forecast within subgroup]], _xlpm.lote, FINI_grouping_for_wheel[[#This Row],[Lot size considered]], _xlpm.pct*_xlpm.lote)</f>
        <v>109.3431977653391</v>
      </c>
      <c r="AI846" cm="1" t="str">
        <f t="array" aca="1" ref="AI846" ca="1">IFERROR(INDIRECT("FINI_grouping_for_wheel[@["&amp;FINI_grouping_for_wheel[[#This Row],[Selected PV]]&amp;"]]"),"")</f>
        <v/>
      </c>
      <c r="AJ84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0.3</v>
      </c>
      <c r="AL846" s="4"/>
      <c r="AM84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4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46" t="str">
        <f>_xlfn.CONCAT(FINI_grouping_for_wheel[[#This Row],[Recipe Combination]],FINI_grouping_for_wheel[[#This Row],[Subgroup]])</f>
        <v>K</v>
      </c>
    </row>
    <row r="847" spans="1:55" hidden="1">
      <c r="A847" t="s">
        <v>12</v>
      </c>
      <c r="B847">
        <v>4799594</v>
      </c>
      <c r="C847" t="s">
        <v>3335</v>
      </c>
      <c r="D847">
        <v>7598.66680972</v>
      </c>
      <c r="E847">
        <v>19</v>
      </c>
      <c r="F847">
        <v>0.38</v>
      </c>
      <c r="G847" t="s">
        <v>3384</v>
      </c>
      <c r="H847" t="s">
        <v>3385</v>
      </c>
      <c r="I847">
        <v>396</v>
      </c>
      <c r="J847" t="s">
        <v>90</v>
      </c>
      <c r="K847" t="s">
        <v>1558</v>
      </c>
      <c r="L847" t="s">
        <v>1559</v>
      </c>
      <c r="M847">
        <v>706.791285</v>
      </c>
      <c r="N847">
        <v>2.82716514</v>
      </c>
      <c r="O847">
        <v>3291.2559</v>
      </c>
      <c r="P847">
        <v>137808.90981</v>
      </c>
      <c r="Q847">
        <v>0.21474820143884893</v>
      </c>
      <c r="R847">
        <v>1631.80003072</v>
      </c>
      <c r="S847" t="s">
        <v>314</v>
      </c>
      <c r="T847" t="s">
        <v>93</v>
      </c>
      <c r="U847">
        <v>1</v>
      </c>
      <c r="V847" t="s">
        <v>315</v>
      </c>
      <c r="W847" t="s">
        <v>142</v>
      </c>
      <c r="X847" t="s">
        <v>150</v>
      </c>
      <c r="Y847" s="23" t="s">
        <v>151</v>
      </c>
      <c r="AA847">
        <v>2688</v>
      </c>
      <c r="AB847" t="s">
        <v>3386</v>
      </c>
      <c r="AC847" t="s">
        <v>3339</v>
      </c>
      <c r="AE847" s="2"/>
      <c r="AF847"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0.005128777856050584</v>
      </c>
      <c r="AH847">
        <f>_xlfn.LET(_xlpm.pct, FINI_grouping_for_wheel[[#This Row],[% forecast within subgroup]], _xlpm.lote, FINI_grouping_for_wheel[[#This Row],[Lot size considered]], _xlpm.pct*_xlpm.lote)</f>
        <v>38.97187406919847</v>
      </c>
      <c r="AI847" cm="1" t="str">
        <f t="array" aca="1" ref="AI847" ca="1">IFERROR(INDIRECT("FINI_grouping_for_wheel[@["&amp;FINI_grouping_for_wheel[[#This Row],[Selected PV]]&amp;"]]"),"")</f>
        <v/>
      </c>
      <c r="AJ84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847" s="4"/>
      <c r="AM84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4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47" t="str">
        <f>_xlfn.CONCAT(FINI_grouping_for_wheel[[#This Row],[Recipe Combination]],FINI_grouping_for_wheel[[#This Row],[Subgroup]])</f>
        <v>K</v>
      </c>
    </row>
    <row r="848" spans="1:55" hidden="1">
      <c r="A848" t="s">
        <v>12</v>
      </c>
      <c r="B848">
        <v>4799594</v>
      </c>
      <c r="C848" t="s">
        <v>3335</v>
      </c>
      <c r="D848">
        <v>7598.66680972</v>
      </c>
      <c r="E848">
        <v>19</v>
      </c>
      <c r="F848">
        <v>0.38</v>
      </c>
      <c r="G848" t="s">
        <v>3387</v>
      </c>
      <c r="H848" t="s">
        <v>3388</v>
      </c>
      <c r="I848">
        <v>405</v>
      </c>
      <c r="J848" t="s">
        <v>90</v>
      </c>
      <c r="K848" t="s">
        <v>412</v>
      </c>
      <c r="L848" t="s">
        <v>413</v>
      </c>
      <c r="M848">
        <v>852.4116</v>
      </c>
      <c r="N848">
        <v>3.4096464</v>
      </c>
      <c r="O848">
        <v>852.4116</v>
      </c>
      <c r="P848">
        <v>137808.90981</v>
      </c>
      <c r="Q848">
        <v>1</v>
      </c>
      <c r="R848">
        <v>7598.66680972</v>
      </c>
      <c r="S848" t="s">
        <v>157</v>
      </c>
      <c r="T848" t="s">
        <v>93</v>
      </c>
      <c r="U848">
        <v>15</v>
      </c>
      <c r="V848" t="s">
        <v>408</v>
      </c>
      <c r="W848" t="s">
        <v>95</v>
      </c>
      <c r="X848" t="s">
        <v>96</v>
      </c>
      <c r="Y848" s="23" t="s">
        <v>97</v>
      </c>
      <c r="AA848">
        <v>2229</v>
      </c>
      <c r="AB848" t="s">
        <v>3389</v>
      </c>
      <c r="AC848" t="s">
        <v>3339</v>
      </c>
      <c r="AE848" s="2"/>
      <c r="AF848"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0.006185460730915277</v>
      </c>
      <c r="AH848">
        <f>_xlfn.LET(_xlpm.pct, FINI_grouping_for_wheel[[#This Row],[% forecast within subgroup]], _xlpm.lote, FINI_grouping_for_wheel[[#This Row],[Lot size considered]], _xlpm.pct*_xlpm.lote)</f>
        <v>47.00125515883233</v>
      </c>
      <c r="AI848" cm="1" t="str">
        <f t="array" aca="1" ref="AI848" ca="1">IFERROR(INDIRECT("FINI_grouping_for_wheel[@["&amp;FINI_grouping_for_wheel[[#This Row],[Selected PV]]&amp;"]]"),"")</f>
        <v/>
      </c>
      <c r="AJ84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848" s="4"/>
      <c r="AM84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4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48" t="str">
        <f>_xlfn.CONCAT(FINI_grouping_for_wheel[[#This Row],[Recipe Combination]],FINI_grouping_for_wheel[[#This Row],[Subgroup]])</f>
        <v>M</v>
      </c>
    </row>
    <row r="849" spans="1:55" hidden="1">
      <c r="A849" t="s">
        <v>12</v>
      </c>
      <c r="B849">
        <v>4799594</v>
      </c>
      <c r="C849" t="s">
        <v>3335</v>
      </c>
      <c r="D849">
        <v>7598.66680972</v>
      </c>
      <c r="E849">
        <v>19</v>
      </c>
      <c r="F849">
        <v>0.38</v>
      </c>
      <c r="G849" t="s">
        <v>3390</v>
      </c>
      <c r="H849" t="s">
        <v>3391</v>
      </c>
      <c r="I849">
        <v>300</v>
      </c>
      <c r="J849" t="s">
        <v>90</v>
      </c>
      <c r="K849" t="s">
        <v>440</v>
      </c>
      <c r="L849" t="s">
        <v>441</v>
      </c>
      <c r="M849">
        <v>3220.2216</v>
      </c>
      <c r="N849">
        <v>12.8808864</v>
      </c>
      <c r="O849">
        <v>3220.2216</v>
      </c>
      <c r="P849">
        <v>137808.90981</v>
      </c>
      <c r="Q849">
        <v>1</v>
      </c>
      <c r="R849">
        <v>7598.66680972</v>
      </c>
      <c r="S849" t="s">
        <v>173</v>
      </c>
      <c r="T849" t="s">
        <v>93</v>
      </c>
      <c r="U849">
        <v>5</v>
      </c>
      <c r="V849" t="s">
        <v>119</v>
      </c>
      <c r="W849" t="s">
        <v>95</v>
      </c>
      <c r="X849" t="s">
        <v>96</v>
      </c>
      <c r="Y849" s="23" t="s">
        <v>120</v>
      </c>
      <c r="AA849">
        <v>590</v>
      </c>
      <c r="AB849" t="s">
        <v>3392</v>
      </c>
      <c r="AC849" t="s">
        <v>3339</v>
      </c>
      <c r="AE849" s="2"/>
      <c r="AF849"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0.023367296094568824</v>
      </c>
      <c r="AH849">
        <f>_xlfn.LET(_xlpm.pct, FINI_grouping_for_wheel[[#This Row],[% forecast within subgroup]], _xlpm.lote, FINI_grouping_for_wheel[[#This Row],[Lot size considered]], _xlpm.pct*_xlpm.lote)</f>
        <v>177.5602972666999</v>
      </c>
      <c r="AI849" cm="1" t="str">
        <f t="array" aca="1" ref="AI849" ca="1">IFERROR(INDIRECT("FINI_grouping_for_wheel[@["&amp;FINI_grouping_for_wheel[[#This Row],[Selected PV]]&amp;"]]"),"")</f>
        <v/>
      </c>
      <c r="AJ84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0.7</v>
      </c>
      <c r="AL849" s="4"/>
      <c r="AM84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4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49" t="str">
        <f>_xlfn.CONCAT(FINI_grouping_for_wheel[[#This Row],[Recipe Combination]],FINI_grouping_for_wheel[[#This Row],[Subgroup]])</f>
        <v>P</v>
      </c>
    </row>
    <row r="850" spans="1:55" hidden="1">
      <c r="A850" t="s">
        <v>12</v>
      </c>
      <c r="B850">
        <v>4799594</v>
      </c>
      <c r="C850" t="s">
        <v>3335</v>
      </c>
      <c r="D850">
        <v>7598.66680972</v>
      </c>
      <c r="E850">
        <v>19</v>
      </c>
      <c r="F850">
        <v>0.38</v>
      </c>
      <c r="G850" t="s">
        <v>3393</v>
      </c>
      <c r="H850" t="s">
        <v>3394</v>
      </c>
      <c r="I850">
        <v>375</v>
      </c>
      <c r="J850" t="s">
        <v>90</v>
      </c>
      <c r="K850" t="s">
        <v>3395</v>
      </c>
      <c r="L850" t="s">
        <v>3396</v>
      </c>
      <c r="M850">
        <v>16400.635965</v>
      </c>
      <c r="N850">
        <v>65.60254386</v>
      </c>
      <c r="O850">
        <v>16400.635965</v>
      </c>
      <c r="P850">
        <v>137808.90981</v>
      </c>
      <c r="Q850">
        <v>1</v>
      </c>
      <c r="R850">
        <v>7598.66680972</v>
      </c>
      <c r="S850" t="s">
        <v>346</v>
      </c>
      <c r="T850" t="s">
        <v>93</v>
      </c>
      <c r="U850">
        <v>2.5</v>
      </c>
      <c r="V850" t="s">
        <v>105</v>
      </c>
      <c r="W850" t="s">
        <v>95</v>
      </c>
      <c r="X850" t="s">
        <v>106</v>
      </c>
      <c r="Y850" s="23" t="s">
        <v>107</v>
      </c>
      <c r="AA850">
        <v>116</v>
      </c>
      <c r="AB850" t="s">
        <v>3397</v>
      </c>
      <c r="AC850" t="s">
        <v>3339</v>
      </c>
      <c r="AE850" s="2"/>
      <c r="AF850"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0.11900998264634631</v>
      </c>
      <c r="AH850">
        <f>_xlfn.LET(_xlpm.pct, FINI_grouping_for_wheel[[#This Row],[% forecast within subgroup]], _xlpm.lote, FINI_grouping_for_wheel[[#This Row],[Lot size considered]], _xlpm.pct*_xlpm.lote)</f>
        <v>904.3172051601449</v>
      </c>
      <c r="AI850" cm="1" t="str">
        <f t="array" aca="1" ref="AI850" ca="1">IFERROR(INDIRECT("FINI_grouping_for_wheel[@["&amp;FINI_grouping_for_wheel[[#This Row],[Selected PV]]&amp;"]]"),"")</f>
        <v/>
      </c>
      <c r="AJ85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v>
      </c>
      <c r="AL850" s="4"/>
      <c r="AM85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5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50" t="str">
        <f>_xlfn.CONCAT(FINI_grouping_for_wheel[[#This Row],[Recipe Combination]],FINI_grouping_for_wheel[[#This Row],[Subgroup]])</f>
        <v>Q</v>
      </c>
    </row>
    <row r="851" spans="1:55" hidden="1">
      <c r="A851" t="s">
        <v>12</v>
      </c>
      <c r="B851">
        <v>4799594</v>
      </c>
      <c r="C851" t="s">
        <v>3335</v>
      </c>
      <c r="D851">
        <v>7598.66680972</v>
      </c>
      <c r="E851">
        <v>19</v>
      </c>
      <c r="F851">
        <v>0.38</v>
      </c>
      <c r="G851" t="s">
        <v>3398</v>
      </c>
      <c r="H851" t="s">
        <v>3399</v>
      </c>
      <c r="I851">
        <v>240</v>
      </c>
      <c r="J851" t="s">
        <v>90</v>
      </c>
      <c r="K851" t="s">
        <v>3400</v>
      </c>
      <c r="L851" t="s">
        <v>3401</v>
      </c>
      <c r="M851">
        <v>11791.6938</v>
      </c>
      <c r="N851">
        <v>47.1667752</v>
      </c>
      <c r="O851">
        <v>14047.032825</v>
      </c>
      <c r="P851">
        <v>137808.90981</v>
      </c>
      <c r="Q851">
        <v>0.83944374209860939</v>
      </c>
      <c r="R851">
        <v>6378.65330171</v>
      </c>
      <c r="S851" t="s">
        <v>195</v>
      </c>
      <c r="T851" t="s">
        <v>93</v>
      </c>
      <c r="U851">
        <v>5</v>
      </c>
      <c r="V851" t="s">
        <v>196</v>
      </c>
      <c r="W851" t="s">
        <v>95</v>
      </c>
      <c r="X851" t="s">
        <v>106</v>
      </c>
      <c r="Y851" s="23" t="s">
        <v>107</v>
      </c>
      <c r="AA851">
        <v>161</v>
      </c>
      <c r="AB851" t="s">
        <v>3402</v>
      </c>
      <c r="AC851" t="s">
        <v>3339</v>
      </c>
      <c r="AE851" s="2"/>
      <c r="AF851"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0.08556554011099467</v>
      </c>
      <c r="AH851">
        <f>_xlfn.LET(_xlpm.pct, FINI_grouping_for_wheel[[#This Row],[% forecast within subgroup]], _xlpm.lote, FINI_grouping_for_wheel[[#This Row],[Lot size considered]], _xlpm.pct*_xlpm.lote)</f>
        <v>650.1840296971806</v>
      </c>
      <c r="AI851" cm="1" t="str">
        <f t="array" aca="1" ref="AI851" ca="1">IFERROR(INDIRECT("FINI_grouping_for_wheel[@["&amp;FINI_grouping_for_wheel[[#This Row],[Selected PV]]&amp;"]]"),"")</f>
        <v/>
      </c>
      <c r="AJ85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3.2</v>
      </c>
      <c r="AL851" s="4"/>
      <c r="AM85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5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51" t="str">
        <f>_xlfn.CONCAT(FINI_grouping_for_wheel[[#This Row],[Recipe Combination]],FINI_grouping_for_wheel[[#This Row],[Subgroup]])</f>
        <v>S</v>
      </c>
    </row>
    <row r="852" spans="1:55" hidden="1">
      <c r="A852" t="s">
        <v>12</v>
      </c>
      <c r="B852">
        <v>4799594</v>
      </c>
      <c r="C852" t="s">
        <v>3335</v>
      </c>
      <c r="D852">
        <v>7598.66680972</v>
      </c>
      <c r="E852">
        <v>19</v>
      </c>
      <c r="F852">
        <v>0.38</v>
      </c>
      <c r="G852" t="s">
        <v>3403</v>
      </c>
      <c r="H852" t="s">
        <v>3404</v>
      </c>
      <c r="I852">
        <v>320</v>
      </c>
      <c r="J852" t="s">
        <v>90</v>
      </c>
      <c r="K852" t="s">
        <v>2558</v>
      </c>
      <c r="L852" t="s">
        <v>2559</v>
      </c>
      <c r="M852">
        <v>2255.339025</v>
      </c>
      <c r="N852">
        <v>9.0213561</v>
      </c>
      <c r="O852">
        <v>14047.032825</v>
      </c>
      <c r="P852">
        <v>137808.90981</v>
      </c>
      <c r="Q852">
        <v>0.16055625790139064</v>
      </c>
      <c r="R852">
        <v>1220.01350801</v>
      </c>
      <c r="S852" t="s">
        <v>195</v>
      </c>
      <c r="T852" t="s">
        <v>93</v>
      </c>
      <c r="U852">
        <v>5</v>
      </c>
      <c r="V852" t="s">
        <v>657</v>
      </c>
      <c r="W852" t="s">
        <v>95</v>
      </c>
      <c r="X852" t="s">
        <v>106</v>
      </c>
      <c r="Y852" s="23" t="s">
        <v>107</v>
      </c>
      <c r="AA852">
        <v>842</v>
      </c>
      <c r="AB852" t="s">
        <v>3405</v>
      </c>
      <c r="AC852" t="s">
        <v>3339</v>
      </c>
      <c r="AE852" s="2"/>
      <c r="AF852" t="str">
        <f>_xlfn.CONCAT(FINI_grouping_for_wheel[[#This Row],[SEFI/Plant]],"/",IF(FINI_grouping_for_wheel[[#This Row],[RESET recipe combination]]&lt;&gt;"",FINI_grouping_for_wheel[[#This Row],[RESET recipe combination]],FINI_grouping_for_wheel[[#This Row],[Recipe Combination]]),"/",FINI_grouping_for_wheel[[#This Row],[Subgroup]])</f>
        <v>4799594/THDP/x/</v>
      </c>
      <c r="AG8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0.016365698183880006</v>
      </c>
      <c r="AH852">
        <f>_xlfn.LET(_xlpm.pct, FINI_grouping_for_wheel[[#This Row],[% forecast within subgroup]], _xlpm.lote, FINI_grouping_for_wheel[[#This Row],[Lot size considered]], _xlpm.pct*_xlpm.lote)</f>
        <v>124.35748760774389</v>
      </c>
      <c r="AI852" cm="1" t="str">
        <f t="array" aca="1" ref="AI852" ca="1">IFERROR(INDIRECT("FINI_grouping_for_wheel[@["&amp;FINI_grouping_for_wheel[[#This Row],[Selected PV]]&amp;"]]"),"")</f>
        <v/>
      </c>
      <c r="AJ85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8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0.5</v>
      </c>
      <c r="AL852" s="4"/>
      <c r="AM85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5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52" t="str">
        <f>_xlfn.CONCAT(FINI_grouping_for_wheel[[#This Row],[Recipe Combination]],FINI_grouping_for_wheel[[#This Row],[Subgroup]])</f>
        <v>S</v>
      </c>
    </row>
    <row r="853" spans="1:55" hidden="1">
      <c r="A853" t="s">
        <v>12</v>
      </c>
      <c r="B853">
        <v>4305699</v>
      </c>
      <c r="C853" t="s">
        <v>3406</v>
      </c>
      <c r="D853">
        <v>8721.57675373</v>
      </c>
      <c r="E853">
        <v>18</v>
      </c>
      <c r="F853">
        <v>0.36</v>
      </c>
      <c r="G853" t="s">
        <v>3407</v>
      </c>
      <c r="H853" t="s">
        <v>3408</v>
      </c>
      <c r="I853">
        <v>450</v>
      </c>
      <c r="J853" t="s">
        <v>90</v>
      </c>
      <c r="K853" t="s">
        <v>264</v>
      </c>
      <c r="L853" t="s">
        <v>265</v>
      </c>
      <c r="M853">
        <v>15674.9022</v>
      </c>
      <c r="N853">
        <v>62.6996088</v>
      </c>
      <c r="O853">
        <v>75024.05985</v>
      </c>
      <c r="P853">
        <v>156467.25261</v>
      </c>
      <c r="Q853">
        <v>0.20893167113776234</v>
      </c>
      <c r="R853">
        <v>1822.21360611</v>
      </c>
      <c r="S853" t="s">
        <v>594</v>
      </c>
      <c r="T853" t="s">
        <v>93</v>
      </c>
      <c r="U853">
        <v>2.5</v>
      </c>
      <c r="V853" t="s">
        <v>267</v>
      </c>
      <c r="W853" t="s">
        <v>142</v>
      </c>
      <c r="X853" t="s">
        <v>150</v>
      </c>
      <c r="Y853" s="23" t="s">
        <v>151</v>
      </c>
      <c r="AA853">
        <v>139</v>
      </c>
      <c r="AB853" t="s">
        <v>3409</v>
      </c>
      <c r="AC853" t="s">
        <v>3410</v>
      </c>
      <c r="AE853" s="2"/>
      <c r="AF853" t="str">
        <f>_xlfn.CONCAT(FINI_grouping_for_wheel[[#This Row],[SEFI/Plant]],"/",IF(FINI_grouping_for_wheel[[#This Row],[RESET recipe combination]]&lt;&gt;"",FINI_grouping_for_wheel[[#This Row],[RESET recipe combination]],FINI_grouping_for_wheel[[#This Row],[Recipe Combination]]),"/",FINI_grouping_for_wheel[[#This Row],[Subgroup]])</f>
        <v>4305699/THDP/x/</v>
      </c>
      <c r="AG8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0.10018008202055054</v>
      </c>
      <c r="AH853">
        <f>_xlfn.LET(_xlpm.pct, FINI_grouping_for_wheel[[#This Row],[% forecast within subgroup]], _xlpm.lote, FINI_grouping_for_wheel[[#This Row],[Lot size considered]], _xlpm.pct*_xlpm.lote)</f>
        <v>873.7282745371983</v>
      </c>
      <c r="AI853" cm="1" t="str">
        <f t="array" aca="1" ref="AI853" ca="1">IFERROR(INDIRECT("FINI_grouping_for_wheel[@["&amp;FINI_grouping_for_wheel[[#This Row],[Selected PV]]&amp;"]]"),"")</f>
        <v/>
      </c>
      <c r="AJ85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8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v>
      </c>
      <c r="AL853" s="4"/>
      <c r="AM85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5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53" t="str">
        <f>_xlfn.CONCAT(FINI_grouping_for_wheel[[#This Row],[Recipe Combination]],FINI_grouping_for_wheel[[#This Row],[Subgroup]])</f>
        <v>4</v>
      </c>
    </row>
    <row r="854" spans="1:55" hidden="1">
      <c r="A854" t="s">
        <v>12</v>
      </c>
      <c r="B854">
        <v>4305699</v>
      </c>
      <c r="C854" t="s">
        <v>3406</v>
      </c>
      <c r="D854">
        <v>8721.57675373</v>
      </c>
      <c r="E854">
        <v>18</v>
      </c>
      <c r="F854">
        <v>0.36</v>
      </c>
      <c r="G854" t="s">
        <v>3411</v>
      </c>
      <c r="H854" t="s">
        <v>3412</v>
      </c>
      <c r="I854">
        <v>390</v>
      </c>
      <c r="J854" t="s">
        <v>90</v>
      </c>
      <c r="K854" t="s">
        <v>515</v>
      </c>
      <c r="L854" t="s">
        <v>516</v>
      </c>
      <c r="M854">
        <v>27531.710775</v>
      </c>
      <c r="N854">
        <v>110.1268431</v>
      </c>
      <c r="O854">
        <v>75024.05985</v>
      </c>
      <c r="P854">
        <v>156467.25261</v>
      </c>
      <c r="Q854">
        <v>0.36697175319551839</v>
      </c>
      <c r="R854">
        <v>3200.57231194</v>
      </c>
      <c r="S854" t="s">
        <v>594</v>
      </c>
      <c r="T854" t="s">
        <v>93</v>
      </c>
      <c r="U854">
        <v>5</v>
      </c>
      <c r="V854" t="s">
        <v>518</v>
      </c>
      <c r="W854" t="s">
        <v>142</v>
      </c>
      <c r="X854" t="s">
        <v>150</v>
      </c>
      <c r="Y854" s="23" t="s">
        <v>151</v>
      </c>
      <c r="AA854">
        <v>79</v>
      </c>
      <c r="AB854" t="s">
        <v>3413</v>
      </c>
      <c r="AC854" t="s">
        <v>3410</v>
      </c>
      <c r="AE854" s="2"/>
      <c r="AF854" t="str">
        <f>_xlfn.CONCAT(FINI_grouping_for_wheel[[#This Row],[SEFI/Plant]],"/",IF(FINI_grouping_for_wheel[[#This Row],[RESET recipe combination]]&lt;&gt;"",FINI_grouping_for_wheel[[#This Row],[RESET recipe combination]],FINI_grouping_for_wheel[[#This Row],[Recipe Combination]]),"/",FINI_grouping_for_wheel[[#This Row],[Subgroup]])</f>
        <v>4305699/THDP/x/</v>
      </c>
      <c r="AG8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0.17595829360935822</v>
      </c>
      <c r="AH854">
        <f>_xlfn.LET(_xlpm.pct, FINI_grouping_for_wheel[[#This Row],[% forecast within subgroup]], _xlpm.lote, FINI_grouping_for_wheel[[#This Row],[Lot size considered]], _xlpm.pct*_xlpm.lote)</f>
        <v>1534.6337631693766</v>
      </c>
      <c r="AI854" cm="1" t="str">
        <f t="array" aca="1" ref="AI854" ca="1">IFERROR(INDIRECT("FINI_grouping_for_wheel[@["&amp;FINI_grouping_for_wheel[[#This Row],[Selected PV]]&amp;"]]"),"")</f>
        <v/>
      </c>
      <c r="AJ85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8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v>
      </c>
      <c r="AL854" s="4"/>
      <c r="AM85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5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54" t="str">
        <f>_xlfn.CONCAT(FINI_grouping_for_wheel[[#This Row],[Recipe Combination]],FINI_grouping_for_wheel[[#This Row],[Subgroup]])</f>
        <v>4</v>
      </c>
    </row>
    <row r="855" spans="1:55" hidden="1">
      <c r="A855" t="s">
        <v>12</v>
      </c>
      <c r="B855">
        <v>4305699</v>
      </c>
      <c r="C855" t="s">
        <v>3406</v>
      </c>
      <c r="D855">
        <v>8721.57675373</v>
      </c>
      <c r="E855">
        <v>18</v>
      </c>
      <c r="F855">
        <v>0.36</v>
      </c>
      <c r="G855" t="s">
        <v>3414</v>
      </c>
      <c r="H855" t="s">
        <v>3415</v>
      </c>
      <c r="I855">
        <v>480</v>
      </c>
      <c r="J855" t="s">
        <v>90</v>
      </c>
      <c r="K855" t="s">
        <v>515</v>
      </c>
      <c r="L855" t="s">
        <v>516</v>
      </c>
      <c r="M855">
        <v>31817.446875</v>
      </c>
      <c r="N855">
        <v>127.2697875</v>
      </c>
      <c r="O855">
        <v>75024.05985</v>
      </c>
      <c r="P855">
        <v>156467.25261</v>
      </c>
      <c r="Q855">
        <v>0.42409657566671927</v>
      </c>
      <c r="R855">
        <v>3698.79083567</v>
      </c>
      <c r="S855" t="s">
        <v>594</v>
      </c>
      <c r="T855" t="s">
        <v>93</v>
      </c>
      <c r="U855">
        <v>5</v>
      </c>
      <c r="V855" t="s">
        <v>518</v>
      </c>
      <c r="W855" t="s">
        <v>142</v>
      </c>
      <c r="X855" t="s">
        <v>150</v>
      </c>
      <c r="Y855" s="23" t="s">
        <v>151</v>
      </c>
      <c r="AA855">
        <v>69</v>
      </c>
      <c r="AB855" t="s">
        <v>3416</v>
      </c>
      <c r="AC855" t="s">
        <v>3410</v>
      </c>
      <c r="AE855" s="2"/>
      <c r="AF855" t="str">
        <f>_xlfn.CONCAT(FINI_grouping_for_wheel[[#This Row],[SEFI/Plant]],"/",IF(FINI_grouping_for_wheel[[#This Row],[RESET recipe combination]]&lt;&gt;"",FINI_grouping_for_wheel[[#This Row],[RESET recipe combination]],FINI_grouping_for_wheel[[#This Row],[Recipe Combination]]),"/",FINI_grouping_for_wheel[[#This Row],[Subgroup]])</f>
        <v>4305699/THDP/x/</v>
      </c>
      <c r="AG8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0.20334892026452386</v>
      </c>
      <c r="AH855">
        <f>_xlfn.LET(_xlpm.pct, FINI_grouping_for_wheel[[#This Row],[% forecast within subgroup]], _xlpm.lote, FINI_grouping_for_wheel[[#This Row],[Lot size considered]], _xlpm.pct*_xlpm.lote)</f>
        <v>1773.5232158751667</v>
      </c>
      <c r="AI855" cm="1" t="str">
        <f t="array" aca="1" ref="AI855" ca="1">IFERROR(INDIRECT("FINI_grouping_for_wheel[@["&amp;FINI_grouping_for_wheel[[#This Row],[Selected PV]]&amp;"]]"),"")</f>
        <v/>
      </c>
      <c r="AJ85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8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3.8</v>
      </c>
      <c r="AL855" s="4"/>
      <c r="AM85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5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55" t="str">
        <f>_xlfn.CONCAT(FINI_grouping_for_wheel[[#This Row],[Recipe Combination]],FINI_grouping_for_wheel[[#This Row],[Subgroup]])</f>
        <v>4</v>
      </c>
    </row>
    <row r="856" spans="1:55">
      <c r="A856" t="s">
        <v>12</v>
      </c>
      <c r="B856">
        <v>4305699</v>
      </c>
      <c r="C856" t="s">
        <v>3406</v>
      </c>
      <c r="D856">
        <v>8721.57675373</v>
      </c>
      <c r="E856">
        <v>18</v>
      </c>
      <c r="F856">
        <v>0.36</v>
      </c>
      <c r="G856" t="s">
        <v>3417</v>
      </c>
      <c r="H856" t="s">
        <v>3418</v>
      </c>
      <c r="J856" t="s">
        <v>90</v>
      </c>
      <c r="K856" t="s">
        <v>3419</v>
      </c>
      <c r="L856" t="s">
        <v>3420</v>
      </c>
      <c r="M856">
        <v>12632.26635</v>
      </c>
      <c r="N856">
        <v>50.5290654</v>
      </c>
      <c r="O856">
        <v>12632.26635</v>
      </c>
      <c r="P856">
        <v>156467.25261</v>
      </c>
      <c r="Q856">
        <v>1</v>
      </c>
      <c r="R856">
        <v>8721.57675373</v>
      </c>
      <c r="S856" t="s">
        <v>517</v>
      </c>
      <c r="T856" t="s">
        <v>93</v>
      </c>
      <c r="U856">
        <v>10</v>
      </c>
      <c r="V856" t="s">
        <v>482</v>
      </c>
      <c r="W856" t="s">
        <v>159</v>
      </c>
      <c r="X856" t="s">
        <v>96</v>
      </c>
      <c r="Y856" s="23" t="s">
        <v>483</v>
      </c>
      <c r="AA856">
        <v>173</v>
      </c>
      <c r="AB856" t="s">
        <v>3421</v>
      </c>
      <c r="AC856" t="s">
        <v>3410</v>
      </c>
      <c r="AE856" s="2"/>
      <c r="AF856" t="str">
        <f>_xlfn.CONCAT(FINI_grouping_for_wheel[[#This Row],[SEFI/Plant]],"/",IF(FINI_grouping_for_wheel[[#This Row],[RESET recipe combination]]&lt;&gt;"",FINI_grouping_for_wheel[[#This Row],[RESET recipe combination]],FINI_grouping_for_wheel[[#This Row],[Recipe Combination]]),"/",FINI_grouping_for_wheel[[#This Row],[Subgroup]])</f>
        <v>4305699/THDP/x/</v>
      </c>
      <c r="AG8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0.08073425038967329</v>
      </c>
      <c r="AH856">
        <f>_xlfn.LET(_xlpm.pct, FINI_grouping_for_wheel[[#This Row],[% forecast within subgroup]], _xlpm.lote, FINI_grouping_for_wheel[[#This Row],[Lot size considered]], _xlpm.pct*_xlpm.lote)</f>
        <v>704.1299614283918</v>
      </c>
      <c r="AI856" cm="1" t="str">
        <f t="array" aca="1" ref="AI856" ca="1">IFERROR(INDIRECT("FINI_grouping_for_wheel[@["&amp;FINI_grouping_for_wheel[[#This Row],[Selected PV]]&amp;"]]"),"")</f>
        <v/>
      </c>
      <c r="AJ85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85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856" s="4"/>
      <c r="AM85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5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56" t="str">
        <f>_xlfn.CONCAT(FINI_grouping_for_wheel[[#This Row],[Recipe Combination]],FINI_grouping_for_wheel[[#This Row],[Subgroup]])</f>
        <v>5</v>
      </c>
    </row>
    <row r="857" spans="1:55" hidden="1">
      <c r="A857" t="s">
        <v>12</v>
      </c>
      <c r="B857">
        <v>4305699</v>
      </c>
      <c r="C857" t="s">
        <v>3406</v>
      </c>
      <c r="D857">
        <v>8721.57675373</v>
      </c>
      <c r="E857">
        <v>18</v>
      </c>
      <c r="F857">
        <v>0.36</v>
      </c>
      <c r="G857" t="s">
        <v>3422</v>
      </c>
      <c r="H857" t="s">
        <v>3423</v>
      </c>
      <c r="I857">
        <v>440</v>
      </c>
      <c r="J857" t="s">
        <v>90</v>
      </c>
      <c r="K857" t="s">
        <v>385</v>
      </c>
      <c r="L857" t="s">
        <v>386</v>
      </c>
      <c r="M857">
        <v>27324.5274</v>
      </c>
      <c r="N857">
        <v>109.2981096</v>
      </c>
      <c r="O857">
        <v>27324.5274</v>
      </c>
      <c r="P857">
        <v>156467.25261</v>
      </c>
      <c r="Q857">
        <v>1</v>
      </c>
      <c r="R857">
        <v>8721.57675373</v>
      </c>
      <c r="S857" t="s">
        <v>118</v>
      </c>
      <c r="T857" t="s">
        <v>93</v>
      </c>
      <c r="U857">
        <v>10</v>
      </c>
      <c r="V857" t="s">
        <v>94</v>
      </c>
      <c r="W857" t="s">
        <v>95</v>
      </c>
      <c r="X857" t="s">
        <v>96</v>
      </c>
      <c r="Y857" s="23" t="s">
        <v>97</v>
      </c>
      <c r="AA857">
        <v>80</v>
      </c>
      <c r="AB857" t="s">
        <v>3424</v>
      </c>
      <c r="AC857" t="s">
        <v>3410</v>
      </c>
      <c r="AE857" s="2"/>
      <c r="AF857" t="str">
        <f>_xlfn.CONCAT(FINI_grouping_for_wheel[[#This Row],[SEFI/Plant]],"/",IF(FINI_grouping_for_wheel[[#This Row],[RESET recipe combination]]&lt;&gt;"",FINI_grouping_for_wheel[[#This Row],[RESET recipe combination]],FINI_grouping_for_wheel[[#This Row],[Recipe Combination]]),"/",FINI_grouping_for_wheel[[#This Row],[Subgroup]])</f>
        <v>4305699/THDP/x/</v>
      </c>
      <c r="AG8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0.17463416110531016</v>
      </c>
      <c r="AH857">
        <f>_xlfn.LET(_xlpm.pct, FINI_grouping_for_wheel[[#This Row],[% forecast within subgroup]], _xlpm.lote, FINI_grouping_for_wheel[[#This Row],[Lot size considered]], _xlpm.pct*_xlpm.lote)</f>
        <v>1523.0852399032128</v>
      </c>
      <c r="AI857" cm="1" t="str">
        <f t="array" aca="1" ref="AI857" ca="1">IFERROR(INDIRECT("FINI_grouping_for_wheel[@["&amp;FINI_grouping_for_wheel[[#This Row],[Selected PV]]&amp;"]]"),"")</f>
        <v/>
      </c>
      <c r="AJ85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8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3.5</v>
      </c>
      <c r="AL857" s="4"/>
      <c r="AM85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5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57" t="str">
        <f>_xlfn.CONCAT(FINI_grouping_for_wheel[[#This Row],[Recipe Combination]],FINI_grouping_for_wheel[[#This Row],[Subgroup]])</f>
        <v>A</v>
      </c>
    </row>
    <row r="858" spans="1:55" hidden="1">
      <c r="A858" t="s">
        <v>12</v>
      </c>
      <c r="B858">
        <v>4305699</v>
      </c>
      <c r="C858" t="s">
        <v>3406</v>
      </c>
      <c r="D858">
        <v>8721.57675373</v>
      </c>
      <c r="E858">
        <v>18</v>
      </c>
      <c r="F858">
        <v>0.36</v>
      </c>
      <c r="G858" t="s">
        <v>3425</v>
      </c>
      <c r="H858" t="s">
        <v>3426</v>
      </c>
      <c r="I858">
        <v>270</v>
      </c>
      <c r="J858" t="s">
        <v>90</v>
      </c>
      <c r="K858" t="s">
        <v>3427</v>
      </c>
      <c r="L858" t="s">
        <v>3428</v>
      </c>
      <c r="M858">
        <v>12821.69115</v>
      </c>
      <c r="N858">
        <v>51.2867646</v>
      </c>
      <c r="O858">
        <v>12821.69115</v>
      </c>
      <c r="P858">
        <v>156467.25261</v>
      </c>
      <c r="Q858">
        <v>1</v>
      </c>
      <c r="R858">
        <v>8721.57675373</v>
      </c>
      <c r="S858" t="s">
        <v>1156</v>
      </c>
      <c r="T858" t="s">
        <v>93</v>
      </c>
      <c r="U858">
        <v>10</v>
      </c>
      <c r="V858" t="s">
        <v>158</v>
      </c>
      <c r="W858" t="s">
        <v>159</v>
      </c>
      <c r="X858" t="s">
        <v>96</v>
      </c>
      <c r="Y858" s="23" t="s">
        <v>97</v>
      </c>
      <c r="AA858">
        <v>170</v>
      </c>
      <c r="AB858" t="s">
        <v>3429</v>
      </c>
      <c r="AC858" t="s">
        <v>3410</v>
      </c>
      <c r="AE858" s="2"/>
      <c r="AF858" t="str">
        <f>_xlfn.CONCAT(FINI_grouping_for_wheel[[#This Row],[SEFI/Plant]],"/",IF(FINI_grouping_for_wheel[[#This Row],[RESET recipe combination]]&lt;&gt;"",FINI_grouping_for_wheel[[#This Row],[RESET recipe combination]],FINI_grouping_for_wheel[[#This Row],[Recipe Combination]]),"/",FINI_grouping_for_wheel[[#This Row],[Subgroup]])</f>
        <v>4305699/THDP/x/</v>
      </c>
      <c r="AG8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0.0819448858219458</v>
      </c>
      <c r="AH858">
        <f>_xlfn.LET(_xlpm.pct, FINI_grouping_for_wheel[[#This Row],[% forecast within subgroup]], _xlpm.lote, FINI_grouping_for_wheel[[#This Row],[Lot size considered]], _xlpm.pct*_xlpm.lote)</f>
        <v>714.6886112717415</v>
      </c>
      <c r="AI858" cm="1" t="str">
        <f t="array" aca="1" ref="AI858" ca="1">IFERROR(INDIRECT("FINI_grouping_for_wheel[@["&amp;FINI_grouping_for_wheel[[#This Row],[Selected PV]]&amp;"]]"),"")</f>
        <v/>
      </c>
      <c r="AJ85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8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2.7</v>
      </c>
      <c r="AL858" s="4"/>
      <c r="AM85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5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58" t="str">
        <f>_xlfn.CONCAT(FINI_grouping_for_wheel[[#This Row],[Recipe Combination]],FINI_grouping_for_wheel[[#This Row],[Subgroup]])</f>
        <v>B</v>
      </c>
    </row>
    <row r="859" spans="1:55" hidden="1">
      <c r="A859" t="s">
        <v>12</v>
      </c>
      <c r="B859">
        <v>4305699</v>
      </c>
      <c r="C859" t="s">
        <v>3406</v>
      </c>
      <c r="D859">
        <v>8721.57675373</v>
      </c>
      <c r="E859">
        <v>18</v>
      </c>
      <c r="F859">
        <v>0.36</v>
      </c>
      <c r="G859" t="s">
        <v>3430</v>
      </c>
      <c r="H859" t="s">
        <v>3431</v>
      </c>
      <c r="I859">
        <v>552</v>
      </c>
      <c r="J859" t="s">
        <v>90</v>
      </c>
      <c r="K859" t="s">
        <v>312</v>
      </c>
      <c r="L859" t="s">
        <v>313</v>
      </c>
      <c r="M859">
        <v>6568.30494</v>
      </c>
      <c r="N859">
        <v>26.27321976</v>
      </c>
      <c r="O859">
        <v>6568.30494</v>
      </c>
      <c r="P859">
        <v>156467.25261</v>
      </c>
      <c r="Q859">
        <v>1</v>
      </c>
      <c r="R859">
        <v>8721.57675373</v>
      </c>
      <c r="S859" t="s">
        <v>314</v>
      </c>
      <c r="T859" t="s">
        <v>93</v>
      </c>
      <c r="U859">
        <v>1</v>
      </c>
      <c r="V859" t="s">
        <v>315</v>
      </c>
      <c r="W859" t="s">
        <v>142</v>
      </c>
      <c r="X859" t="s">
        <v>150</v>
      </c>
      <c r="Y859" s="23" t="s">
        <v>151</v>
      </c>
      <c r="AA859">
        <v>332</v>
      </c>
      <c r="AB859" t="s">
        <v>3432</v>
      </c>
      <c r="AC859" t="s">
        <v>3410</v>
      </c>
      <c r="AE859" s="2"/>
      <c r="AF859" t="str">
        <f>_xlfn.CONCAT(FINI_grouping_for_wheel[[#This Row],[SEFI/Plant]],"/",IF(FINI_grouping_for_wheel[[#This Row],[RESET recipe combination]]&lt;&gt;"",FINI_grouping_for_wheel[[#This Row],[RESET recipe combination]],FINI_grouping_for_wheel[[#This Row],[Recipe Combination]]),"/",FINI_grouping_for_wheel[[#This Row],[Subgroup]])</f>
        <v>4305699/THDP/x/</v>
      </c>
      <c r="AG8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0.04197878361404943</v>
      </c>
      <c r="AH859">
        <f>_xlfn.LET(_xlpm.pct, FINI_grouping_for_wheel[[#This Row],[% forecast within subgroup]], _xlpm.lote, FINI_grouping_for_wheel[[#This Row],[Lot size considered]], _xlpm.pct*_xlpm.lote)</f>
        <v>366.1211833181553</v>
      </c>
      <c r="AI859" cm="1" t="str">
        <f t="array" aca="1" ref="AI859" ca="1">IFERROR(INDIRECT("FINI_grouping_for_wheel[@["&amp;FINI_grouping_for_wheel[[#This Row],[Selected PV]]&amp;"]]"),"")</f>
        <v/>
      </c>
      <c r="AJ85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8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0.7</v>
      </c>
      <c r="AL859" s="4"/>
      <c r="AM85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5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59" t="str">
        <f>_xlfn.CONCAT(FINI_grouping_for_wheel[[#This Row],[Recipe Combination]],FINI_grouping_for_wheel[[#This Row],[Subgroup]])</f>
        <v>K</v>
      </c>
    </row>
    <row r="860" spans="1:55" hidden="1">
      <c r="A860" t="s">
        <v>12</v>
      </c>
      <c r="B860">
        <v>4305699</v>
      </c>
      <c r="C860" t="s">
        <v>3406</v>
      </c>
      <c r="D860">
        <v>8721.57675373</v>
      </c>
      <c r="E860">
        <v>18</v>
      </c>
      <c r="F860">
        <v>0.36</v>
      </c>
      <c r="G860" t="s">
        <v>3433</v>
      </c>
      <c r="H860" t="s">
        <v>3434</v>
      </c>
      <c r="I860">
        <v>462</v>
      </c>
      <c r="J860" t="s">
        <v>90</v>
      </c>
      <c r="K860" t="s">
        <v>312</v>
      </c>
      <c r="L860" t="s">
        <v>313</v>
      </c>
      <c r="M860">
        <v>5913.605475</v>
      </c>
      <c r="N860">
        <v>23.6544219</v>
      </c>
      <c r="O860">
        <v>5913.605475</v>
      </c>
      <c r="P860">
        <v>156467.25261</v>
      </c>
      <c r="Q860">
        <v>1</v>
      </c>
      <c r="R860">
        <v>8721.57675373</v>
      </c>
      <c r="S860" t="s">
        <v>356</v>
      </c>
      <c r="T860" t="s">
        <v>93</v>
      </c>
      <c r="U860">
        <v>1</v>
      </c>
      <c r="V860" t="s">
        <v>315</v>
      </c>
      <c r="W860" t="s">
        <v>142</v>
      </c>
      <c r="X860" t="s">
        <v>150</v>
      </c>
      <c r="Y860" s="23" t="s">
        <v>151</v>
      </c>
      <c r="AA860">
        <v>369</v>
      </c>
      <c r="AB860" t="s">
        <v>3435</v>
      </c>
      <c r="AC860" t="s">
        <v>3410</v>
      </c>
      <c r="AE860" s="2"/>
      <c r="AF860" t="str">
        <f>_xlfn.CONCAT(FINI_grouping_for_wheel[[#This Row],[SEFI/Plant]],"/",IF(FINI_grouping_for_wheel[[#This Row],[RESET recipe combination]]&lt;&gt;"",FINI_grouping_for_wheel[[#This Row],[RESET recipe combination]],FINI_grouping_for_wheel[[#This Row],[Recipe Combination]]),"/",FINI_grouping_for_wheel[[#This Row],[Subgroup]])</f>
        <v>4305699/THDP/x/</v>
      </c>
      <c r="AG8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0.03779452490125755</v>
      </c>
      <c r="AH860">
        <f>_xlfn.LET(_xlpm.pct, FINI_grouping_for_wheel[[#This Row],[% forecast within subgroup]], _xlpm.lote, FINI_grouping_for_wheel[[#This Row],[Lot size considered]], _xlpm.pct*_xlpm.lote)</f>
        <v>329.6278497970775</v>
      </c>
      <c r="AI860" cm="1" t="str">
        <f t="array" aca="1" ref="AI860" ca="1">IFERROR(INDIRECT("FINI_grouping_for_wheel[@["&amp;FINI_grouping_for_wheel[[#This Row],[Selected PV]]&amp;"]]"),"")</f>
        <v/>
      </c>
      <c r="AJ86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8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0.7</v>
      </c>
      <c r="AL860" s="4"/>
      <c r="AM86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6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60" t="str">
        <f>_xlfn.CONCAT(FINI_grouping_for_wheel[[#This Row],[Recipe Combination]],FINI_grouping_for_wheel[[#This Row],[Subgroup]])</f>
        <v>R</v>
      </c>
    </row>
    <row r="861" spans="1:55" hidden="1">
      <c r="A861" t="s">
        <v>12</v>
      </c>
      <c r="B861">
        <v>4305699</v>
      </c>
      <c r="C861" t="s">
        <v>3406</v>
      </c>
      <c r="D861">
        <v>8721.57675373</v>
      </c>
      <c r="E861">
        <v>18</v>
      </c>
      <c r="F861">
        <v>0.36</v>
      </c>
      <c r="G861" t="s">
        <v>3436</v>
      </c>
      <c r="H861" t="s">
        <v>3437</v>
      </c>
      <c r="I861">
        <v>240</v>
      </c>
      <c r="J861" t="s">
        <v>90</v>
      </c>
      <c r="K861" t="s">
        <v>3438</v>
      </c>
      <c r="L861" t="s">
        <v>3439</v>
      </c>
      <c r="M861">
        <v>11099.109375</v>
      </c>
      <c r="N861">
        <v>44.3964375</v>
      </c>
      <c r="O861">
        <v>16182.797445</v>
      </c>
      <c r="P861">
        <v>156467.25261</v>
      </c>
      <c r="Q861">
        <v>0.68585851196137249</v>
      </c>
      <c r="R861">
        <v>5981.76765427</v>
      </c>
      <c r="S861" t="s">
        <v>207</v>
      </c>
      <c r="T861" t="s">
        <v>93</v>
      </c>
      <c r="U861">
        <v>5</v>
      </c>
      <c r="V861" t="s">
        <v>196</v>
      </c>
      <c r="W861" t="s">
        <v>95</v>
      </c>
      <c r="X861" t="s">
        <v>106</v>
      </c>
      <c r="Y861" s="23" t="s">
        <v>107</v>
      </c>
      <c r="AA861">
        <v>196</v>
      </c>
      <c r="AB861" t="s">
        <v>3440</v>
      </c>
      <c r="AC861" t="s">
        <v>3410</v>
      </c>
      <c r="AE861" s="2"/>
      <c r="AF861" t="str">
        <f>_xlfn.CONCAT(FINI_grouping_for_wheel[[#This Row],[SEFI/Plant]],"/",IF(FINI_grouping_for_wheel[[#This Row],[RESET recipe combination]]&lt;&gt;"",FINI_grouping_for_wheel[[#This Row],[RESET recipe combination]],FINI_grouping_for_wheel[[#This Row],[Recipe Combination]]),"/",FINI_grouping_for_wheel[[#This Row],[Subgroup]])</f>
        <v>4305699/THDP/x/</v>
      </c>
      <c r="AG8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0.07093566985971762</v>
      </c>
      <c r="AH861">
        <f>_xlfn.LET(_xlpm.pct, FINI_grouping_for_wheel[[#This Row],[% forecast within subgroup]], _xlpm.lote, FINI_grouping_for_wheel[[#This Row],[Lot size considered]], _xlpm.pct*_xlpm.lote)</f>
        <v>618.670889258779</v>
      </c>
      <c r="AI861" cm="1" t="str">
        <f t="array" aca="1" ref="AI861" ca="1">IFERROR(INDIRECT("FINI_grouping_for_wheel[@["&amp;FINI_grouping_for_wheel[[#This Row],[Selected PV]]&amp;"]]"),"")</f>
        <v/>
      </c>
      <c r="AJ86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8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v>
      </c>
      <c r="AL861" s="4"/>
      <c r="AM86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6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61" t="str">
        <f>_xlfn.CONCAT(FINI_grouping_for_wheel[[#This Row],[Recipe Combination]],FINI_grouping_for_wheel[[#This Row],[Subgroup]])</f>
        <v>T</v>
      </c>
    </row>
    <row r="862" spans="1:55" hidden="1">
      <c r="A862" t="s">
        <v>12</v>
      </c>
      <c r="B862">
        <v>4305699</v>
      </c>
      <c r="C862" t="s">
        <v>3406</v>
      </c>
      <c r="D862">
        <v>8721.57675373</v>
      </c>
      <c r="E862">
        <v>18</v>
      </c>
      <c r="F862">
        <v>0.36</v>
      </c>
      <c r="G862" t="s">
        <v>3441</v>
      </c>
      <c r="H862" t="s">
        <v>3442</v>
      </c>
      <c r="I862">
        <v>375</v>
      </c>
      <c r="J862" t="s">
        <v>90</v>
      </c>
      <c r="K862" t="s">
        <v>3443</v>
      </c>
      <c r="L862" t="s">
        <v>3444</v>
      </c>
      <c r="M862">
        <v>5083.68807</v>
      </c>
      <c r="N862">
        <v>20.33475228</v>
      </c>
      <c r="O862">
        <v>16182.797445</v>
      </c>
      <c r="P862">
        <v>156467.25261</v>
      </c>
      <c r="Q862">
        <v>0.31414148803862757</v>
      </c>
      <c r="R862">
        <v>2739.80909946</v>
      </c>
      <c r="S862" t="s">
        <v>207</v>
      </c>
      <c r="T862" t="s">
        <v>93</v>
      </c>
      <c r="U862">
        <v>2.5</v>
      </c>
      <c r="V862" t="s">
        <v>105</v>
      </c>
      <c r="W862" t="s">
        <v>95</v>
      </c>
      <c r="X862" t="s">
        <v>106</v>
      </c>
      <c r="Y862" s="23" t="s">
        <v>107</v>
      </c>
      <c r="AA862">
        <v>429</v>
      </c>
      <c r="AB862" t="s">
        <v>3445</v>
      </c>
      <c r="AC862" t="s">
        <v>3410</v>
      </c>
      <c r="AE862" s="2"/>
      <c r="AF862" t="str">
        <f>_xlfn.CONCAT(FINI_grouping_for_wheel[[#This Row],[SEFI/Plant]],"/",IF(FINI_grouping_for_wheel[[#This Row],[RESET recipe combination]]&lt;&gt;"",FINI_grouping_for_wheel[[#This Row],[RESET recipe combination]],FINI_grouping_for_wheel[[#This Row],[Recipe Combination]]),"/",FINI_grouping_for_wheel[[#This Row],[Subgroup]])</f>
        <v>4305699/THDP/x/</v>
      </c>
      <c r="AG8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0.032490428413613597</v>
      </c>
      <c r="AH862">
        <f>_xlfn.LET(_xlpm.pct, FINI_grouping_for_wheel[[#This Row],[% forecast within subgroup]], _xlpm.lote, FINI_grouping_for_wheel[[#This Row],[Lot size considered]], _xlpm.pct*_xlpm.lote)</f>
        <v>283.367765170901</v>
      </c>
      <c r="AI862" cm="1" t="str">
        <f t="array" aca="1" ref="AI862" ca="1">IFERROR(INDIRECT("FINI_grouping_for_wheel[@["&amp;FINI_grouping_for_wheel[[#This Row],[Selected PV]]&amp;"]]"),"")</f>
        <v/>
      </c>
      <c r="AJ86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8879.2875</v>
      </c>
      <c r="AK8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0.8</v>
      </c>
      <c r="AL862" s="4"/>
      <c r="AM86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v>
      </c>
      <c r="AN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6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62" t="str">
        <f>_xlfn.CONCAT(FINI_grouping_for_wheel[[#This Row],[Recipe Combination]],FINI_grouping_for_wheel[[#This Row],[Subgroup]])</f>
        <v>T</v>
      </c>
    </row>
    <row r="863" spans="1:55" hidden="1">
      <c r="A863" t="s">
        <v>12</v>
      </c>
      <c r="B863">
        <v>4758648</v>
      </c>
      <c r="C863" t="s">
        <v>3446</v>
      </c>
      <c r="D863">
        <v>8693.92180286</v>
      </c>
      <c r="E863">
        <v>18</v>
      </c>
      <c r="F863">
        <v>0.36</v>
      </c>
      <c r="G863" t="s">
        <v>3447</v>
      </c>
      <c r="H863" t="s">
        <v>3448</v>
      </c>
      <c r="I863">
        <v>300</v>
      </c>
      <c r="J863" t="s">
        <v>90</v>
      </c>
      <c r="K863" t="s">
        <v>3449</v>
      </c>
      <c r="L863" t="s">
        <v>3450</v>
      </c>
      <c r="M863">
        <v>149821.993845</v>
      </c>
      <c r="N863">
        <v>599.28797538</v>
      </c>
      <c r="O863">
        <v>149821.993845</v>
      </c>
      <c r="P863">
        <v>149821.993845</v>
      </c>
      <c r="Q863">
        <v>1</v>
      </c>
      <c r="R863">
        <v>8693.92180286</v>
      </c>
      <c r="S863" t="s">
        <v>294</v>
      </c>
      <c r="T863" t="s">
        <v>93</v>
      </c>
      <c r="U863">
        <v>12.5</v>
      </c>
      <c r="V863" t="s">
        <v>295</v>
      </c>
      <c r="W863" t="s">
        <v>95</v>
      </c>
      <c r="X863" t="s">
        <v>128</v>
      </c>
      <c r="Y863" s="23" t="s">
        <v>120</v>
      </c>
      <c r="AA863">
        <v>15</v>
      </c>
      <c r="AB863" t="s">
        <v>3451</v>
      </c>
      <c r="AC863" t="s">
        <v>3452</v>
      </c>
      <c r="AE863" s="2"/>
      <c r="AF863" t="str">
        <f>_xlfn.CONCAT(FINI_grouping_for_wheel[[#This Row],[SEFI/Plant]],"/",IF(FINI_grouping_for_wheel[[#This Row],[RESET recipe combination]]&lt;&gt;"",FINI_grouping_for_wheel[[#This Row],[RESET recipe combination]],FINI_grouping_for_wheel[[#This Row],[Recipe Combination]]),"/",FINI_grouping_for_wheel[[#This Row],[Subgroup]])</f>
        <v>4758648/THDP/x/</v>
      </c>
      <c r="AG8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863">
        <f>_xlfn.LET(_xlpm.pct, FINI_grouping_for_wheel[[#This Row],[% forecast within subgroup]], _xlpm.lote, FINI_grouping_for_wheel[[#This Row],[Lot size considered]], _xlpm.pct*_xlpm.lote)</f>
        <v>8693.92180286</v>
      </c>
      <c r="AI863" cm="1" t="str">
        <f t="array" aca="1" ref="AI863" ca="1">IFERROR(INDIRECT("FINI_grouping_for_wheel[@["&amp;FINI_grouping_for_wheel[[#This Row],[Selected PV]]&amp;"]]"),"")</f>
        <v/>
      </c>
      <c r="AJ86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8863.896735</v>
      </c>
      <c r="AK8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29.5</v>
      </c>
      <c r="AL863" s="4"/>
      <c r="AM86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v>
      </c>
      <c r="AN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6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63" t="str">
        <f>_xlfn.CONCAT(FINI_grouping_for_wheel[[#This Row],[Recipe Combination]],FINI_grouping_for_wheel[[#This Row],[Subgroup]])</f>
        <v>C</v>
      </c>
    </row>
    <row r="864" spans="1:55" hidden="1">
      <c r="A864" t="s">
        <v>12</v>
      </c>
      <c r="B864">
        <v>4166802</v>
      </c>
      <c r="C864" t="s">
        <v>3453</v>
      </c>
      <c r="D864">
        <v>8591.62442584</v>
      </c>
      <c r="E864">
        <v>16</v>
      </c>
      <c r="F864">
        <v>0.32</v>
      </c>
      <c r="G864" t="s">
        <v>3454</v>
      </c>
      <c r="H864" t="s">
        <v>3455</v>
      </c>
      <c r="I864">
        <v>216</v>
      </c>
      <c r="J864" t="s">
        <v>90</v>
      </c>
      <c r="K864" t="s">
        <v>188</v>
      </c>
      <c r="L864" t="s">
        <v>189</v>
      </c>
      <c r="M864">
        <v>1328.34141</v>
      </c>
      <c r="N864">
        <v>5.31336564</v>
      </c>
      <c r="O864">
        <v>1328.34141</v>
      </c>
      <c r="P864">
        <v>135145.12356</v>
      </c>
      <c r="Q864">
        <v>1</v>
      </c>
      <c r="R864">
        <v>8591.62442584</v>
      </c>
      <c r="S864" t="s">
        <v>104</v>
      </c>
      <c r="T864" t="s">
        <v>93</v>
      </c>
      <c r="U864">
        <v>4.5</v>
      </c>
      <c r="V864" t="s">
        <v>119</v>
      </c>
      <c r="W864" t="s">
        <v>142</v>
      </c>
      <c r="X864" t="s">
        <v>96</v>
      </c>
      <c r="Y864" s="23" t="s">
        <v>120</v>
      </c>
      <c r="AA864">
        <v>1617</v>
      </c>
      <c r="AB864" t="s">
        <v>3456</v>
      </c>
      <c r="AC864" t="s">
        <v>3457</v>
      </c>
      <c r="AE864" s="2"/>
      <c r="AF864" t="str">
        <f>_xlfn.CONCAT(FINI_grouping_for_wheel[[#This Row],[SEFI/Plant]],"/",IF(FINI_grouping_for_wheel[[#This Row],[RESET recipe combination]]&lt;&gt;"",FINI_grouping_for_wheel[[#This Row],[RESET recipe combination]],FINI_grouping_for_wheel[[#This Row],[Recipe Combination]]),"/",FINI_grouping_for_wheel[[#This Row],[Subgroup]])</f>
        <v>4166802/THDP/x/</v>
      </c>
      <c r="AG8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0.009828999929918003</v>
      </c>
      <c r="AH864">
        <f>_xlfn.LET(_xlpm.pct, FINI_grouping_for_wheel[[#This Row],[% forecast within subgroup]], _xlpm.lote, FINI_grouping_for_wheel[[#This Row],[Lot size considered]], _xlpm.pct*_xlpm.lote)</f>
        <v>84.44707587946317</v>
      </c>
      <c r="AI864" cm="1" t="str">
        <f t="array" aca="1" ref="AI864" ca="1">IFERROR(INDIRECT("FINI_grouping_for_wheel[@["&amp;FINI_grouping_for_wheel[[#This Row],[Selected PV]]&amp;"]]"),"")</f>
        <v/>
      </c>
      <c r="AJ86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8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0.4</v>
      </c>
      <c r="AL864" s="4"/>
      <c r="AM86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6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64" t="str">
        <f>_xlfn.CONCAT(FINI_grouping_for_wheel[[#This Row],[Recipe Combination]],FINI_grouping_for_wheel[[#This Row],[Subgroup]])</f>
        <v>0</v>
      </c>
    </row>
    <row r="865" spans="1:55" hidden="1">
      <c r="A865" t="s">
        <v>12</v>
      </c>
      <c r="B865">
        <v>4166802</v>
      </c>
      <c r="C865" t="s">
        <v>3453</v>
      </c>
      <c r="D865">
        <v>8591.62442584</v>
      </c>
      <c r="E865">
        <v>16</v>
      </c>
      <c r="F865">
        <v>0.32</v>
      </c>
      <c r="G865" t="s">
        <v>3458</v>
      </c>
      <c r="H865" t="s">
        <v>3459</v>
      </c>
      <c r="I865">
        <v>396</v>
      </c>
      <c r="J865" t="s">
        <v>90</v>
      </c>
      <c r="K865" t="s">
        <v>617</v>
      </c>
      <c r="L865" t="s">
        <v>618</v>
      </c>
      <c r="M865">
        <v>8406.909405</v>
      </c>
      <c r="N865">
        <v>33.62763762</v>
      </c>
      <c r="O865">
        <v>8406.909405</v>
      </c>
      <c r="P865">
        <v>135145.12356</v>
      </c>
      <c r="Q865">
        <v>1</v>
      </c>
      <c r="R865">
        <v>8591.62442584</v>
      </c>
      <c r="S865" t="s">
        <v>1316</v>
      </c>
      <c r="T865" t="s">
        <v>93</v>
      </c>
      <c r="U865">
        <v>9</v>
      </c>
      <c r="V865" t="s">
        <v>94</v>
      </c>
      <c r="W865" t="s">
        <v>142</v>
      </c>
      <c r="X865" t="s">
        <v>96</v>
      </c>
      <c r="Y865" s="23" t="s">
        <v>97</v>
      </c>
      <c r="AA865">
        <v>255</v>
      </c>
      <c r="AB865" t="s">
        <v>3460</v>
      </c>
      <c r="AC865" t="s">
        <v>3457</v>
      </c>
      <c r="AE865" s="2"/>
      <c r="AF865" t="str">
        <f>_xlfn.CONCAT(FINI_grouping_for_wheel[[#This Row],[SEFI/Plant]],"/",IF(FINI_grouping_for_wheel[[#This Row],[RESET recipe combination]]&lt;&gt;"",FINI_grouping_for_wheel[[#This Row],[RESET recipe combination]],FINI_grouping_for_wheel[[#This Row],[Recipe Combination]]),"/",FINI_grouping_for_wheel[[#This Row],[Subgroup]])</f>
        <v>4166802/THDP/x/</v>
      </c>
      <c r="AG8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0.06220653164202116</v>
      </c>
      <c r="AH865">
        <f>_xlfn.LET(_xlpm.pct, FINI_grouping_for_wheel[[#This Row],[% forecast within subgroup]], _xlpm.lote, FINI_grouping_for_wheel[[#This Row],[Lot size considered]], _xlpm.pct*_xlpm.lote)</f>
        <v>534.4551567023778</v>
      </c>
      <c r="AI865" cm="1" t="str">
        <f t="array" aca="1" ref="AI865" ca="1">IFERROR(INDIRECT("FINI_grouping_for_wheel[@["&amp;FINI_grouping_for_wheel[[#This Row],[Selected PV]]&amp;"]]"),"")</f>
        <v/>
      </c>
      <c r="AJ86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8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v>
      </c>
      <c r="AL865" s="4"/>
      <c r="AM86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6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65" t="str">
        <f>_xlfn.CONCAT(FINI_grouping_for_wheel[[#This Row],[Recipe Combination]],FINI_grouping_for_wheel[[#This Row],[Subgroup]])</f>
        <v>6</v>
      </c>
    </row>
    <row r="866" spans="1:55" hidden="1">
      <c r="A866" t="s">
        <v>12</v>
      </c>
      <c r="B866">
        <v>4166802</v>
      </c>
      <c r="C866" t="s">
        <v>3453</v>
      </c>
      <c r="D866">
        <v>8591.62442584</v>
      </c>
      <c r="E866">
        <v>16</v>
      </c>
      <c r="F866">
        <v>0.32</v>
      </c>
      <c r="G866" t="s">
        <v>3461</v>
      </c>
      <c r="H866" t="s">
        <v>3462</v>
      </c>
      <c r="I866">
        <v>495</v>
      </c>
      <c r="J866" t="s">
        <v>90</v>
      </c>
      <c r="K866" t="s">
        <v>406</v>
      </c>
      <c r="L866" t="s">
        <v>407</v>
      </c>
      <c r="M866">
        <v>124310.025</v>
      </c>
      <c r="N866">
        <v>497.2401</v>
      </c>
      <c r="O866">
        <v>124310.025</v>
      </c>
      <c r="P866">
        <v>135145.12356</v>
      </c>
      <c r="Q866">
        <v>1</v>
      </c>
      <c r="R866">
        <v>8591.62442584</v>
      </c>
      <c r="S866" t="s">
        <v>118</v>
      </c>
      <c r="T866" t="s">
        <v>93</v>
      </c>
      <c r="U866">
        <v>15</v>
      </c>
      <c r="V866" t="s">
        <v>408</v>
      </c>
      <c r="W866" t="s">
        <v>142</v>
      </c>
      <c r="X866" t="s">
        <v>96</v>
      </c>
      <c r="Y866" s="23" t="s">
        <v>97</v>
      </c>
      <c r="AA866">
        <v>17</v>
      </c>
      <c r="AB866" t="s">
        <v>3463</v>
      </c>
      <c r="AC866" t="s">
        <v>3457</v>
      </c>
      <c r="AE866" s="2"/>
      <c r="AF866" t="str">
        <f>_xlfn.CONCAT(FINI_grouping_for_wheel[[#This Row],[SEFI/Plant]],"/",IF(FINI_grouping_for_wheel[[#This Row],[RESET recipe combination]]&lt;&gt;"",FINI_grouping_for_wheel[[#This Row],[RESET recipe combination]],FINI_grouping_for_wheel[[#This Row],[Recipe Combination]]),"/",FINI_grouping_for_wheel[[#This Row],[Subgroup]])</f>
        <v>4166802/THDP/x/</v>
      </c>
      <c r="AG8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0.9198261966500805</v>
      </c>
      <c r="AH866">
        <f>_xlfn.LET(_xlpm.pct, FINI_grouping_for_wheel[[#This Row],[% forecast within subgroup]], _xlpm.lote, FINI_grouping_for_wheel[[#This Row],[Lot size considered]], _xlpm.pct*_xlpm.lote)</f>
        <v>7902.801218666339</v>
      </c>
      <c r="AI866" cm="1" t="str">
        <f t="array" aca="1" ref="AI866" ca="1">IFERROR(INDIRECT("FINI_grouping_for_wheel[@["&amp;FINI_grouping_for_wheel[[#This Row],[Selected PV]]&amp;"]]"),"")</f>
        <v/>
      </c>
      <c r="AJ86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8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16.4</v>
      </c>
      <c r="AL866" s="4"/>
      <c r="AM86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6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66" t="str">
        <f>_xlfn.CONCAT(FINI_grouping_for_wheel[[#This Row],[Recipe Combination]],FINI_grouping_for_wheel[[#This Row],[Subgroup]])</f>
        <v>A</v>
      </c>
    </row>
    <row r="867" spans="1:55" hidden="1">
      <c r="A867" t="s">
        <v>12</v>
      </c>
      <c r="B867">
        <v>4166802</v>
      </c>
      <c r="C867" t="s">
        <v>3453</v>
      </c>
      <c r="D867">
        <v>8591.62442584</v>
      </c>
      <c r="E867">
        <v>16</v>
      </c>
      <c r="F867">
        <v>0.32</v>
      </c>
      <c r="G867" t="s">
        <v>3464</v>
      </c>
      <c r="H867" t="s">
        <v>3465</v>
      </c>
      <c r="I867">
        <v>360</v>
      </c>
      <c r="J867" t="s">
        <v>90</v>
      </c>
      <c r="K867" t="s">
        <v>632</v>
      </c>
      <c r="L867" t="s">
        <v>633</v>
      </c>
      <c r="M867">
        <v>631.021365</v>
      </c>
      <c r="N867">
        <v>2.52408546</v>
      </c>
      <c r="O867">
        <v>1099.847745</v>
      </c>
      <c r="P867">
        <v>135145.12356</v>
      </c>
      <c r="Q867">
        <v>0.57373519913885895</v>
      </c>
      <c r="R867">
        <v>4929.31735089</v>
      </c>
      <c r="S867" t="s">
        <v>346</v>
      </c>
      <c r="T867" t="s">
        <v>93</v>
      </c>
      <c r="U867">
        <v>2.5</v>
      </c>
      <c r="V867" t="s">
        <v>166</v>
      </c>
      <c r="W867" t="s">
        <v>142</v>
      </c>
      <c r="X867" t="s">
        <v>96</v>
      </c>
      <c r="Y867" s="23" t="s">
        <v>167</v>
      </c>
      <c r="AA867">
        <v>3404</v>
      </c>
      <c r="AB867" t="s">
        <v>3466</v>
      </c>
      <c r="AC867" t="s">
        <v>3457</v>
      </c>
      <c r="AE867" s="2"/>
      <c r="AF867" t="str">
        <f>_xlfn.CONCAT(FINI_grouping_for_wheel[[#This Row],[SEFI/Plant]],"/",IF(FINI_grouping_for_wheel[[#This Row],[RESET recipe combination]]&lt;&gt;"",FINI_grouping_for_wheel[[#This Row],[RESET recipe combination]],FINI_grouping_for_wheel[[#This Row],[Recipe Combination]]),"/",FINI_grouping_for_wheel[[#This Row],[Subgroup]])</f>
        <v>4166802/THDP/x/</v>
      </c>
      <c r="AG8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0.0046692129791856465</v>
      </c>
      <c r="AH867">
        <f>_xlfn.LET(_xlpm.pct, FINI_grouping_for_wheel[[#This Row],[% forecast within subgroup]], _xlpm.lote, FINI_grouping_for_wheel[[#This Row],[Lot size considered]], _xlpm.pct*_xlpm.lote)</f>
        <v>40.116124281420554</v>
      </c>
      <c r="AI867" cm="1" t="str">
        <f t="array" aca="1" ref="AI867" ca="1">IFERROR(INDIRECT("FINI_grouping_for_wheel[@["&amp;FINI_grouping_for_wheel[[#This Row],[Selected PV]]&amp;"]]"),"")</f>
        <v/>
      </c>
      <c r="AJ86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8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867" s="4"/>
      <c r="AM86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6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67" t="str">
        <f>_xlfn.CONCAT(FINI_grouping_for_wheel[[#This Row],[Recipe Combination]],FINI_grouping_for_wheel[[#This Row],[Subgroup]])</f>
        <v>Q</v>
      </c>
    </row>
    <row r="868" spans="1:55" hidden="1">
      <c r="A868" t="s">
        <v>12</v>
      </c>
      <c r="B868">
        <v>4166802</v>
      </c>
      <c r="C868" t="s">
        <v>3453</v>
      </c>
      <c r="D868">
        <v>8591.62442584</v>
      </c>
      <c r="E868">
        <v>16</v>
      </c>
      <c r="F868">
        <v>0.32</v>
      </c>
      <c r="G868" t="s">
        <v>3467</v>
      </c>
      <c r="H868" t="s">
        <v>3468</v>
      </c>
      <c r="I868">
        <v>415.8</v>
      </c>
      <c r="J868" t="s">
        <v>90</v>
      </c>
      <c r="K868" t="s">
        <v>841</v>
      </c>
      <c r="L868" t="s">
        <v>842</v>
      </c>
      <c r="M868">
        <v>468.82638</v>
      </c>
      <c r="N868">
        <v>1.87530552</v>
      </c>
      <c r="O868">
        <v>1099.847745</v>
      </c>
      <c r="P868">
        <v>135145.12356</v>
      </c>
      <c r="Q868">
        <v>0.42626480086114099</v>
      </c>
      <c r="R868">
        <v>3662.30707496</v>
      </c>
      <c r="S868" t="s">
        <v>346</v>
      </c>
      <c r="T868" t="s">
        <v>93</v>
      </c>
      <c r="U868">
        <v>0.9</v>
      </c>
      <c r="V868" t="s">
        <v>843</v>
      </c>
      <c r="W868" t="s">
        <v>142</v>
      </c>
      <c r="X868" t="s">
        <v>150</v>
      </c>
      <c r="Y868" s="23" t="s">
        <v>151</v>
      </c>
      <c r="AA868">
        <v>4581</v>
      </c>
      <c r="AB868" t="s">
        <v>3469</v>
      </c>
      <c r="AC868" t="s">
        <v>3457</v>
      </c>
      <c r="AE868" s="2"/>
      <c r="AF868" t="str">
        <f>_xlfn.CONCAT(FINI_grouping_for_wheel[[#This Row],[SEFI/Plant]],"/",IF(FINI_grouping_for_wheel[[#This Row],[RESET recipe combination]]&lt;&gt;"",FINI_grouping_for_wheel[[#This Row],[RESET recipe combination]],FINI_grouping_for_wheel[[#This Row],[Recipe Combination]]),"/",FINI_grouping_for_wheel[[#This Row],[Subgroup]])</f>
        <v>4166802/THDP/x/</v>
      </c>
      <c r="AG8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0.003469058798794589</v>
      </c>
      <c r="AH868">
        <f>_xlfn.LET(_xlpm.pct, FINI_grouping_for_wheel[[#This Row],[% forecast within subgroup]], _xlpm.lote, FINI_grouping_for_wheel[[#This Row],[Lot size considered]], _xlpm.pct*_xlpm.lote)</f>
        <v>29.804850310398763</v>
      </c>
      <c r="AI868" cm="1" t="str">
        <f t="array" aca="1" ref="AI868" ca="1">IFERROR(INDIRECT("FINI_grouping_for_wheel[@["&amp;FINI_grouping_for_wheel[[#This Row],[Selected PV]]&amp;"]]"),"")</f>
        <v/>
      </c>
      <c r="AJ86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8840.218635</v>
      </c>
      <c r="AK8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868" s="4"/>
      <c r="AM86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14</v>
      </c>
      <c r="AN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6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68" t="str">
        <f>_xlfn.CONCAT(FINI_grouping_for_wheel[[#This Row],[Recipe Combination]],FINI_grouping_for_wheel[[#This Row],[Subgroup]])</f>
        <v>Q</v>
      </c>
    </row>
    <row r="869" spans="1:55" hidden="1">
      <c r="A869" t="s">
        <v>12</v>
      </c>
      <c r="B869">
        <v>4022286</v>
      </c>
      <c r="C869" t="s">
        <v>3470</v>
      </c>
      <c r="D869">
        <v>8664.61950087</v>
      </c>
      <c r="E869">
        <v>15</v>
      </c>
      <c r="F869">
        <v>0.3</v>
      </c>
      <c r="G869" t="s">
        <v>3471</v>
      </c>
      <c r="H869" t="s">
        <v>3472</v>
      </c>
      <c r="I869">
        <v>405</v>
      </c>
      <c r="J869" t="s">
        <v>90</v>
      </c>
      <c r="K869" t="s">
        <v>3473</v>
      </c>
      <c r="L869" t="s">
        <v>3474</v>
      </c>
      <c r="M869">
        <v>22802.0103</v>
      </c>
      <c r="N869">
        <v>91.2080412</v>
      </c>
      <c r="O869">
        <v>56472.2685</v>
      </c>
      <c r="P869">
        <v>129903.976125</v>
      </c>
      <c r="Q869">
        <v>0.4037735849056604</v>
      </c>
      <c r="R869">
        <v>3498.54447771</v>
      </c>
      <c r="S869" t="s">
        <v>157</v>
      </c>
      <c r="T869" t="s">
        <v>93</v>
      </c>
      <c r="U869">
        <v>15</v>
      </c>
      <c r="V869" t="s">
        <v>408</v>
      </c>
      <c r="W869" t="s">
        <v>95</v>
      </c>
      <c r="X869" t="s">
        <v>96</v>
      </c>
      <c r="Y869" s="23" t="s">
        <v>97</v>
      </c>
      <c r="AA869">
        <v>95</v>
      </c>
      <c r="AB869" t="s">
        <v>3475</v>
      </c>
      <c r="AC869" t="s">
        <v>3476</v>
      </c>
      <c r="AE869" s="2"/>
      <c r="AF869" t="str">
        <f>_xlfn.CONCAT(FINI_grouping_for_wheel[[#This Row],[SEFI/Plant]],"/",IF(FINI_grouping_for_wheel[[#This Row],[RESET recipe combination]]&lt;&gt;"",FINI_grouping_for_wheel[[#This Row],[RESET recipe combination]],FINI_grouping_for_wheel[[#This Row],[Recipe Combination]]),"/",FINI_grouping_for_wheel[[#This Row],[Subgroup]])</f>
        <v>4022286/THDP/x/</v>
      </c>
      <c r="AG8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0.17552973342447029</v>
      </c>
      <c r="AH869">
        <f>_xlfn.LET(_xlpm.pct, FINI_grouping_for_wheel[[#This Row],[% forecast within subgroup]], _xlpm.lote, FINI_grouping_for_wheel[[#This Row],[Lot size considered]], _xlpm.pct*_xlpm.lote)</f>
        <v>1520.8983512121779</v>
      </c>
      <c r="AI869" cm="1" t="str">
        <f t="array" aca="1" ref="AI869" ca="1">IFERROR(INDIRECT("FINI_grouping_for_wheel[@["&amp;FINI_grouping_for_wheel[[#This Row],[Selected PV]]&amp;"]]"),"")</f>
        <v/>
      </c>
      <c r="AJ86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8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3.8</v>
      </c>
      <c r="AL869" s="4"/>
      <c r="AM86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v>
      </c>
      <c r="AN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6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69" t="str">
        <f>_xlfn.CONCAT(FINI_grouping_for_wheel[[#This Row],[Recipe Combination]],FINI_grouping_for_wheel[[#This Row],[Subgroup]])</f>
        <v>M</v>
      </c>
    </row>
    <row r="870" spans="1:55" hidden="1">
      <c r="A870" t="s">
        <v>12</v>
      </c>
      <c r="B870">
        <v>4022286</v>
      </c>
      <c r="C870" t="s">
        <v>3470</v>
      </c>
      <c r="D870">
        <v>8664.61950087</v>
      </c>
      <c r="E870">
        <v>15</v>
      </c>
      <c r="F870">
        <v>0.3</v>
      </c>
      <c r="G870" t="s">
        <v>3477</v>
      </c>
      <c r="H870" t="s">
        <v>3478</v>
      </c>
      <c r="I870">
        <v>405</v>
      </c>
      <c r="J870" t="s">
        <v>90</v>
      </c>
      <c r="K870" t="s">
        <v>406</v>
      </c>
      <c r="L870" t="s">
        <v>407</v>
      </c>
      <c r="M870">
        <v>33670.2582</v>
      </c>
      <c r="N870">
        <v>134.6810328</v>
      </c>
      <c r="O870">
        <v>56472.2685</v>
      </c>
      <c r="P870">
        <v>129903.976125</v>
      </c>
      <c r="Q870">
        <v>0.5962264150943396</v>
      </c>
      <c r="R870">
        <v>5166.07502316</v>
      </c>
      <c r="S870" t="s">
        <v>157</v>
      </c>
      <c r="T870" t="s">
        <v>93</v>
      </c>
      <c r="U870">
        <v>15</v>
      </c>
      <c r="V870" t="s">
        <v>408</v>
      </c>
      <c r="W870" t="s">
        <v>142</v>
      </c>
      <c r="X870" t="s">
        <v>96</v>
      </c>
      <c r="Y870" s="23" t="s">
        <v>97</v>
      </c>
      <c r="AA870">
        <v>64</v>
      </c>
      <c r="AB870" t="s">
        <v>3479</v>
      </c>
      <c r="AC870" t="s">
        <v>3476</v>
      </c>
      <c r="AE870" s="2"/>
      <c r="AF870" t="str">
        <f>_xlfn.CONCAT(FINI_grouping_for_wheel[[#This Row],[SEFI/Plant]],"/",IF(FINI_grouping_for_wheel[[#This Row],[RESET recipe combination]]&lt;&gt;"",FINI_grouping_for_wheel[[#This Row],[RESET recipe combination]],FINI_grouping_for_wheel[[#This Row],[Recipe Combination]]),"/",FINI_grouping_for_wheel[[#This Row],[Subgroup]])</f>
        <v>4022286/THDP/x/</v>
      </c>
      <c r="AG8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0.2591934381408066</v>
      </c>
      <c r="AH870">
        <f>_xlfn.LET(_xlpm.pct, FINI_grouping_for_wheel[[#This Row],[% forecast within subgroup]], _xlpm.lote, FINI_grouping_for_wheel[[#This Row],[Lot size considered]], _xlpm.pct*_xlpm.lote)</f>
        <v>2245.812518612375</v>
      </c>
      <c r="AI870" cm="1" t="str">
        <f t="array" aca="1" ref="AI870" ca="1">IFERROR(INDIRECT("FINI_grouping_for_wheel[@["&amp;FINI_grouping_for_wheel[[#This Row],[Selected PV]]&amp;"]]"),"")</f>
        <v/>
      </c>
      <c r="AJ87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8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5.7</v>
      </c>
      <c r="AL870" s="4"/>
      <c r="AM87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v>
      </c>
      <c r="AN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7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70" t="str">
        <f>_xlfn.CONCAT(FINI_grouping_for_wheel[[#This Row],[Recipe Combination]],FINI_grouping_for_wheel[[#This Row],[Subgroup]])</f>
        <v>M</v>
      </c>
    </row>
    <row r="871" spans="1:55" hidden="1">
      <c r="A871" t="s">
        <v>12</v>
      </c>
      <c r="B871">
        <v>4022286</v>
      </c>
      <c r="C871" t="s">
        <v>3470</v>
      </c>
      <c r="D871">
        <v>8664.61950087</v>
      </c>
      <c r="E871">
        <v>15</v>
      </c>
      <c r="F871">
        <v>0.3</v>
      </c>
      <c r="G871" t="s">
        <v>3480</v>
      </c>
      <c r="H871" t="s">
        <v>3481</v>
      </c>
      <c r="I871">
        <v>405</v>
      </c>
      <c r="J871" t="s">
        <v>90</v>
      </c>
      <c r="K871" t="s">
        <v>406</v>
      </c>
      <c r="L871" t="s">
        <v>407</v>
      </c>
      <c r="M871">
        <v>73431.707625</v>
      </c>
      <c r="N871">
        <v>293.7268305</v>
      </c>
      <c r="O871">
        <v>73431.707625</v>
      </c>
      <c r="P871">
        <v>129903.976125</v>
      </c>
      <c r="Q871">
        <v>1</v>
      </c>
      <c r="R871">
        <v>8664.61950087</v>
      </c>
      <c r="S871" t="s">
        <v>387</v>
      </c>
      <c r="T871" t="s">
        <v>93</v>
      </c>
      <c r="U871">
        <v>15</v>
      </c>
      <c r="V871" t="s">
        <v>408</v>
      </c>
      <c r="W871" t="s">
        <v>142</v>
      </c>
      <c r="X871" t="s">
        <v>96</v>
      </c>
      <c r="Y871" s="23" t="s">
        <v>97</v>
      </c>
      <c r="AA871">
        <v>29</v>
      </c>
      <c r="AB871" t="s">
        <v>3482</v>
      </c>
      <c r="AC871" t="s">
        <v>3476</v>
      </c>
      <c r="AE871" s="2"/>
      <c r="AF871" t="str">
        <f>_xlfn.CONCAT(FINI_grouping_for_wheel[[#This Row],[SEFI/Plant]],"/",IF(FINI_grouping_for_wheel[[#This Row],[RESET recipe combination]]&lt;&gt;"",FINI_grouping_for_wheel[[#This Row],[RESET recipe combination]],FINI_grouping_for_wheel[[#This Row],[Recipe Combination]]),"/",FINI_grouping_for_wheel[[#This Row],[Subgroup]])</f>
        <v>4022286/THDP/x/</v>
      </c>
      <c r="AG8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0.5652768284347232</v>
      </c>
      <c r="AH871">
        <f>_xlfn.LET(_xlpm.pct, FINI_grouping_for_wheel[[#This Row],[% forecast within subgroup]], _xlpm.lote, FINI_grouping_for_wheel[[#This Row],[Lot size considered]], _xlpm.pct*_xlpm.lote)</f>
        <v>4897.908631045448</v>
      </c>
      <c r="AI871" cm="1" t="str">
        <f t="array" aca="1" ref="AI871" ca="1">IFERROR(INDIRECT("FINI_grouping_for_wheel[@["&amp;FINI_grouping_for_wheel[[#This Row],[Selected PV]]&amp;"]]"),"")</f>
        <v/>
      </c>
      <c r="AJ87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8881.65531</v>
      </c>
      <c r="AK8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12.4</v>
      </c>
      <c r="AL871" s="4"/>
      <c r="AM87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v>
      </c>
      <c r="AN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7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71" t="str">
        <f>_xlfn.CONCAT(FINI_grouping_for_wheel[[#This Row],[Recipe Combination]],FINI_grouping_for_wheel[[#This Row],[Subgroup]])</f>
        <v>X</v>
      </c>
    </row>
    <row r="872" spans="1:55" hidden="1">
      <c r="A872" t="s">
        <v>12</v>
      </c>
      <c r="B872">
        <v>4722373</v>
      </c>
      <c r="C872" t="s">
        <v>3483</v>
      </c>
      <c r="D872">
        <v>8909.48410843</v>
      </c>
      <c r="E872">
        <v>15</v>
      </c>
      <c r="F872">
        <v>0.3</v>
      </c>
      <c r="G872" t="s">
        <v>3484</v>
      </c>
      <c r="H872" t="s">
        <v>3485</v>
      </c>
      <c r="I872">
        <v>360</v>
      </c>
      <c r="J872" t="s">
        <v>90</v>
      </c>
      <c r="M872">
        <v>1870.5699</v>
      </c>
      <c r="N872">
        <v>7.4822796</v>
      </c>
      <c r="O872">
        <v>1870.5699</v>
      </c>
      <c r="P872">
        <v>132190.09668</v>
      </c>
      <c r="Q872">
        <v>1</v>
      </c>
      <c r="R872">
        <v>8909.48410843</v>
      </c>
      <c r="S872" t="s">
        <v>157</v>
      </c>
      <c r="T872" t="s">
        <v>93</v>
      </c>
      <c r="U872">
        <v>10</v>
      </c>
      <c r="AA872">
        <v>1191</v>
      </c>
      <c r="AB872" t="s">
        <v>3486</v>
      </c>
      <c r="AC872" t="s">
        <v>3487</v>
      </c>
      <c r="AE872" s="2"/>
      <c r="AF872" t="str">
        <f>_xlfn.CONCAT(FINI_grouping_for_wheel[[#This Row],[SEFI/Plant]],"/",IF(FINI_grouping_for_wheel[[#This Row],[RESET recipe combination]]&lt;&gt;"",FINI_grouping_for_wheel[[#This Row],[RESET recipe combination]],FINI_grouping_for_wheel[[#This Row],[Recipe Combination]]),"/",FINI_grouping_for_wheel[[#This Row],[Subgroup]])</f>
        <v>4722373/THDP/x/</v>
      </c>
      <c r="AG8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0.014150605430966539</v>
      </c>
      <c r="AH872">
        <f>_xlfn.LET(_xlpm.pct, FINI_grouping_for_wheel[[#This Row],[% forecast within subgroup]], _xlpm.lote, FINI_grouping_for_wheel[[#This Row],[Lot size considered]], _xlpm.pct*_xlpm.lote)</f>
        <v>126.07459421185963</v>
      </c>
      <c r="AI872" cm="1" t="str">
        <f t="array" aca="1" ref="AI872" ca="1">IFERROR(INDIRECT("FINI_grouping_for_wheel[@["&amp;FINI_grouping_for_wheel[[#This Row],[Selected PV]]&amp;"]]"),"")</f>
        <v/>
      </c>
      <c r="AJ87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9036.746865</v>
      </c>
      <c r="AK8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0.4</v>
      </c>
      <c r="AL872" s="4"/>
      <c r="AM87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v>
      </c>
      <c r="AN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7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72" t="str">
        <f>_xlfn.CONCAT(FINI_grouping_for_wheel[[#This Row],[Recipe Combination]],FINI_grouping_for_wheel[[#This Row],[Subgroup]])</f>
        <v>M</v>
      </c>
    </row>
    <row r="873" spans="1:55" hidden="1">
      <c r="A873" t="s">
        <v>12</v>
      </c>
      <c r="B873">
        <v>4722373</v>
      </c>
      <c r="C873" t="s">
        <v>3483</v>
      </c>
      <c r="D873">
        <v>8909.48410843</v>
      </c>
      <c r="E873">
        <v>15</v>
      </c>
      <c r="F873">
        <v>0.3</v>
      </c>
      <c r="G873" t="s">
        <v>3488</v>
      </c>
      <c r="H873" t="s">
        <v>3489</v>
      </c>
      <c r="I873">
        <v>240</v>
      </c>
      <c r="J873" t="s">
        <v>90</v>
      </c>
      <c r="M873">
        <v>1391.088375</v>
      </c>
      <c r="N873">
        <v>5.5643535</v>
      </c>
      <c r="O873">
        <v>4787.71182</v>
      </c>
      <c r="P873">
        <v>132190.09668</v>
      </c>
      <c r="Q873">
        <v>0.29055390702274975</v>
      </c>
      <c r="R873">
        <v>2588.68541726</v>
      </c>
      <c r="S873" t="s">
        <v>207</v>
      </c>
      <c r="T873" t="s">
        <v>93</v>
      </c>
      <c r="U873">
        <v>5</v>
      </c>
      <c r="AA873">
        <v>1601</v>
      </c>
      <c r="AB873" t="s">
        <v>3490</v>
      </c>
      <c r="AC873" t="s">
        <v>3487</v>
      </c>
      <c r="AE873" s="2"/>
      <c r="AF873" t="str">
        <f>_xlfn.CONCAT(FINI_grouping_for_wheel[[#This Row],[SEFI/Plant]],"/",IF(FINI_grouping_for_wheel[[#This Row],[RESET recipe combination]]&lt;&gt;"",FINI_grouping_for_wheel[[#This Row],[RESET recipe combination]],FINI_grouping_for_wheel[[#This Row],[Recipe Combination]]),"/",FINI_grouping_for_wheel[[#This Row],[Subgroup]])</f>
        <v>4722373/THDP/x/</v>
      </c>
      <c r="AG8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0.010523393279358027</v>
      </c>
      <c r="AH873">
        <f>_xlfn.LET(_xlpm.pct, FINI_grouping_for_wheel[[#This Row],[% forecast within subgroup]], _xlpm.lote, FINI_grouping_for_wheel[[#This Row],[Lot size considered]], _xlpm.pct*_xlpm.lote)</f>
        <v>93.75800518919941</v>
      </c>
      <c r="AI873" cm="1" t="str">
        <f t="array" aca="1" ref="AI873" ca="1">IFERROR(INDIRECT("FINI_grouping_for_wheel[@["&amp;FINI_grouping_for_wheel[[#This Row],[Selected PV]]&amp;"]]"),"")</f>
        <v/>
      </c>
      <c r="AJ87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9036.746865</v>
      </c>
      <c r="AK8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0.4</v>
      </c>
      <c r="AL873" s="4"/>
      <c r="AM87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v>
      </c>
      <c r="AN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7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73" t="str">
        <f>_xlfn.CONCAT(FINI_grouping_for_wheel[[#This Row],[Recipe Combination]],FINI_grouping_for_wheel[[#This Row],[Subgroup]])</f>
        <v>T</v>
      </c>
    </row>
    <row r="874" spans="1:55" hidden="1">
      <c r="A874" t="s">
        <v>12</v>
      </c>
      <c r="B874">
        <v>4722373</v>
      </c>
      <c r="C874" t="s">
        <v>3483</v>
      </c>
      <c r="D874">
        <v>8909.48410843</v>
      </c>
      <c r="E874">
        <v>15</v>
      </c>
      <c r="F874">
        <v>0.3</v>
      </c>
      <c r="G874" t="s">
        <v>3491</v>
      </c>
      <c r="H874" t="s">
        <v>3492</v>
      </c>
      <c r="I874">
        <v>375</v>
      </c>
      <c r="J874" t="s">
        <v>90</v>
      </c>
      <c r="M874">
        <v>3396.623445</v>
      </c>
      <c r="N874">
        <v>13.58649378</v>
      </c>
      <c r="O874">
        <v>4787.71182</v>
      </c>
      <c r="P874">
        <v>132190.09668</v>
      </c>
      <c r="Q874">
        <v>0.70944609297725025</v>
      </c>
      <c r="R874">
        <v>6320.79869117</v>
      </c>
      <c r="S874" t="s">
        <v>207</v>
      </c>
      <c r="T874" t="s">
        <v>93</v>
      </c>
      <c r="U874">
        <v>2.5</v>
      </c>
      <c r="AA874">
        <v>656</v>
      </c>
      <c r="AB874" t="s">
        <v>3493</v>
      </c>
      <c r="AC874" t="s">
        <v>3487</v>
      </c>
      <c r="AE874" s="2"/>
      <c r="AF874" t="str">
        <f>_xlfn.CONCAT(FINI_grouping_for_wheel[[#This Row],[SEFI/Plant]],"/",IF(FINI_grouping_for_wheel[[#This Row],[RESET recipe combination]]&lt;&gt;"",FINI_grouping_for_wheel[[#This Row],[RESET recipe combination]],FINI_grouping_for_wheel[[#This Row],[Recipe Combination]]),"/",FINI_grouping_for_wheel[[#This Row],[Subgroup]])</f>
        <v>4722373/THDP/x/</v>
      </c>
      <c r="AG8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0.025694991760406963</v>
      </c>
      <c r="AH874">
        <f>_xlfn.LET(_xlpm.pct, FINI_grouping_for_wheel[[#This Row],[% forecast within subgroup]], _xlpm.lote, FINI_grouping_for_wheel[[#This Row],[Lot size considered]], _xlpm.pct*_xlpm.lote)</f>
        <v>228.92912075558564</v>
      </c>
      <c r="AI874" cm="1" t="str">
        <f t="array" aca="1" ref="AI874" ca="1">IFERROR(INDIRECT("FINI_grouping_for_wheel[@["&amp;FINI_grouping_for_wheel[[#This Row],[Selected PV]]&amp;"]]"),"")</f>
        <v/>
      </c>
      <c r="AJ87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9036.746865</v>
      </c>
      <c r="AK8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874" s="4"/>
      <c r="AM87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v>
      </c>
      <c r="AN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7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74" t="str">
        <f>_xlfn.CONCAT(FINI_grouping_for_wheel[[#This Row],[Recipe Combination]],FINI_grouping_for_wheel[[#This Row],[Subgroup]])</f>
        <v>T</v>
      </c>
    </row>
    <row r="875" spans="1:55" hidden="1">
      <c r="A875" t="s">
        <v>12</v>
      </c>
      <c r="B875">
        <v>4722373</v>
      </c>
      <c r="C875" t="s">
        <v>3483</v>
      </c>
      <c r="D875">
        <v>8909.48410843</v>
      </c>
      <c r="E875">
        <v>15</v>
      </c>
      <c r="F875">
        <v>0.3</v>
      </c>
      <c r="G875" t="s">
        <v>3494</v>
      </c>
      <c r="H875" t="s">
        <v>3495</v>
      </c>
      <c r="I875">
        <v>324</v>
      </c>
      <c r="J875" t="s">
        <v>90</v>
      </c>
      <c r="M875">
        <v>125531.81496</v>
      </c>
      <c r="N875">
        <v>502.12725984</v>
      </c>
      <c r="O875">
        <v>125531.81496</v>
      </c>
      <c r="P875">
        <v>132190.09668</v>
      </c>
      <c r="Q875">
        <v>1</v>
      </c>
      <c r="R875">
        <v>8909.48410843</v>
      </c>
      <c r="S875" t="s">
        <v>387</v>
      </c>
      <c r="T875" t="s">
        <v>93</v>
      </c>
      <c r="U875">
        <v>12</v>
      </c>
      <c r="AA875">
        <v>18</v>
      </c>
      <c r="AB875" t="s">
        <v>3496</v>
      </c>
      <c r="AC875" t="s">
        <v>3487</v>
      </c>
      <c r="AE875" s="2"/>
      <c r="AF875" t="str">
        <f>_xlfn.CONCAT(FINI_grouping_for_wheel[[#This Row],[SEFI/Plant]],"/",IF(FINI_grouping_for_wheel[[#This Row],[RESET recipe combination]]&lt;&gt;"",FINI_grouping_for_wheel[[#This Row],[RESET recipe combination]],FINI_grouping_for_wheel[[#This Row],[Recipe Combination]]),"/",FINI_grouping_for_wheel[[#This Row],[Subgroup]])</f>
        <v>4722373/THDP/x/</v>
      </c>
      <c r="AG8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0.9496310095292684</v>
      </c>
      <c r="AH875">
        <f>_xlfn.LET(_xlpm.pct, FINI_grouping_for_wheel[[#This Row],[% forecast within subgroup]], _xlpm.lote, FINI_grouping_for_wheel[[#This Row],[Lot size considered]], _xlpm.pct*_xlpm.lote)</f>
        <v>8460.722388273354</v>
      </c>
      <c r="AI875" cm="1" t="str">
        <f t="array" aca="1" ref="AI875" ca="1">IFERROR(INDIRECT("FINI_grouping_for_wheel[@["&amp;FINI_grouping_for_wheel[[#This Row],[Selected PV]]&amp;"]]"),"")</f>
        <v/>
      </c>
      <c r="AJ87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9036.746865</v>
      </c>
      <c r="AK8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26.5</v>
      </c>
      <c r="AL875" s="4"/>
      <c r="AM87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v>
      </c>
      <c r="AN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7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75" t="str">
        <f>_xlfn.CONCAT(FINI_grouping_for_wheel[[#This Row],[Recipe Combination]],FINI_grouping_for_wheel[[#This Row],[Subgroup]])</f>
        <v>X</v>
      </c>
    </row>
    <row r="876" spans="1:55" hidden="1">
      <c r="A876" t="s">
        <v>12</v>
      </c>
      <c r="B876">
        <v>4683589</v>
      </c>
      <c r="C876" t="s">
        <v>3497</v>
      </c>
      <c r="D876">
        <v>8702.1817641</v>
      </c>
      <c r="E876">
        <v>15</v>
      </c>
      <c r="F876">
        <v>0.3</v>
      </c>
      <c r="G876" t="s">
        <v>3498</v>
      </c>
      <c r="H876" t="s">
        <v>3499</v>
      </c>
      <c r="I876">
        <v>240</v>
      </c>
      <c r="J876" t="s">
        <v>90</v>
      </c>
      <c r="K876" t="s">
        <v>440</v>
      </c>
      <c r="L876" t="s">
        <v>441</v>
      </c>
      <c r="M876">
        <v>1959.362775</v>
      </c>
      <c r="N876">
        <v>7.8374511</v>
      </c>
      <c r="O876">
        <v>2829.53295</v>
      </c>
      <c r="P876">
        <v>128998.2888</v>
      </c>
      <c r="Q876">
        <v>0.69246861924686187</v>
      </c>
      <c r="R876">
        <v>6025.98779062</v>
      </c>
      <c r="S876" t="s">
        <v>173</v>
      </c>
      <c r="T876" t="s">
        <v>93</v>
      </c>
      <c r="U876">
        <v>5</v>
      </c>
      <c r="V876" t="s">
        <v>119</v>
      </c>
      <c r="W876" t="s">
        <v>95</v>
      </c>
      <c r="X876" t="s">
        <v>96</v>
      </c>
      <c r="Y876" s="23" t="s">
        <v>120</v>
      </c>
      <c r="AA876">
        <v>1110</v>
      </c>
      <c r="AB876" t="s">
        <v>3500</v>
      </c>
      <c r="AC876" t="s">
        <v>3501</v>
      </c>
      <c r="AE876" s="2"/>
      <c r="AF876" t="str">
        <f>_xlfn.CONCAT(FINI_grouping_for_wheel[[#This Row],[SEFI/Plant]],"/",IF(FINI_grouping_for_wheel[[#This Row],[RESET recipe combination]]&lt;&gt;"",FINI_grouping_for_wheel[[#This Row],[RESET recipe combination]],FINI_grouping_for_wheel[[#This Row],[Recipe Combination]]),"/",FINI_grouping_for_wheel[[#This Row],[Subgroup]])</f>
        <v>4683589/THDP/x/</v>
      </c>
      <c r="AG8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0.015189060205580031</v>
      </c>
      <c r="AH876">
        <f>_xlfn.LET(_xlpm.pct, FINI_grouping_for_wheel[[#This Row],[% forecast within subgroup]], _xlpm.lote, FINI_grouping_for_wheel[[#This Row],[Lot size considered]], _xlpm.pct*_xlpm.lote)</f>
        <v>132.17796273481554</v>
      </c>
      <c r="AI876" cm="1" t="str">
        <f t="array" aca="1" ref="AI876" ca="1">IFERROR(INDIRECT("FINI_grouping_for_wheel[@["&amp;FINI_grouping_for_wheel[[#This Row],[Selected PV]]&amp;"]]"),"")</f>
        <v/>
      </c>
      <c r="AJ87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8911.252935</v>
      </c>
      <c r="AK8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876" s="4"/>
      <c r="AM87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v>
      </c>
      <c r="AN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7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76" t="str">
        <f>_xlfn.CONCAT(FINI_grouping_for_wheel[[#This Row],[Recipe Combination]],FINI_grouping_for_wheel[[#This Row],[Subgroup]])</f>
        <v>P</v>
      </c>
    </row>
    <row r="877" spans="1:55" hidden="1">
      <c r="A877" t="s">
        <v>12</v>
      </c>
      <c r="B877">
        <v>4683589</v>
      </c>
      <c r="C877" t="s">
        <v>3497</v>
      </c>
      <c r="D877">
        <v>8702.1817641</v>
      </c>
      <c r="E877">
        <v>15</v>
      </c>
      <c r="F877">
        <v>0.3</v>
      </c>
      <c r="G877" t="s">
        <v>3502</v>
      </c>
      <c r="H877" t="s">
        <v>3503</v>
      </c>
      <c r="I877">
        <v>240</v>
      </c>
      <c r="J877" t="s">
        <v>90</v>
      </c>
      <c r="K877" t="s">
        <v>440</v>
      </c>
      <c r="L877" t="s">
        <v>441</v>
      </c>
      <c r="M877">
        <v>870.170175</v>
      </c>
      <c r="N877">
        <v>3.4806807</v>
      </c>
      <c r="O877">
        <v>2829.53295</v>
      </c>
      <c r="P877">
        <v>128998.2888</v>
      </c>
      <c r="Q877">
        <v>0.30753138075313807</v>
      </c>
      <c r="R877">
        <v>2676.19397348</v>
      </c>
      <c r="S877" t="s">
        <v>173</v>
      </c>
      <c r="T877" t="s">
        <v>93</v>
      </c>
      <c r="U877">
        <v>5</v>
      </c>
      <c r="V877" t="s">
        <v>119</v>
      </c>
      <c r="W877" t="s">
        <v>95</v>
      </c>
      <c r="X877" t="s">
        <v>96</v>
      </c>
      <c r="Y877" s="23" t="s">
        <v>120</v>
      </c>
      <c r="AA877">
        <v>2500</v>
      </c>
      <c r="AB877" t="s">
        <v>3504</v>
      </c>
      <c r="AC877" t="s">
        <v>3501</v>
      </c>
      <c r="AE877" s="2"/>
      <c r="AF877" t="str">
        <f>_xlfn.CONCAT(FINI_grouping_for_wheel[[#This Row],[SEFI/Plant]],"/",IF(FINI_grouping_for_wheel[[#This Row],[RESET recipe combination]]&lt;&gt;"",FINI_grouping_for_wheel[[#This Row],[RESET recipe combination]],FINI_grouping_for_wheel[[#This Row],[Recipe Combination]]),"/",FINI_grouping_for_wheel[[#This Row],[Subgroup]])</f>
        <v>4683589/THDP/x/</v>
      </c>
      <c r="AG8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0.006745594713656388</v>
      </c>
      <c r="AH877">
        <f>_xlfn.LET(_xlpm.pct, FINI_grouping_for_wheel[[#This Row],[% forecast within subgroup]], _xlpm.lote, FINI_grouping_for_wheel[[#This Row],[Lot size considered]], _xlpm.pct*_xlpm.lote)</f>
        <v>58.70139130518998</v>
      </c>
      <c r="AI877" cm="1" t="str">
        <f t="array" aca="1" ref="AI877" ca="1">IFERROR(INDIRECT("FINI_grouping_for_wheel[@["&amp;FINI_grouping_for_wheel[[#This Row],[Selected PV]]&amp;"]]"),"")</f>
        <v/>
      </c>
      <c r="AJ87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8911.252935</v>
      </c>
      <c r="AK8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0.3</v>
      </c>
      <c r="AL877" s="4"/>
      <c r="AM87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v>
      </c>
      <c r="AN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7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77" t="str">
        <f>_xlfn.CONCAT(FINI_grouping_for_wheel[[#This Row],[Recipe Combination]],FINI_grouping_for_wheel[[#This Row],[Subgroup]])</f>
        <v>P</v>
      </c>
    </row>
    <row r="878" spans="1:55" hidden="1">
      <c r="A878" t="s">
        <v>12</v>
      </c>
      <c r="B878">
        <v>4683589</v>
      </c>
      <c r="C878" t="s">
        <v>3497</v>
      </c>
      <c r="D878">
        <v>8702.1817641</v>
      </c>
      <c r="E878">
        <v>15</v>
      </c>
      <c r="F878">
        <v>0.3</v>
      </c>
      <c r="G878" t="s">
        <v>3505</v>
      </c>
      <c r="H878" t="s">
        <v>3506</v>
      </c>
      <c r="I878">
        <v>330</v>
      </c>
      <c r="J878" t="s">
        <v>90</v>
      </c>
      <c r="K878" t="s">
        <v>3507</v>
      </c>
      <c r="L878" t="s">
        <v>3508</v>
      </c>
      <c r="M878">
        <v>126168.75585</v>
      </c>
      <c r="N878">
        <v>504.6750234</v>
      </c>
      <c r="O878">
        <v>126168.75585</v>
      </c>
      <c r="P878">
        <v>128998.2888</v>
      </c>
      <c r="Q878">
        <v>1</v>
      </c>
      <c r="R878">
        <v>8702.1817641</v>
      </c>
      <c r="S878" t="s">
        <v>218</v>
      </c>
      <c r="T878" t="s">
        <v>93</v>
      </c>
      <c r="U878">
        <v>10</v>
      </c>
      <c r="V878" t="s">
        <v>94</v>
      </c>
      <c r="W878" t="s">
        <v>95</v>
      </c>
      <c r="X878" t="s">
        <v>96</v>
      </c>
      <c r="Y878" s="23" t="s">
        <v>97</v>
      </c>
      <c r="AA878">
        <v>17</v>
      </c>
      <c r="AB878" t="s">
        <v>3509</v>
      </c>
      <c r="AC878" t="s">
        <v>3501</v>
      </c>
      <c r="AE878" s="2"/>
      <c r="AF878" t="str">
        <f>_xlfn.CONCAT(FINI_grouping_for_wheel[[#This Row],[SEFI/Plant]],"/",IF(FINI_grouping_for_wheel[[#This Row],[RESET recipe combination]]&lt;&gt;"",FINI_grouping_for_wheel[[#This Row],[RESET recipe combination]],FINI_grouping_for_wheel[[#This Row],[Recipe Combination]]),"/",FINI_grouping_for_wheel[[#This Row],[Subgroup]])</f>
        <v>4683589/THDP/x/</v>
      </c>
      <c r="AG8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0.9780653450807636</v>
      </c>
      <c r="AH878">
        <f>_xlfn.LET(_xlpm.pct, FINI_grouping_for_wheel[[#This Row],[% forecast within subgroup]], _xlpm.lote, FINI_grouping_for_wheel[[#This Row],[Lot size considered]], _xlpm.pct*_xlpm.lote)</f>
        <v>8511.302410059994</v>
      </c>
      <c r="AI878" cm="1" t="str">
        <f t="array" aca="1" ref="AI878" ca="1">IFERROR(INDIRECT("FINI_grouping_for_wheel[@["&amp;FINI_grouping_for_wheel[[#This Row],[Selected PV]]&amp;"]]"),"")</f>
        <v/>
      </c>
      <c r="AJ87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8911.252935</v>
      </c>
      <c r="AK8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26.4</v>
      </c>
      <c r="AL878" s="4"/>
      <c r="AM87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15</v>
      </c>
      <c r="AN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7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78" t="str">
        <f>_xlfn.CONCAT(FINI_grouping_for_wheel[[#This Row],[Recipe Combination]],FINI_grouping_for_wheel[[#This Row],[Subgroup]])</f>
        <v>U</v>
      </c>
    </row>
    <row r="879" spans="1:55" hidden="1">
      <c r="A879" t="s">
        <v>12</v>
      </c>
      <c r="B879">
        <v>4404332</v>
      </c>
      <c r="C879" t="s">
        <v>3510</v>
      </c>
      <c r="D879">
        <v>8659.93318035</v>
      </c>
      <c r="E879">
        <v>14</v>
      </c>
      <c r="F879">
        <v>0.28000000000000003</v>
      </c>
      <c r="G879" t="s">
        <v>3511</v>
      </c>
      <c r="H879" t="s">
        <v>3512</v>
      </c>
      <c r="I879">
        <v>300</v>
      </c>
      <c r="J879" t="s">
        <v>90</v>
      </c>
      <c r="K879" t="s">
        <v>292</v>
      </c>
      <c r="L879" t="s">
        <v>293</v>
      </c>
      <c r="M879">
        <v>113737.75335</v>
      </c>
      <c r="N879">
        <v>454.9510134</v>
      </c>
      <c r="O879">
        <v>113737.75335</v>
      </c>
      <c r="P879">
        <v>113737.75335</v>
      </c>
      <c r="Q879">
        <v>1</v>
      </c>
      <c r="R879">
        <v>8659.93318035</v>
      </c>
      <c r="S879" t="s">
        <v>294</v>
      </c>
      <c r="T879" t="s">
        <v>93</v>
      </c>
      <c r="U879">
        <v>12.5</v>
      </c>
      <c r="V879" t="s">
        <v>295</v>
      </c>
      <c r="W879" t="s">
        <v>142</v>
      </c>
      <c r="X879" t="s">
        <v>128</v>
      </c>
      <c r="Y879" s="23" t="s">
        <v>120</v>
      </c>
      <c r="AA879">
        <v>19</v>
      </c>
      <c r="AB879" t="s">
        <v>3513</v>
      </c>
      <c r="AC879" t="s">
        <v>3514</v>
      </c>
      <c r="AE879" s="2"/>
      <c r="AF879" t="str">
        <f>_xlfn.CONCAT(FINI_grouping_for_wheel[[#This Row],[SEFI/Plant]],"/",IF(FINI_grouping_for_wheel[[#This Row],[RESET recipe combination]]&lt;&gt;"",FINI_grouping_for_wheel[[#This Row],[RESET recipe combination]],FINI_grouping_for_wheel[[#This Row],[Recipe Combination]]),"/",FINI_grouping_for_wheel[[#This Row],[Subgroup]])</f>
        <v>4404332/THDP/x/</v>
      </c>
      <c r="AG8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879">
        <f>_xlfn.LET(_xlpm.pct, FINI_grouping_for_wheel[[#This Row],[% forecast within subgroup]], _xlpm.lote, FINI_grouping_for_wheel[[#This Row],[Lot size considered]], _xlpm.pct*_xlpm.lote)</f>
        <v>8659.93318035</v>
      </c>
      <c r="AI879" cm="1" t="str">
        <f t="array" aca="1" ref="AI879" ca="1">IFERROR(INDIRECT("FINI_grouping_for_wheel[@["&amp;FINI_grouping_for_wheel[[#This Row],[Selected PV]]&amp;"]]"),"")</f>
        <v/>
      </c>
      <c r="AJ87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8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29.6</v>
      </c>
      <c r="AL879" s="4"/>
      <c r="AM87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v>
      </c>
      <c r="AN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7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79" t="str">
        <f>_xlfn.CONCAT(FINI_grouping_for_wheel[[#This Row],[Recipe Combination]],FINI_grouping_for_wheel[[#This Row],[Subgroup]])</f>
        <v>C</v>
      </c>
    </row>
    <row r="880" spans="1:55" hidden="1">
      <c r="A880" t="s">
        <v>13</v>
      </c>
      <c r="B880">
        <v>4361695</v>
      </c>
      <c r="C880" t="s">
        <v>3515</v>
      </c>
      <c r="D880">
        <v>6165.54418685</v>
      </c>
      <c r="E880">
        <v>12</v>
      </c>
      <c r="F880">
        <v>0.24</v>
      </c>
      <c r="G880" t="s">
        <v>3516</v>
      </c>
      <c r="H880" t="s">
        <v>3517</v>
      </c>
      <c r="I880">
        <v>300</v>
      </c>
      <c r="J880" t="s">
        <v>90</v>
      </c>
      <c r="K880" t="s">
        <v>264</v>
      </c>
      <c r="L880" t="s">
        <v>265</v>
      </c>
      <c r="M880">
        <v>410.815035</v>
      </c>
      <c r="N880">
        <v>1.64326014</v>
      </c>
      <c r="O880">
        <v>410.815035</v>
      </c>
      <c r="P880">
        <v>69444.315585</v>
      </c>
      <c r="Q880">
        <v>1</v>
      </c>
      <c r="R880">
        <v>6165.54418685</v>
      </c>
      <c r="S880" t="s">
        <v>266</v>
      </c>
      <c r="T880" t="s">
        <v>93</v>
      </c>
      <c r="U880">
        <v>2.5</v>
      </c>
      <c r="V880" t="s">
        <v>267</v>
      </c>
      <c r="W880" t="s">
        <v>142</v>
      </c>
      <c r="X880" t="s">
        <v>150</v>
      </c>
      <c r="Y880" s="23" t="s">
        <v>151</v>
      </c>
      <c r="AA880">
        <v>3752</v>
      </c>
      <c r="AB880" t="s">
        <v>3518</v>
      </c>
      <c r="AC880" t="s">
        <v>3519</v>
      </c>
      <c r="AE880" s="2"/>
      <c r="AF880" t="str">
        <f>_xlfn.CONCAT(FINI_grouping_for_wheel[[#This Row],[SEFI/Plant]],"/",IF(FINI_grouping_for_wheel[[#This Row],[RESET recipe combination]]&lt;&gt;"",FINI_grouping_for_wheel[[#This Row],[RESET recipe combination]],FINI_grouping_for_wheel[[#This Row],[Recipe Combination]]),"/",FINI_grouping_for_wheel[[#This Row],[Subgroup]])</f>
        <v>4361695/THDP/x/</v>
      </c>
      <c r="AG8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0.005915747481119048</v>
      </c>
      <c r="AH880">
        <f>_xlfn.LET(_xlpm.pct, FINI_grouping_for_wheel[[#This Row],[% forecast within subgroup]], _xlpm.lote, FINI_grouping_for_wheel[[#This Row],[Lot size considered]], _xlpm.pct*_xlpm.lote)</f>
        <v>36.473802493086076</v>
      </c>
      <c r="AI880" cm="1" t="str">
        <f t="array" aca="1" ref="AI880" ca="1">IFERROR(INDIRECT("FINI_grouping_for_wheel[@["&amp;FINI_grouping_for_wheel[[#This Row],[Selected PV]]&amp;"]]"),"")</f>
        <v/>
      </c>
      <c r="AJ88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8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880" s="4"/>
      <c r="AM88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27</v>
      </c>
      <c r="AN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8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80" t="str">
        <f>_xlfn.CONCAT(FINI_grouping_for_wheel[[#This Row],[Recipe Combination]],FINI_grouping_for_wheel[[#This Row],[Subgroup]])</f>
        <v>1</v>
      </c>
    </row>
    <row r="881" spans="1:55" hidden="1">
      <c r="A881" t="s">
        <v>13</v>
      </c>
      <c r="B881">
        <v>4361695</v>
      </c>
      <c r="C881" t="s">
        <v>3515</v>
      </c>
      <c r="D881">
        <v>6165.54418685</v>
      </c>
      <c r="E881">
        <v>12</v>
      </c>
      <c r="F881">
        <v>0.24</v>
      </c>
      <c r="G881" t="s">
        <v>3520</v>
      </c>
      <c r="H881" t="s">
        <v>3521</v>
      </c>
      <c r="J881" t="s">
        <v>90</v>
      </c>
      <c r="K881" t="s">
        <v>3522</v>
      </c>
      <c r="L881" t="s">
        <v>3523</v>
      </c>
      <c r="M881">
        <v>29680.49835</v>
      </c>
      <c r="N881">
        <v>118.7219934</v>
      </c>
      <c r="O881">
        <v>41886.5589</v>
      </c>
      <c r="P881">
        <v>69444.315585</v>
      </c>
      <c r="Q881">
        <v>0.70859242509892595</v>
      </c>
      <c r="R881">
        <v>4368.85790741</v>
      </c>
      <c r="S881" t="s">
        <v>118</v>
      </c>
      <c r="T881" t="s">
        <v>93</v>
      </c>
      <c r="U881">
        <v>10</v>
      </c>
      <c r="V881" t="s">
        <v>94</v>
      </c>
      <c r="W881" t="s">
        <v>95</v>
      </c>
      <c r="X881" t="s">
        <v>96</v>
      </c>
      <c r="Y881" s="23" t="s">
        <v>97</v>
      </c>
      <c r="AA881">
        <v>52</v>
      </c>
      <c r="AB881" t="s">
        <v>3524</v>
      </c>
      <c r="AC881" t="s">
        <v>3519</v>
      </c>
      <c r="AE881" s="2"/>
      <c r="AF881" t="str">
        <f>_xlfn.CONCAT(FINI_grouping_for_wheel[[#This Row],[SEFI/Plant]],"/",IF(FINI_grouping_for_wheel[[#This Row],[RESET recipe combination]]&lt;&gt;"",FINI_grouping_for_wheel[[#This Row],[RESET recipe combination]],FINI_grouping_for_wheel[[#This Row],[Recipe Combination]]),"/",FINI_grouping_for_wheel[[#This Row],[Subgroup]])</f>
        <v>4361695/THDP/x/</v>
      </c>
      <c r="AG8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0.42739996931312546</v>
      </c>
      <c r="AH881">
        <f>_xlfn.LET(_xlpm.pct, FINI_grouping_for_wheel[[#This Row],[% forecast within subgroup]], _xlpm.lote, FINI_grouping_for_wheel[[#This Row],[Lot size considered]], _xlpm.pct*_xlpm.lote)</f>
        <v>2635.153396258409</v>
      </c>
      <c r="AI881" cm="1" t="str">
        <f t="array" aca="1" ref="AI881" ca="1">IFERROR(INDIRECT("FINI_grouping_for_wheel[@["&amp;FINI_grouping_for_wheel[[#This Row],[Selected PV]]&amp;"]]"),"")</f>
        <v/>
      </c>
      <c r="AJ88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88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881" s="4"/>
      <c r="AM88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27</v>
      </c>
      <c r="AN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8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81" t="str">
        <f>_xlfn.CONCAT(FINI_grouping_for_wheel[[#This Row],[Recipe Combination]],FINI_grouping_for_wheel[[#This Row],[Subgroup]])</f>
        <v>A</v>
      </c>
    </row>
    <row r="882" spans="1:55" hidden="1">
      <c r="A882" t="s">
        <v>13</v>
      </c>
      <c r="B882">
        <v>4361695</v>
      </c>
      <c r="C882" t="s">
        <v>3515</v>
      </c>
      <c r="D882">
        <v>6165.54418685</v>
      </c>
      <c r="E882">
        <v>12</v>
      </c>
      <c r="F882">
        <v>0.24</v>
      </c>
      <c r="G882" t="s">
        <v>3525</v>
      </c>
      <c r="H882" t="s">
        <v>3526</v>
      </c>
      <c r="I882">
        <v>330</v>
      </c>
      <c r="J882" t="s">
        <v>90</v>
      </c>
      <c r="M882">
        <v>12206.06055</v>
      </c>
      <c r="N882">
        <v>48.8242422</v>
      </c>
      <c r="O882">
        <v>41886.5589</v>
      </c>
      <c r="P882">
        <v>69444.315585</v>
      </c>
      <c r="Q882">
        <v>0.29140757490107405</v>
      </c>
      <c r="R882">
        <v>1796.68627944</v>
      </c>
      <c r="S882" t="s">
        <v>118</v>
      </c>
      <c r="T882" t="s">
        <v>93</v>
      </c>
      <c r="U882">
        <v>10</v>
      </c>
      <c r="AA882">
        <v>126</v>
      </c>
      <c r="AB882" t="s">
        <v>3527</v>
      </c>
      <c r="AC882" t="s">
        <v>3519</v>
      </c>
      <c r="AE882" s="2"/>
      <c r="AF882" t="str">
        <f>_xlfn.CONCAT(FINI_grouping_for_wheel[[#This Row],[SEFI/Plant]],"/",IF(FINI_grouping_for_wheel[[#This Row],[RESET recipe combination]]&lt;&gt;"",FINI_grouping_for_wheel[[#This Row],[RESET recipe combination]],FINI_grouping_for_wheel[[#This Row],[Recipe Combination]]),"/",FINI_grouping_for_wheel[[#This Row],[Subgroup]])</f>
        <v>4361695/THDP/x/</v>
      </c>
      <c r="AG8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0.17576759807013656</v>
      </c>
      <c r="AH882">
        <f>_xlfn.LET(_xlpm.pct, FINI_grouping_for_wheel[[#This Row],[% forecast within subgroup]], _xlpm.lote, FINI_grouping_for_wheel[[#This Row],[Lot size considered]], _xlpm.pct*_xlpm.lote)</f>
        <v>1083.7028925179177</v>
      </c>
      <c r="AI882" cm="1" t="str">
        <f t="array" aca="1" ref="AI882" ca="1">IFERROR(INDIRECT("FINI_grouping_for_wheel[@["&amp;FINI_grouping_for_wheel[[#This Row],[Selected PV]]&amp;"]]"),"")</f>
        <v/>
      </c>
      <c r="AJ88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8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4.7</v>
      </c>
      <c r="AL882" s="4"/>
      <c r="AM88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27</v>
      </c>
      <c r="AN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8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82" t="str">
        <f>_xlfn.CONCAT(FINI_grouping_for_wheel[[#This Row],[Recipe Combination]],FINI_grouping_for_wheel[[#This Row],[Subgroup]])</f>
        <v>A</v>
      </c>
    </row>
    <row r="883" spans="1:55" hidden="1">
      <c r="A883" t="s">
        <v>13</v>
      </c>
      <c r="B883">
        <v>4361695</v>
      </c>
      <c r="C883" t="s">
        <v>3515</v>
      </c>
      <c r="D883">
        <v>6165.54418685</v>
      </c>
      <c r="E883">
        <v>12</v>
      </c>
      <c r="F883">
        <v>0.24</v>
      </c>
      <c r="G883" t="s">
        <v>3528</v>
      </c>
      <c r="H883" t="s">
        <v>3529</v>
      </c>
      <c r="I883">
        <v>320</v>
      </c>
      <c r="J883" t="s">
        <v>90</v>
      </c>
      <c r="K883" t="s">
        <v>3530</v>
      </c>
      <c r="L883" t="s">
        <v>3531</v>
      </c>
      <c r="M883">
        <v>27146.94165</v>
      </c>
      <c r="N883">
        <v>108.5877666</v>
      </c>
      <c r="O883">
        <v>27146.94165</v>
      </c>
      <c r="P883">
        <v>69444.315585</v>
      </c>
      <c r="Q883">
        <v>1</v>
      </c>
      <c r="R883">
        <v>6165.54418685</v>
      </c>
      <c r="S883" t="s">
        <v>195</v>
      </c>
      <c r="T883" t="s">
        <v>93</v>
      </c>
      <c r="U883">
        <v>5</v>
      </c>
      <c r="V883" t="s">
        <v>657</v>
      </c>
      <c r="W883" t="s">
        <v>142</v>
      </c>
      <c r="X883" t="s">
        <v>106</v>
      </c>
      <c r="Y883" s="23" t="s">
        <v>107</v>
      </c>
      <c r="AA883">
        <v>57</v>
      </c>
      <c r="AB883" t="s">
        <v>3532</v>
      </c>
      <c r="AC883" t="s">
        <v>3519</v>
      </c>
      <c r="AE883" s="2"/>
      <c r="AF883" t="str">
        <f>_xlfn.CONCAT(FINI_grouping_for_wheel[[#This Row],[SEFI/Plant]],"/",IF(FINI_grouping_for_wheel[[#This Row],[RESET recipe combination]]&lt;&gt;"",FINI_grouping_for_wheel[[#This Row],[RESET recipe combination]],FINI_grouping_for_wheel[[#This Row],[Recipe Combination]]),"/",FINI_grouping_for_wheel[[#This Row],[Subgroup]])</f>
        <v>4361695/THDP/x/</v>
      </c>
      <c r="AG8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0.39091668513561895</v>
      </c>
      <c r="AH883">
        <f>_xlfn.LET(_xlpm.pct, FINI_grouping_for_wheel[[#This Row],[% forecast within subgroup]], _xlpm.lote, FINI_grouping_for_wheel[[#This Row],[Lot size considered]], _xlpm.pct*_xlpm.lote)</f>
        <v>2410.214095580587</v>
      </c>
      <c r="AI883" cm="1" t="str">
        <f t="array" aca="1" ref="AI883" ca="1">IFERROR(INDIRECT("FINI_grouping_for_wheel[@["&amp;FINI_grouping_for_wheel[[#This Row],[Selected PV]]&amp;"]]"),"")</f>
        <v/>
      </c>
      <c r="AJ88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8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10.8</v>
      </c>
      <c r="AL883" s="4"/>
      <c r="AM88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27</v>
      </c>
      <c r="AN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8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83" t="str">
        <f>_xlfn.CONCAT(FINI_grouping_for_wheel[[#This Row],[Recipe Combination]],FINI_grouping_for_wheel[[#This Row],[Subgroup]])</f>
        <v>S</v>
      </c>
    </row>
    <row r="884" spans="1:55" hidden="1">
      <c r="A884" t="s">
        <v>13</v>
      </c>
      <c r="B884">
        <v>4700314</v>
      </c>
      <c r="C884" t="s">
        <v>3533</v>
      </c>
      <c r="D884">
        <v>8639.94335366</v>
      </c>
      <c r="E884">
        <v>12</v>
      </c>
      <c r="F884">
        <v>0.24</v>
      </c>
      <c r="G884" t="s">
        <v>3534</v>
      </c>
      <c r="H884" t="s">
        <v>3535</v>
      </c>
      <c r="I884">
        <v>450</v>
      </c>
      <c r="J884" t="s">
        <v>90</v>
      </c>
      <c r="K884" t="s">
        <v>264</v>
      </c>
      <c r="L884" t="s">
        <v>265</v>
      </c>
      <c r="M884">
        <v>1098.66384</v>
      </c>
      <c r="N884">
        <v>4.39465536</v>
      </c>
      <c r="O884">
        <v>1098.66384</v>
      </c>
      <c r="P884">
        <v>100192.696245</v>
      </c>
      <c r="Q884">
        <v>1</v>
      </c>
      <c r="R884">
        <v>8639.94335366</v>
      </c>
      <c r="S884" t="s">
        <v>266</v>
      </c>
      <c r="T884" t="s">
        <v>93</v>
      </c>
      <c r="U884">
        <v>2.5</v>
      </c>
      <c r="V884" t="s">
        <v>267</v>
      </c>
      <c r="W884" t="s">
        <v>142</v>
      </c>
      <c r="X884" t="s">
        <v>150</v>
      </c>
      <c r="Y884" s="23" t="s">
        <v>151</v>
      </c>
      <c r="AA884">
        <v>1966</v>
      </c>
      <c r="AB884" t="s">
        <v>3536</v>
      </c>
      <c r="AC884" t="s">
        <v>3537</v>
      </c>
      <c r="AE884" s="2"/>
      <c r="AF884"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0.01096550827730447</v>
      </c>
      <c r="AH884">
        <f>_xlfn.LET(_xlpm.pct, FINI_grouping_for_wheel[[#This Row],[% forecast within subgroup]], _xlpm.lote, FINI_grouping_for_wheel[[#This Row],[Lot size considered]], _xlpm.pct*_xlpm.lote)</f>
        <v>94.74137036000047</v>
      </c>
      <c r="AI884" cm="1" t="str">
        <f t="array" aca="1" ref="AI884" ca="1">IFERROR(INDIRECT("FINI_grouping_for_wheel[@["&amp;FINI_grouping_for_wheel[[#This Row],[Selected PV]]&amp;"]]"),"")</f>
        <v/>
      </c>
      <c r="AJ88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884" s="4"/>
      <c r="AM88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8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84" t="str">
        <f>_xlfn.CONCAT(FINI_grouping_for_wheel[[#This Row],[Recipe Combination]],FINI_grouping_for_wheel[[#This Row],[Subgroup]])</f>
        <v>1</v>
      </c>
    </row>
    <row r="885" spans="1:55" hidden="1">
      <c r="A885" t="s">
        <v>13</v>
      </c>
      <c r="B885">
        <v>4700314</v>
      </c>
      <c r="C885" t="s">
        <v>3533</v>
      </c>
      <c r="D885">
        <v>8639.94335366</v>
      </c>
      <c r="E885">
        <v>12</v>
      </c>
      <c r="F885">
        <v>0.24</v>
      </c>
      <c r="G885" t="s">
        <v>3538</v>
      </c>
      <c r="H885" t="s">
        <v>3539</v>
      </c>
      <c r="J885" t="s">
        <v>90</v>
      </c>
      <c r="K885" t="s">
        <v>264</v>
      </c>
      <c r="L885" t="s">
        <v>265</v>
      </c>
      <c r="M885">
        <v>7515.42894</v>
      </c>
      <c r="N885">
        <v>30.06171576</v>
      </c>
      <c r="O885">
        <v>7515.42894</v>
      </c>
      <c r="P885">
        <v>100192.696245</v>
      </c>
      <c r="Q885">
        <v>1</v>
      </c>
      <c r="R885">
        <v>8639.94335366</v>
      </c>
      <c r="S885" t="s">
        <v>594</v>
      </c>
      <c r="T885" t="s">
        <v>93</v>
      </c>
      <c r="U885">
        <v>2.5</v>
      </c>
      <c r="V885" t="s">
        <v>267</v>
      </c>
      <c r="W885" t="s">
        <v>142</v>
      </c>
      <c r="X885" t="s">
        <v>150</v>
      </c>
      <c r="Y885" s="23" t="s">
        <v>151</v>
      </c>
      <c r="AA885">
        <v>287</v>
      </c>
      <c r="AB885" t="s">
        <v>3540</v>
      </c>
      <c r="AC885" t="s">
        <v>3537</v>
      </c>
      <c r="AE885" s="2"/>
      <c r="AF885"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0.07500974843138876</v>
      </c>
      <c r="AH885">
        <f>_xlfn.LET(_xlpm.pct, FINI_grouping_for_wheel[[#This Row],[% forecast within subgroup]], _xlpm.lote, FINI_grouping_for_wheel[[#This Row],[Lot size considered]], _xlpm.pct*_xlpm.lote)</f>
        <v>648.079977419486</v>
      </c>
      <c r="AI885" cm="1" t="str">
        <f t="array" aca="1" ref="AI885" ca="1">IFERROR(INDIRECT("FINI_grouping_for_wheel[@["&amp;FINI_grouping_for_wheel[[#This Row],[Selected PV]]&amp;"]]"),"")</f>
        <v/>
      </c>
      <c r="AJ88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8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885" s="4"/>
      <c r="AM88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8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85" t="str">
        <f>_xlfn.CONCAT(FINI_grouping_for_wheel[[#This Row],[Recipe Combination]],FINI_grouping_for_wheel[[#This Row],[Subgroup]])</f>
        <v>4</v>
      </c>
    </row>
    <row r="886" spans="1:55" hidden="1">
      <c r="A886" t="s">
        <v>13</v>
      </c>
      <c r="B886">
        <v>4700314</v>
      </c>
      <c r="C886" t="s">
        <v>3533</v>
      </c>
      <c r="D886">
        <v>8639.94335366</v>
      </c>
      <c r="E886">
        <v>12</v>
      </c>
      <c r="F886">
        <v>0.24</v>
      </c>
      <c r="G886" t="s">
        <v>3541</v>
      </c>
      <c r="H886" t="s">
        <v>3542</v>
      </c>
      <c r="I886">
        <v>320</v>
      </c>
      <c r="J886" t="s">
        <v>90</v>
      </c>
      <c r="K886" t="s">
        <v>3543</v>
      </c>
      <c r="L886" t="s">
        <v>3544</v>
      </c>
      <c r="M886">
        <v>8186.703075</v>
      </c>
      <c r="N886">
        <v>32.7468123</v>
      </c>
      <c r="O886">
        <v>8186.703075</v>
      </c>
      <c r="P886">
        <v>100192.696245</v>
      </c>
      <c r="Q886">
        <v>1</v>
      </c>
      <c r="R886">
        <v>8639.94335366</v>
      </c>
      <c r="S886" t="s">
        <v>1316</v>
      </c>
      <c r="T886" t="s">
        <v>93</v>
      </c>
      <c r="U886">
        <v>5</v>
      </c>
      <c r="V886" t="s">
        <v>657</v>
      </c>
      <c r="W886" t="s">
        <v>95</v>
      </c>
      <c r="X886" t="s">
        <v>106</v>
      </c>
      <c r="Y886" s="23" t="s">
        <v>107</v>
      </c>
      <c r="AA886">
        <v>264</v>
      </c>
      <c r="AB886" t="s">
        <v>3545</v>
      </c>
      <c r="AC886" t="s">
        <v>3537</v>
      </c>
      <c r="AE886" s="2"/>
      <c r="AF886"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0.08170957945857803</v>
      </c>
      <c r="AH886">
        <f>_xlfn.LET(_xlpm.pct, FINI_grouping_for_wheel[[#This Row],[% forecast within subgroup]], _xlpm.lote, FINI_grouping_for_wheel[[#This Row],[Lot size considered]], _xlpm.pct*_xlpm.lote)</f>
        <v>705.9661379734949</v>
      </c>
      <c r="AI886" cm="1" t="str">
        <f t="array" aca="1" ref="AI886" ca="1">IFERROR(INDIRECT("FINI_grouping_for_wheel[@["&amp;FINI_grouping_for_wheel[[#This Row],[Selected PV]]&amp;"]]"),"")</f>
        <v/>
      </c>
      <c r="AJ88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v>
      </c>
      <c r="AL886" s="4"/>
      <c r="AM88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8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86" t="str">
        <f>_xlfn.CONCAT(FINI_grouping_for_wheel[[#This Row],[Recipe Combination]],FINI_grouping_for_wheel[[#This Row],[Subgroup]])</f>
        <v>6</v>
      </c>
    </row>
    <row r="887" spans="1:55" hidden="1">
      <c r="A887" t="s">
        <v>13</v>
      </c>
      <c r="B887">
        <v>4700314</v>
      </c>
      <c r="C887" t="s">
        <v>3533</v>
      </c>
      <c r="D887">
        <v>8639.94335366</v>
      </c>
      <c r="E887">
        <v>12</v>
      </c>
      <c r="F887">
        <v>0.24</v>
      </c>
      <c r="G887" t="s">
        <v>3546</v>
      </c>
      <c r="H887" t="s">
        <v>3547</v>
      </c>
      <c r="J887" t="s">
        <v>90</v>
      </c>
      <c r="K887" t="s">
        <v>3548</v>
      </c>
      <c r="L887" t="s">
        <v>3549</v>
      </c>
      <c r="M887">
        <v>9352.8495</v>
      </c>
      <c r="N887">
        <v>37.411398</v>
      </c>
      <c r="O887">
        <v>9352.8495</v>
      </c>
      <c r="P887">
        <v>100192.696245</v>
      </c>
      <c r="Q887">
        <v>1</v>
      </c>
      <c r="R887">
        <v>8639.94335366</v>
      </c>
      <c r="S887" t="s">
        <v>3550</v>
      </c>
      <c r="T887" t="s">
        <v>93</v>
      </c>
      <c r="U887">
        <v>10</v>
      </c>
      <c r="V887" t="s">
        <v>94</v>
      </c>
      <c r="W887" t="s">
        <v>95</v>
      </c>
      <c r="X887" t="s">
        <v>96</v>
      </c>
      <c r="Y887" s="23" t="s">
        <v>97</v>
      </c>
      <c r="AA887">
        <v>231</v>
      </c>
      <c r="AB887" t="s">
        <v>3551</v>
      </c>
      <c r="AC887" t="s">
        <v>3537</v>
      </c>
      <c r="AE887" s="2"/>
      <c r="AF887"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0.09334861572274279</v>
      </c>
      <c r="AH887">
        <f>_xlfn.LET(_xlpm.pct, FINI_grouping_for_wheel[[#This Row],[% forecast within subgroup]], _xlpm.lote, FINI_grouping_for_wheel[[#This Row],[Lot size considered]], _xlpm.pct*_xlpm.lote)</f>
        <v>806.526751987073</v>
      </c>
      <c r="AI887" cm="1" t="str">
        <f t="array" aca="1" ref="AI887" ca="1">IFERROR(INDIRECT("FINI_grouping_for_wheel[@["&amp;FINI_grouping_for_wheel[[#This Row],[Selected PV]]&amp;"]]"),"")</f>
        <v/>
      </c>
      <c r="AJ88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8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887" s="4"/>
      <c r="AM88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8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87" t="str">
        <f>_xlfn.CONCAT(FINI_grouping_for_wheel[[#This Row],[Recipe Combination]],FINI_grouping_for_wheel[[#This Row],[Subgroup]])</f>
        <v>7</v>
      </c>
    </row>
    <row r="888" spans="1:55" hidden="1">
      <c r="A888" t="s">
        <v>13</v>
      </c>
      <c r="B888">
        <v>4700314</v>
      </c>
      <c r="C888" t="s">
        <v>3533</v>
      </c>
      <c r="D888">
        <v>8639.94335366</v>
      </c>
      <c r="E888">
        <v>12</v>
      </c>
      <c r="F888">
        <v>0.24</v>
      </c>
      <c r="G888" t="s">
        <v>3552</v>
      </c>
      <c r="H888" t="s">
        <v>3553</v>
      </c>
      <c r="I888">
        <v>300</v>
      </c>
      <c r="J888" t="s">
        <v>90</v>
      </c>
      <c r="K888" t="s">
        <v>487</v>
      </c>
      <c r="L888" t="s">
        <v>488</v>
      </c>
      <c r="M888">
        <v>3955.426605</v>
      </c>
      <c r="N888">
        <v>15.82170642</v>
      </c>
      <c r="O888">
        <v>3955.426605</v>
      </c>
      <c r="P888">
        <v>100192.696245</v>
      </c>
      <c r="Q888">
        <v>1</v>
      </c>
      <c r="R888">
        <v>8639.94335366</v>
      </c>
      <c r="S888" t="s">
        <v>307</v>
      </c>
      <c r="T888" t="s">
        <v>93</v>
      </c>
      <c r="U888">
        <v>0.25</v>
      </c>
      <c r="V888" t="s">
        <v>489</v>
      </c>
      <c r="W888" t="s">
        <v>142</v>
      </c>
      <c r="X888" t="s">
        <v>150</v>
      </c>
      <c r="Y888" s="23" t="s">
        <v>151</v>
      </c>
      <c r="AA888">
        <v>546</v>
      </c>
      <c r="AB888" t="s">
        <v>3554</v>
      </c>
      <c r="AC888" t="s">
        <v>3537</v>
      </c>
      <c r="AE888" s="2"/>
      <c r="AF888"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0.03947819305439034</v>
      </c>
      <c r="AH888">
        <f>_xlfn.LET(_xlpm.pct, FINI_grouping_for_wheel[[#This Row],[% forecast within subgroup]], _xlpm.lote, FINI_grouping_for_wheel[[#This Row],[Lot size considered]], _xlpm.pct*_xlpm.lote)</f>
        <v>341.0893516947862</v>
      </c>
      <c r="AI888" cm="1" t="str">
        <f t="array" aca="1" ref="AI888" ca="1">IFERROR(INDIRECT("FINI_grouping_for_wheel[@["&amp;FINI_grouping_for_wheel[[#This Row],[Selected PV]]&amp;"]]"),"")</f>
        <v/>
      </c>
      <c r="AJ88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v>
      </c>
      <c r="AL888" s="4"/>
      <c r="AM88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8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88" t="str">
        <f>_xlfn.CONCAT(FINI_grouping_for_wheel[[#This Row],[Recipe Combination]],FINI_grouping_for_wheel[[#This Row],[Subgroup]])</f>
        <v>H</v>
      </c>
    </row>
    <row r="889" spans="1:55" hidden="1">
      <c r="A889" t="s">
        <v>13</v>
      </c>
      <c r="B889">
        <v>4700314</v>
      </c>
      <c r="C889" t="s">
        <v>3533</v>
      </c>
      <c r="D889">
        <v>8639.94335366</v>
      </c>
      <c r="E889">
        <v>12</v>
      </c>
      <c r="F889">
        <v>0.24</v>
      </c>
      <c r="G889" t="s">
        <v>3555</v>
      </c>
      <c r="H889" t="s">
        <v>3556</v>
      </c>
      <c r="I889">
        <v>396</v>
      </c>
      <c r="J889" t="s">
        <v>90</v>
      </c>
      <c r="K889" t="s">
        <v>860</v>
      </c>
      <c r="L889" t="s">
        <v>861</v>
      </c>
      <c r="M889">
        <v>6473.59254</v>
      </c>
      <c r="N889">
        <v>25.89437016</v>
      </c>
      <c r="O889">
        <v>7539.10704</v>
      </c>
      <c r="P889">
        <v>100192.696245</v>
      </c>
      <c r="Q889">
        <v>0.85866834170854267</v>
      </c>
      <c r="R889">
        <v>7418.84583195</v>
      </c>
      <c r="S889" t="s">
        <v>148</v>
      </c>
      <c r="T889" t="s">
        <v>93</v>
      </c>
      <c r="U889">
        <v>2</v>
      </c>
      <c r="V889" t="s">
        <v>862</v>
      </c>
      <c r="W889" t="s">
        <v>142</v>
      </c>
      <c r="X889" t="s">
        <v>150</v>
      </c>
      <c r="Y889" s="23" t="s">
        <v>151</v>
      </c>
      <c r="AA889">
        <v>334</v>
      </c>
      <c r="AB889" t="s">
        <v>3557</v>
      </c>
      <c r="AC889" t="s">
        <v>3537</v>
      </c>
      <c r="AE889" s="2"/>
      <c r="AF889"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0.0646114216167035</v>
      </c>
      <c r="AH889">
        <f>_xlfn.LET(_xlpm.pct, FINI_grouping_for_wheel[[#This Row],[% forecast within subgroup]], _xlpm.lote, FINI_grouping_for_wheel[[#This Row],[Lot size considered]], _xlpm.pct*_xlpm.lote)</f>
        <v>558.2390227677615</v>
      </c>
      <c r="AI889" cm="1" t="str">
        <f t="array" aca="1" ref="AI889" ca="1">IFERROR(INDIRECT("FINI_grouping_for_wheel[@["&amp;FINI_grouping_for_wheel[[#This Row],[Selected PV]]&amp;"]]"),"")</f>
        <v/>
      </c>
      <c r="AJ88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889" s="4"/>
      <c r="AM88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8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89" t="str">
        <f>_xlfn.CONCAT(FINI_grouping_for_wheel[[#This Row],[Recipe Combination]],FINI_grouping_for_wheel[[#This Row],[Subgroup]])</f>
        <v>I</v>
      </c>
    </row>
    <row r="890" spans="1:55" hidden="1">
      <c r="A890" t="s">
        <v>13</v>
      </c>
      <c r="B890">
        <v>4700314</v>
      </c>
      <c r="C890" t="s">
        <v>3533</v>
      </c>
      <c r="D890">
        <v>8639.94335366</v>
      </c>
      <c r="E890">
        <v>12</v>
      </c>
      <c r="F890">
        <v>0.24</v>
      </c>
      <c r="G890" t="s">
        <v>3558</v>
      </c>
      <c r="H890" t="s">
        <v>3559</v>
      </c>
      <c r="I890">
        <v>360</v>
      </c>
      <c r="J890" t="s">
        <v>90</v>
      </c>
      <c r="K890" t="s">
        <v>360</v>
      </c>
      <c r="L890" t="s">
        <v>361</v>
      </c>
      <c r="M890">
        <v>1065.5145</v>
      </c>
      <c r="N890">
        <v>4.262058</v>
      </c>
      <c r="O890">
        <v>7539.10704</v>
      </c>
      <c r="P890">
        <v>100192.696245</v>
      </c>
      <c r="Q890">
        <v>0.14133165829145727</v>
      </c>
      <c r="R890">
        <v>1221.09752172</v>
      </c>
      <c r="S890" t="s">
        <v>148</v>
      </c>
      <c r="T890" t="s">
        <v>93</v>
      </c>
      <c r="U890">
        <v>0.5</v>
      </c>
      <c r="V890" t="s">
        <v>149</v>
      </c>
      <c r="W890" t="s">
        <v>142</v>
      </c>
      <c r="X890" t="s">
        <v>150</v>
      </c>
      <c r="Y890" s="23" t="s">
        <v>151</v>
      </c>
      <c r="AA890">
        <v>2027</v>
      </c>
      <c r="AB890" t="s">
        <v>3560</v>
      </c>
      <c r="AC890" t="s">
        <v>3537</v>
      </c>
      <c r="AE890" s="2"/>
      <c r="AF890"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0.01063465242410994</v>
      </c>
      <c r="AH890">
        <f>_xlfn.LET(_xlpm.pct, FINI_grouping_for_wheel[[#This Row],[% forecast within subgroup]], _xlpm.lote, FINI_grouping_for_wheel[[#This Row],[Lot size considered]], _xlpm.pct*_xlpm.lote)</f>
        <v>91.88279453017289</v>
      </c>
      <c r="AI890" cm="1" t="str">
        <f t="array" aca="1" ref="AI890" ca="1">IFERROR(INDIRECT("FINI_grouping_for_wheel[@["&amp;FINI_grouping_for_wheel[[#This Row],[Selected PV]]&amp;"]]"),"")</f>
        <v/>
      </c>
      <c r="AJ89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0.3</v>
      </c>
      <c r="AL890" s="4"/>
      <c r="AM89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9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90" t="str">
        <f>_xlfn.CONCAT(FINI_grouping_for_wheel[[#This Row],[Recipe Combination]],FINI_grouping_for_wheel[[#This Row],[Subgroup]])</f>
        <v>I</v>
      </c>
    </row>
    <row r="891" spans="1:55" hidden="1">
      <c r="A891" t="s">
        <v>13</v>
      </c>
      <c r="B891">
        <v>4700314</v>
      </c>
      <c r="C891" t="s">
        <v>3533</v>
      </c>
      <c r="D891">
        <v>8639.94335366</v>
      </c>
      <c r="E891">
        <v>12</v>
      </c>
      <c r="F891">
        <v>0.24</v>
      </c>
      <c r="G891" t="s">
        <v>3561</v>
      </c>
      <c r="H891" t="s">
        <v>3562</v>
      </c>
      <c r="I891">
        <v>336</v>
      </c>
      <c r="J891" t="s">
        <v>90</v>
      </c>
      <c r="K891" t="s">
        <v>312</v>
      </c>
      <c r="L891" t="s">
        <v>313</v>
      </c>
      <c r="M891">
        <v>492.50448</v>
      </c>
      <c r="N891">
        <v>1.97001792</v>
      </c>
      <c r="O891">
        <v>20681.636445</v>
      </c>
      <c r="P891">
        <v>100192.696245</v>
      </c>
      <c r="Q891">
        <v>2.3813612685328295E-2</v>
      </c>
      <c r="R891">
        <v>205.748264647</v>
      </c>
      <c r="S891" t="s">
        <v>314</v>
      </c>
      <c r="T891" t="s">
        <v>93</v>
      </c>
      <c r="U891">
        <v>1</v>
      </c>
      <c r="V891" t="s">
        <v>315</v>
      </c>
      <c r="W891" t="s">
        <v>142</v>
      </c>
      <c r="X891" t="s">
        <v>150</v>
      </c>
      <c r="Y891" s="23" t="s">
        <v>151</v>
      </c>
      <c r="AA891">
        <v>4386</v>
      </c>
      <c r="AB891" t="s">
        <v>3563</v>
      </c>
      <c r="AC891" t="s">
        <v>3537</v>
      </c>
      <c r="AE891" s="2"/>
      <c r="AF891"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0.004915572676033039</v>
      </c>
      <c r="AH891">
        <f>_xlfn.LET(_xlpm.pct, FINI_grouping_for_wheel[[#This Row],[% forecast within subgroup]], _xlpm.lote, FINI_grouping_for_wheel[[#This Row],[Lot size considered]], _xlpm.pct*_xlpm.lote)</f>
        <v>42.47026947172436</v>
      </c>
      <c r="AI891" cm="1" t="str">
        <f t="array" aca="1" ref="AI891" ca="1">IFERROR(INDIRECT("FINI_grouping_for_wheel[@["&amp;FINI_grouping_for_wheel[[#This Row],[Selected PV]]&amp;"]]"),"")</f>
        <v/>
      </c>
      <c r="AJ89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0.1</v>
      </c>
      <c r="AL891" s="4"/>
      <c r="AM89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9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91" t="str">
        <f>_xlfn.CONCAT(FINI_grouping_for_wheel[[#This Row],[Recipe Combination]],FINI_grouping_for_wheel[[#This Row],[Subgroup]])</f>
        <v>K</v>
      </c>
    </row>
    <row r="892" spans="1:55" hidden="1">
      <c r="A892" t="s">
        <v>13</v>
      </c>
      <c r="B892">
        <v>4700314</v>
      </c>
      <c r="C892" t="s">
        <v>3533</v>
      </c>
      <c r="D892">
        <v>8639.94335366</v>
      </c>
      <c r="E892">
        <v>12</v>
      </c>
      <c r="F892">
        <v>0.24</v>
      </c>
      <c r="G892" t="s">
        <v>3564</v>
      </c>
      <c r="H892" t="s">
        <v>3565</v>
      </c>
      <c r="I892">
        <v>336</v>
      </c>
      <c r="J892" t="s">
        <v>90</v>
      </c>
      <c r="K892" t="s">
        <v>312</v>
      </c>
      <c r="L892" t="s">
        <v>313</v>
      </c>
      <c r="M892">
        <v>15787.373175</v>
      </c>
      <c r="N892">
        <v>63.1494927</v>
      </c>
      <c r="O892">
        <v>20681.636445</v>
      </c>
      <c r="P892">
        <v>100192.696245</v>
      </c>
      <c r="Q892">
        <v>0.76335222393955005</v>
      </c>
      <c r="R892">
        <v>6595.31997373</v>
      </c>
      <c r="S892" t="s">
        <v>314</v>
      </c>
      <c r="T892" t="s">
        <v>93</v>
      </c>
      <c r="U892">
        <v>1</v>
      </c>
      <c r="V892" t="s">
        <v>315</v>
      </c>
      <c r="W892" t="s">
        <v>142</v>
      </c>
      <c r="X892" t="s">
        <v>150</v>
      </c>
      <c r="Y892" s="23" t="s">
        <v>151</v>
      </c>
      <c r="AA892">
        <v>137</v>
      </c>
      <c r="AB892" t="s">
        <v>3566</v>
      </c>
      <c r="AC892" t="s">
        <v>3537</v>
      </c>
      <c r="AE892" s="2"/>
      <c r="AF892"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0.1575701000838956</v>
      </c>
      <c r="AH892">
        <f>_xlfn.LET(_xlpm.pct, FINI_grouping_for_wheel[[#This Row],[% forecast within subgroup]], _xlpm.lote, FINI_grouping_for_wheel[[#This Row],[Lot size considered]], _xlpm.pct*_xlpm.lote)</f>
        <v>1361.396738955395</v>
      </c>
      <c r="AI892" cm="1" t="str">
        <f t="array" aca="1" ref="AI892" ca="1">IFERROR(INDIRECT("FINI_grouping_for_wheel[@["&amp;FINI_grouping_for_wheel[[#This Row],[Selected PV]]&amp;"]]"),"")</f>
        <v/>
      </c>
      <c r="AJ89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4.2</v>
      </c>
      <c r="AL892" s="4"/>
      <c r="AM89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9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92" t="str">
        <f>_xlfn.CONCAT(FINI_grouping_for_wheel[[#This Row],[Recipe Combination]],FINI_grouping_for_wheel[[#This Row],[Subgroup]])</f>
        <v>K</v>
      </c>
    </row>
    <row r="893" spans="1:55" hidden="1">
      <c r="A893" t="s">
        <v>13</v>
      </c>
      <c r="B893">
        <v>4700314</v>
      </c>
      <c r="C893" t="s">
        <v>3533</v>
      </c>
      <c r="D893">
        <v>8639.94335366</v>
      </c>
      <c r="E893">
        <v>12</v>
      </c>
      <c r="F893">
        <v>0.24</v>
      </c>
      <c r="G893" t="s">
        <v>3567</v>
      </c>
      <c r="H893" t="s">
        <v>3568</v>
      </c>
      <c r="I893">
        <v>552</v>
      </c>
      <c r="J893" t="s">
        <v>90</v>
      </c>
      <c r="K893" t="s">
        <v>312</v>
      </c>
      <c r="L893" t="s">
        <v>313</v>
      </c>
      <c r="M893">
        <v>4401.75879</v>
      </c>
      <c r="N893">
        <v>17.60703516</v>
      </c>
      <c r="O893">
        <v>20681.636445</v>
      </c>
      <c r="P893">
        <v>100192.696245</v>
      </c>
      <c r="Q893">
        <v>0.21283416337512165</v>
      </c>
      <c r="R893">
        <v>1838.87511529</v>
      </c>
      <c r="S893" t="s">
        <v>314</v>
      </c>
      <c r="T893" t="s">
        <v>93</v>
      </c>
      <c r="U893">
        <v>1</v>
      </c>
      <c r="V893" t="s">
        <v>315</v>
      </c>
      <c r="W893" t="s">
        <v>142</v>
      </c>
      <c r="X893" t="s">
        <v>150</v>
      </c>
      <c r="Y893" s="23" t="s">
        <v>151</v>
      </c>
      <c r="AA893">
        <v>491</v>
      </c>
      <c r="AB893" t="s">
        <v>3569</v>
      </c>
      <c r="AC893" t="s">
        <v>3537</v>
      </c>
      <c r="AE893" s="2"/>
      <c r="AF893"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0.04393293079204528</v>
      </c>
      <c r="AH893">
        <f>_xlfn.LET(_xlpm.pct, FINI_grouping_for_wheel[[#This Row],[% forecast within subgroup]], _xlpm.lote, FINI_grouping_for_wheel[[#This Row],[Lot size considered]], _xlpm.pct*_xlpm.lote)</f>
        <v>379.5780334035364</v>
      </c>
      <c r="AI893" cm="1" t="str">
        <f t="array" aca="1" ref="AI893" ca="1">IFERROR(INDIRECT("FINI_grouping_for_wheel[@["&amp;FINI_grouping_for_wheel[[#This Row],[Selected PV]]&amp;"]]"),"")</f>
        <v/>
      </c>
      <c r="AJ89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0.7</v>
      </c>
      <c r="AL893" s="4"/>
      <c r="AM89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9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93" t="str">
        <f>_xlfn.CONCAT(FINI_grouping_for_wheel[[#This Row],[Recipe Combination]],FINI_grouping_for_wheel[[#This Row],[Subgroup]])</f>
        <v>K</v>
      </c>
    </row>
    <row r="894" spans="1:55" hidden="1">
      <c r="A894" t="s">
        <v>13</v>
      </c>
      <c r="B894">
        <v>4700314</v>
      </c>
      <c r="C894" t="s">
        <v>3533</v>
      </c>
      <c r="D894">
        <v>8639.94335366</v>
      </c>
      <c r="E894">
        <v>12</v>
      </c>
      <c r="F894">
        <v>0.24</v>
      </c>
      <c r="G894" t="s">
        <v>3570</v>
      </c>
      <c r="H894" t="s">
        <v>3571</v>
      </c>
      <c r="I894">
        <v>552</v>
      </c>
      <c r="J894" t="s">
        <v>90</v>
      </c>
      <c r="K894" t="s">
        <v>312</v>
      </c>
      <c r="L894" t="s">
        <v>313</v>
      </c>
      <c r="M894">
        <v>24292.546695</v>
      </c>
      <c r="N894">
        <v>97.17018678</v>
      </c>
      <c r="O894">
        <v>24292.546695</v>
      </c>
      <c r="P894">
        <v>100192.696245</v>
      </c>
      <c r="Q894">
        <v>1</v>
      </c>
      <c r="R894">
        <v>8639.94335366</v>
      </c>
      <c r="S894" t="s">
        <v>356</v>
      </c>
      <c r="T894" t="s">
        <v>93</v>
      </c>
      <c r="U894">
        <v>1</v>
      </c>
      <c r="V894" t="s">
        <v>315</v>
      </c>
      <c r="W894" t="s">
        <v>142</v>
      </c>
      <c r="X894" t="s">
        <v>150</v>
      </c>
      <c r="Y894" s="23" t="s">
        <v>151</v>
      </c>
      <c r="AA894">
        <v>89</v>
      </c>
      <c r="AB894" t="s">
        <v>3572</v>
      </c>
      <c r="AC894" t="s">
        <v>3537</v>
      </c>
      <c r="AE894" s="2"/>
      <c r="AF894"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0.24245825898923537</v>
      </c>
      <c r="AH894">
        <f>_xlfn.LET(_xlpm.pct, FINI_grouping_for_wheel[[#This Row],[% forecast within subgroup]], _xlpm.lote, FINI_grouping_for_wheel[[#This Row],[Lot size considered]], _xlpm.pct*_xlpm.lote)</f>
        <v>2094.8256232940194</v>
      </c>
      <c r="AI894" cm="1" t="str">
        <f t="array" aca="1" ref="AI894" ca="1">IFERROR(INDIRECT("FINI_grouping_for_wheel[@["&amp;FINI_grouping_for_wheel[[#This Row],[Selected PV]]&amp;"]]"),"")</f>
        <v/>
      </c>
      <c r="AJ89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3.9</v>
      </c>
      <c r="AL894" s="4"/>
      <c r="AM89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9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94" t="str">
        <f>_xlfn.CONCAT(FINI_grouping_for_wheel[[#This Row],[Recipe Combination]],FINI_grouping_for_wheel[[#This Row],[Subgroup]])</f>
        <v>R</v>
      </c>
    </row>
    <row r="895" spans="1:55" hidden="1">
      <c r="A895" t="s">
        <v>13</v>
      </c>
      <c r="B895">
        <v>4700314</v>
      </c>
      <c r="C895" t="s">
        <v>3533</v>
      </c>
      <c r="D895">
        <v>8639.94335366</v>
      </c>
      <c r="E895">
        <v>12</v>
      </c>
      <c r="F895">
        <v>0.24</v>
      </c>
      <c r="G895" t="s">
        <v>3573</v>
      </c>
      <c r="H895" t="s">
        <v>3574</v>
      </c>
      <c r="I895">
        <v>375</v>
      </c>
      <c r="J895" t="s">
        <v>90</v>
      </c>
      <c r="K895" t="s">
        <v>3575</v>
      </c>
      <c r="L895" t="s">
        <v>3576</v>
      </c>
      <c r="M895">
        <v>7625.532105</v>
      </c>
      <c r="N895">
        <v>30.50212842</v>
      </c>
      <c r="O895">
        <v>17570.334105</v>
      </c>
      <c r="P895">
        <v>100192.696245</v>
      </c>
      <c r="Q895">
        <v>0.43400040428542552</v>
      </c>
      <c r="R895">
        <v>3749.73890849</v>
      </c>
      <c r="S895" t="s">
        <v>207</v>
      </c>
      <c r="T895" t="s">
        <v>93</v>
      </c>
      <c r="U895">
        <v>2.5</v>
      </c>
      <c r="V895" t="s">
        <v>105</v>
      </c>
      <c r="W895" t="s">
        <v>95</v>
      </c>
      <c r="X895" t="s">
        <v>106</v>
      </c>
      <c r="Y895" s="23" t="s">
        <v>107</v>
      </c>
      <c r="AA895">
        <v>283</v>
      </c>
      <c r="AB895" t="s">
        <v>3577</v>
      </c>
      <c r="AC895" t="s">
        <v>3537</v>
      </c>
      <c r="AE895" s="2"/>
      <c r="AF895"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0.07610866251521346</v>
      </c>
      <c r="AH895">
        <f>_xlfn.LET(_xlpm.pct, FINI_grouping_for_wheel[[#This Row],[% forecast within subgroup]], _xlpm.lote, FINI_grouping_for_wheel[[#This Row],[Lot size considered]], _xlpm.pct*_xlpm.lote)</f>
        <v>657.5745328542706</v>
      </c>
      <c r="AI895" cm="1" t="str">
        <f t="array" aca="1" ref="AI895" ca="1">IFERROR(INDIRECT("FINI_grouping_for_wheel[@["&amp;FINI_grouping_for_wheel[[#This Row],[Selected PV]]&amp;"]]"),"")</f>
        <v/>
      </c>
      <c r="AJ89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v>
      </c>
      <c r="AL895" s="4"/>
      <c r="AM89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9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95" t="str">
        <f>_xlfn.CONCAT(FINI_grouping_for_wheel[[#This Row],[Recipe Combination]],FINI_grouping_for_wheel[[#This Row],[Subgroup]])</f>
        <v>T</v>
      </c>
    </row>
    <row r="896" spans="1:55" hidden="1">
      <c r="A896" t="s">
        <v>13</v>
      </c>
      <c r="B896">
        <v>4700314</v>
      </c>
      <c r="C896" t="s">
        <v>3533</v>
      </c>
      <c r="D896">
        <v>8639.94335366</v>
      </c>
      <c r="E896">
        <v>12</v>
      </c>
      <c r="F896">
        <v>0.24</v>
      </c>
      <c r="G896" t="s">
        <v>3578</v>
      </c>
      <c r="H896" t="s">
        <v>3579</v>
      </c>
      <c r="I896">
        <v>240</v>
      </c>
      <c r="J896" t="s">
        <v>90</v>
      </c>
      <c r="K896" t="s">
        <v>3580</v>
      </c>
      <c r="L896" t="s">
        <v>3581</v>
      </c>
      <c r="M896">
        <v>9944.802</v>
      </c>
      <c r="N896">
        <v>39.779208</v>
      </c>
      <c r="O896">
        <v>17570.334105</v>
      </c>
      <c r="P896">
        <v>100192.696245</v>
      </c>
      <c r="Q896">
        <v>0.56599959571457448</v>
      </c>
      <c r="R896">
        <v>4890.20444517</v>
      </c>
      <c r="S896" t="s">
        <v>207</v>
      </c>
      <c r="T896" t="s">
        <v>93</v>
      </c>
      <c r="U896">
        <v>5</v>
      </c>
      <c r="V896" t="s">
        <v>196</v>
      </c>
      <c r="W896" t="s">
        <v>95</v>
      </c>
      <c r="X896" t="s">
        <v>106</v>
      </c>
      <c r="Y896" s="23" t="s">
        <v>107</v>
      </c>
      <c r="AA896">
        <v>217</v>
      </c>
      <c r="AB896" t="s">
        <v>3582</v>
      </c>
      <c r="AC896" t="s">
        <v>3537</v>
      </c>
      <c r="AE896" s="2"/>
      <c r="AF896" t="str">
        <f>_xlfn.CONCAT(FINI_grouping_for_wheel[[#This Row],[SEFI/Plant]],"/",IF(FINI_grouping_for_wheel[[#This Row],[RESET recipe combination]]&lt;&gt;"",FINI_grouping_for_wheel[[#This Row],[RESET recipe combination]],FINI_grouping_for_wheel[[#This Row],[Recipe Combination]]),"/",FINI_grouping_for_wheel[[#This Row],[Subgroup]])</f>
        <v>4700314/THDP/x/</v>
      </c>
      <c r="AG8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0.09925675595835942</v>
      </c>
      <c r="AH896">
        <f>_xlfn.LET(_xlpm.pct, FINI_grouping_for_wheel[[#This Row],[% forecast within subgroup]], _xlpm.lote, FINI_grouping_for_wheel[[#This Row],[Lot size considered]], _xlpm.pct*_xlpm.lote)</f>
        <v>857.5727489482802</v>
      </c>
      <c r="AI896" cm="1" t="str">
        <f t="array" aca="1" ref="AI896" ca="1">IFERROR(INDIRECT("FINI_grouping_for_wheel[@["&amp;FINI_grouping_for_wheel[[#This Row],[Selected PV]]&amp;"]]"),"")</f>
        <v/>
      </c>
      <c r="AJ89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8893.49436</v>
      </c>
      <c r="AK8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3.7</v>
      </c>
      <c r="AL896" s="4"/>
      <c r="AM89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19</v>
      </c>
      <c r="AN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9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96" t="str">
        <f>_xlfn.CONCAT(FINI_grouping_for_wheel[[#This Row],[Recipe Combination]],FINI_grouping_for_wheel[[#This Row],[Subgroup]])</f>
        <v>T</v>
      </c>
    </row>
    <row r="897" spans="1:55" hidden="1">
      <c r="A897" t="s">
        <v>13</v>
      </c>
      <c r="B897">
        <v>4047270</v>
      </c>
      <c r="C897" t="s">
        <v>3583</v>
      </c>
      <c r="D897">
        <v>8714.02832622</v>
      </c>
      <c r="E897">
        <v>11</v>
      </c>
      <c r="F897">
        <v>0.22</v>
      </c>
      <c r="G897" t="s">
        <v>3584</v>
      </c>
      <c r="H897" t="s">
        <v>3585</v>
      </c>
      <c r="J897" t="s">
        <v>90</v>
      </c>
      <c r="K897" t="s">
        <v>254</v>
      </c>
      <c r="L897" t="s">
        <v>255</v>
      </c>
      <c r="M897">
        <v>142.0686</v>
      </c>
      <c r="N897">
        <v>0.5682744</v>
      </c>
      <c r="O897">
        <v>26712.448515</v>
      </c>
      <c r="P897">
        <v>89842.998735</v>
      </c>
      <c r="Q897">
        <v>5.3184416965829009E-3</v>
      </c>
      <c r="R897">
        <v>46.3450515954</v>
      </c>
      <c r="S897" t="s">
        <v>471</v>
      </c>
      <c r="T897" t="s">
        <v>93</v>
      </c>
      <c r="U897">
        <v>5</v>
      </c>
      <c r="V897" t="s">
        <v>119</v>
      </c>
      <c r="W897" t="s">
        <v>95</v>
      </c>
      <c r="X897" t="s">
        <v>96</v>
      </c>
      <c r="Y897" s="23" t="s">
        <v>120</v>
      </c>
      <c r="AA897">
        <v>15334</v>
      </c>
      <c r="AB897" t="s">
        <v>3586</v>
      </c>
      <c r="AC897" t="s">
        <v>3587</v>
      </c>
      <c r="AE897" s="2"/>
      <c r="AF897" t="str">
        <f>_xlfn.CONCAT(FINI_grouping_for_wheel[[#This Row],[SEFI/Plant]],"/",IF(FINI_grouping_for_wheel[[#This Row],[RESET recipe combination]]&lt;&gt;"",FINI_grouping_for_wheel[[#This Row],[RESET recipe combination]],FINI_grouping_for_wheel[[#This Row],[Recipe Combination]]),"/",FINI_grouping_for_wheel[[#This Row],[Subgroup]])</f>
        <v>4047270/THDP/x/</v>
      </c>
      <c r="AG8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0.0015812985096261547</v>
      </c>
      <c r="AH897">
        <f>_xlfn.LET(_xlpm.pct, FINI_grouping_for_wheel[[#This Row],[% forecast within subgroup]], _xlpm.lote, FINI_grouping_for_wheel[[#This Row],[Lot size considered]], _xlpm.pct*_xlpm.lote)</f>
        <v>13.77948000509178</v>
      </c>
      <c r="AI897" cm="1" t="str">
        <f t="array" aca="1" ref="AI897" ca="1">IFERROR(INDIRECT("FINI_grouping_for_wheel[@["&amp;FINI_grouping_for_wheel[[#This Row],[Selected PV]]&amp;"]]"),"")</f>
        <v/>
      </c>
      <c r="AJ89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8958.609135</v>
      </c>
      <c r="AK89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897" s="4"/>
      <c r="AM89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9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97" t="str">
        <f>_xlfn.CONCAT(FINI_grouping_for_wheel[[#This Row],[Recipe Combination]],FINI_grouping_for_wheel[[#This Row],[Subgroup]])</f>
        <v/>
      </c>
    </row>
    <row r="898" spans="1:55" hidden="1">
      <c r="A898" t="s">
        <v>13</v>
      </c>
      <c r="B898">
        <v>4047270</v>
      </c>
      <c r="C898" t="s">
        <v>3583</v>
      </c>
      <c r="D898">
        <v>8714.02832622</v>
      </c>
      <c r="E898">
        <v>11</v>
      </c>
      <c r="F898">
        <v>0.22</v>
      </c>
      <c r="G898" t="s">
        <v>3588</v>
      </c>
      <c r="H898" t="s">
        <v>3589</v>
      </c>
      <c r="J898" t="s">
        <v>90</v>
      </c>
      <c r="K898" t="s">
        <v>264</v>
      </c>
      <c r="L898" t="s">
        <v>265</v>
      </c>
      <c r="M898">
        <v>1053.67545</v>
      </c>
      <c r="N898">
        <v>4.2147018</v>
      </c>
      <c r="O898">
        <v>26712.448515</v>
      </c>
      <c r="P898">
        <v>89842.998735</v>
      </c>
      <c r="Q898">
        <v>3.9445109249656517E-2</v>
      </c>
      <c r="R898">
        <v>343.725799332</v>
      </c>
      <c r="S898" t="s">
        <v>471</v>
      </c>
      <c r="T898" t="s">
        <v>93</v>
      </c>
      <c r="U898">
        <v>2.5</v>
      </c>
      <c r="V898" t="s">
        <v>267</v>
      </c>
      <c r="W898" t="s">
        <v>142</v>
      </c>
      <c r="X898" t="s">
        <v>150</v>
      </c>
      <c r="Y898" s="23" t="s">
        <v>151</v>
      </c>
      <c r="AA898">
        <v>2068</v>
      </c>
      <c r="AB898" t="s">
        <v>3590</v>
      </c>
      <c r="AC898" t="s">
        <v>3587</v>
      </c>
      <c r="AE898" s="2"/>
      <c r="AF898" t="str">
        <f>_xlfn.CONCAT(FINI_grouping_for_wheel[[#This Row],[SEFI/Plant]],"/",IF(FINI_grouping_for_wheel[[#This Row],[RESET recipe combination]]&lt;&gt;"",FINI_grouping_for_wheel[[#This Row],[RESET recipe combination]],FINI_grouping_for_wheel[[#This Row],[Recipe Combination]]),"/",FINI_grouping_for_wheel[[#This Row],[Subgroup]])</f>
        <v>4047270/THDP/x/</v>
      </c>
      <c r="AG8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0.01172796394639398</v>
      </c>
      <c r="AH898">
        <f>_xlfn.LET(_xlpm.pct, FINI_grouping_for_wheel[[#This Row],[% forecast within subgroup]], _xlpm.lote, FINI_grouping_for_wheel[[#This Row],[Lot size considered]], _xlpm.pct*_xlpm.lote)</f>
        <v>102.19781003776403</v>
      </c>
      <c r="AI898" cm="1" t="str">
        <f t="array" aca="1" ref="AI898" ca="1">IFERROR(INDIRECT("FINI_grouping_for_wheel[@["&amp;FINI_grouping_for_wheel[[#This Row],[Selected PV]]&amp;"]]"),"")</f>
        <v/>
      </c>
      <c r="AJ89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8958.609135</v>
      </c>
      <c r="AK89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898" s="4"/>
      <c r="AM89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9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98" t="str">
        <f>_xlfn.CONCAT(FINI_grouping_for_wheel[[#This Row],[Recipe Combination]],FINI_grouping_for_wheel[[#This Row],[Subgroup]])</f>
        <v/>
      </c>
    </row>
    <row r="899" spans="1:55" hidden="1">
      <c r="A899" t="s">
        <v>13</v>
      </c>
      <c r="B899">
        <v>4047270</v>
      </c>
      <c r="C899" t="s">
        <v>3583</v>
      </c>
      <c r="D899">
        <v>8714.02832622</v>
      </c>
      <c r="E899">
        <v>11</v>
      </c>
      <c r="F899">
        <v>0.22</v>
      </c>
      <c r="G899" t="s">
        <v>3591</v>
      </c>
      <c r="H899" t="s">
        <v>3592</v>
      </c>
      <c r="J899" t="s">
        <v>90</v>
      </c>
      <c r="K899" t="s">
        <v>264</v>
      </c>
      <c r="L899" t="s">
        <v>265</v>
      </c>
      <c r="M899">
        <v>5248.250865</v>
      </c>
      <c r="N899">
        <v>20.99300346</v>
      </c>
      <c r="O899">
        <v>26712.448515</v>
      </c>
      <c r="P899">
        <v>89842.998735</v>
      </c>
      <c r="Q899">
        <v>0.19647210034126666</v>
      </c>
      <c r="R899">
        <v>1712.06344769</v>
      </c>
      <c r="S899" t="s">
        <v>471</v>
      </c>
      <c r="T899" t="s">
        <v>93</v>
      </c>
      <c r="U899">
        <v>2.5</v>
      </c>
      <c r="V899" t="s">
        <v>267</v>
      </c>
      <c r="W899" t="s">
        <v>142</v>
      </c>
      <c r="X899" t="s">
        <v>150</v>
      </c>
      <c r="Y899" s="23" t="s">
        <v>151</v>
      </c>
      <c r="AA899">
        <v>415</v>
      </c>
      <c r="AB899" t="s">
        <v>3593</v>
      </c>
      <c r="AC899" t="s">
        <v>3587</v>
      </c>
      <c r="AE899" s="2"/>
      <c r="AF899" t="str">
        <f>_xlfn.CONCAT(FINI_grouping_for_wheel[[#This Row],[SEFI/Plant]],"/",IF(FINI_grouping_for_wheel[[#This Row],[RESET recipe combination]]&lt;&gt;"",FINI_grouping_for_wheel[[#This Row],[RESET recipe combination]],FINI_grouping_for_wheel[[#This Row],[Recipe Combination]]),"/",FINI_grouping_for_wheel[[#This Row],[Subgroup]])</f>
        <v>4047270/THDP/x/</v>
      </c>
      <c r="AG8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0.05841580244310619</v>
      </c>
      <c r="AH899">
        <f>_xlfn.LET(_xlpm.pct, FINI_grouping_for_wheel[[#This Row],[% forecast within subgroup]], _xlpm.lote, FINI_grouping_for_wheel[[#This Row],[Lot size considered]], _xlpm.pct*_xlpm.lote)</f>
        <v>509.0369571880988</v>
      </c>
      <c r="AI899" cm="1" t="str">
        <f t="array" aca="1" ref="AI899" ca="1">IFERROR(INDIRECT("FINI_grouping_for_wheel[@["&amp;FINI_grouping_for_wheel[[#This Row],[Selected PV]]&amp;"]]"),"")</f>
        <v/>
      </c>
      <c r="AJ89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8958.609135</v>
      </c>
      <c r="AK89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899" s="4"/>
      <c r="AM89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8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89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899" t="str">
        <f>_xlfn.CONCAT(FINI_grouping_for_wheel[[#This Row],[Recipe Combination]],FINI_grouping_for_wheel[[#This Row],[Subgroup]])</f>
        <v/>
      </c>
    </row>
    <row r="900" spans="1:55" hidden="1">
      <c r="A900" t="s">
        <v>13</v>
      </c>
      <c r="B900">
        <v>4047270</v>
      </c>
      <c r="C900" t="s">
        <v>3583</v>
      </c>
      <c r="D900">
        <v>8714.02832622</v>
      </c>
      <c r="E900">
        <v>11</v>
      </c>
      <c r="F900">
        <v>0.22</v>
      </c>
      <c r="G900" t="s">
        <v>3594</v>
      </c>
      <c r="H900" t="s">
        <v>3595</v>
      </c>
      <c r="I900">
        <v>440</v>
      </c>
      <c r="J900" t="s">
        <v>90</v>
      </c>
      <c r="K900" t="s">
        <v>385</v>
      </c>
      <c r="L900" t="s">
        <v>386</v>
      </c>
      <c r="M900">
        <v>9175.26375</v>
      </c>
      <c r="N900">
        <v>36.701055</v>
      </c>
      <c r="O900">
        <v>26712.448515</v>
      </c>
      <c r="P900">
        <v>89842.998735</v>
      </c>
      <c r="Q900">
        <v>0.34348269290431238</v>
      </c>
      <c r="R900">
        <v>2993.11791553</v>
      </c>
      <c r="S900" t="s">
        <v>471</v>
      </c>
      <c r="T900" t="s">
        <v>93</v>
      </c>
      <c r="U900">
        <v>10</v>
      </c>
      <c r="V900" t="s">
        <v>94</v>
      </c>
      <c r="W900" t="s">
        <v>95</v>
      </c>
      <c r="X900" t="s">
        <v>96</v>
      </c>
      <c r="Y900" s="23" t="s">
        <v>97</v>
      </c>
      <c r="AA900">
        <v>237</v>
      </c>
      <c r="AB900" t="s">
        <v>3596</v>
      </c>
      <c r="AC900" t="s">
        <v>3587</v>
      </c>
      <c r="AE900" s="2"/>
      <c r="AF900" t="str">
        <f>_xlfn.CONCAT(FINI_grouping_for_wheel[[#This Row],[SEFI/Plant]],"/",IF(FINI_grouping_for_wheel[[#This Row],[RESET recipe combination]]&lt;&gt;"",FINI_grouping_for_wheel[[#This Row],[RESET recipe combination]],FINI_grouping_for_wheel[[#This Row],[Recipe Combination]]),"/",FINI_grouping_for_wheel[[#This Row],[Subgroup]])</f>
        <v>4047270/THDP/x/</v>
      </c>
      <c r="AG9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0.10212552874668916</v>
      </c>
      <c r="AH900">
        <f>_xlfn.LET(_xlpm.pct, FINI_grouping_for_wheel[[#This Row],[% forecast within subgroup]], _xlpm.lote, FINI_grouping_for_wheel[[#This Row],[Lot size considered]], _xlpm.pct*_xlpm.lote)</f>
        <v>889.9247503288442</v>
      </c>
      <c r="AI900" cm="1" t="str">
        <f t="array" aca="1" ref="AI900" ca="1">IFERROR(INDIRECT("FINI_grouping_for_wheel[@["&amp;FINI_grouping_for_wheel[[#This Row],[Selected PV]]&amp;"]]"),"")</f>
        <v/>
      </c>
      <c r="AJ90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8958.609135</v>
      </c>
      <c r="AK9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v>
      </c>
      <c r="AL900" s="4"/>
      <c r="AM90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0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00" t="str">
        <f>_xlfn.CONCAT(FINI_grouping_for_wheel[[#This Row],[Recipe Combination]],FINI_grouping_for_wheel[[#This Row],[Subgroup]])</f>
        <v/>
      </c>
    </row>
    <row r="901" spans="1:55" hidden="1">
      <c r="A901" t="s">
        <v>13</v>
      </c>
      <c r="B901">
        <v>4047270</v>
      </c>
      <c r="C901" t="s">
        <v>3583</v>
      </c>
      <c r="D901">
        <v>8714.02832622</v>
      </c>
      <c r="E901">
        <v>11</v>
      </c>
      <c r="F901">
        <v>0.22</v>
      </c>
      <c r="G901" t="s">
        <v>3597</v>
      </c>
      <c r="H901" t="s">
        <v>3598</v>
      </c>
      <c r="I901">
        <v>240</v>
      </c>
      <c r="J901" t="s">
        <v>90</v>
      </c>
      <c r="K901" t="s">
        <v>3599</v>
      </c>
      <c r="L901" t="s">
        <v>3600</v>
      </c>
      <c r="M901">
        <v>7198.1424</v>
      </c>
      <c r="N901">
        <v>28.7925696</v>
      </c>
      <c r="O901">
        <v>26712.448515</v>
      </c>
      <c r="P901">
        <v>89842.998735</v>
      </c>
      <c r="Q901">
        <v>0.26946771262686697</v>
      </c>
      <c r="R901">
        <v>2348.14928083</v>
      </c>
      <c r="S901" t="s">
        <v>471</v>
      </c>
      <c r="T901" t="s">
        <v>93</v>
      </c>
      <c r="U901">
        <v>5</v>
      </c>
      <c r="V901" t="s">
        <v>119</v>
      </c>
      <c r="W901" t="s">
        <v>95</v>
      </c>
      <c r="X901" t="s">
        <v>96</v>
      </c>
      <c r="Y901" s="23" t="s">
        <v>120</v>
      </c>
      <c r="AA901">
        <v>303</v>
      </c>
      <c r="AB901" t="s">
        <v>3601</v>
      </c>
      <c r="AC901" t="s">
        <v>3587</v>
      </c>
      <c r="AE901" s="2"/>
      <c r="AF901" t="str">
        <f>_xlfn.CONCAT(FINI_grouping_for_wheel[[#This Row],[SEFI/Plant]],"/",IF(FINI_grouping_for_wheel[[#This Row],[RESET recipe combination]]&lt;&gt;"",FINI_grouping_for_wheel[[#This Row],[RESET recipe combination]],FINI_grouping_for_wheel[[#This Row],[Recipe Combination]]),"/",FINI_grouping_for_wheel[[#This Row],[Subgroup]])</f>
        <v>4047270/THDP/x/</v>
      </c>
      <c r="AG9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0.08011912448772517</v>
      </c>
      <c r="AH901">
        <f>_xlfn.LET(_xlpm.pct, FINI_grouping_for_wheel[[#This Row],[% forecast within subgroup]], _xlpm.lote, FINI_grouping_for_wheel[[#This Row],[Lot size considered]], _xlpm.pct*_xlpm.lote)</f>
        <v>698.1603202579835</v>
      </c>
      <c r="AI901" cm="1" t="str">
        <f t="array" aca="1" ref="AI901" ca="1">IFERROR(INDIRECT("FINI_grouping_for_wheel[@["&amp;FINI_grouping_for_wheel[[#This Row],[Selected PV]]&amp;"]]"),"")</f>
        <v/>
      </c>
      <c r="AJ90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8958.609135</v>
      </c>
      <c r="AK9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v>
      </c>
      <c r="AL901" s="4"/>
      <c r="AM90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0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01" t="str">
        <f>_xlfn.CONCAT(FINI_grouping_for_wheel[[#This Row],[Recipe Combination]],FINI_grouping_for_wheel[[#This Row],[Subgroup]])</f>
        <v/>
      </c>
    </row>
    <row r="902" spans="1:55" hidden="1">
      <c r="A902" t="s">
        <v>13</v>
      </c>
      <c r="B902">
        <v>4047270</v>
      </c>
      <c r="C902" t="s">
        <v>3583</v>
      </c>
      <c r="D902">
        <v>8714.02832622</v>
      </c>
      <c r="E902">
        <v>11</v>
      </c>
      <c r="F902">
        <v>0.22</v>
      </c>
      <c r="G902" t="s">
        <v>3602</v>
      </c>
      <c r="H902" t="s">
        <v>3603</v>
      </c>
      <c r="I902">
        <v>440</v>
      </c>
      <c r="J902" t="s">
        <v>90</v>
      </c>
      <c r="K902" t="s">
        <v>385</v>
      </c>
      <c r="L902" t="s">
        <v>386</v>
      </c>
      <c r="M902">
        <v>3895.04745</v>
      </c>
      <c r="N902">
        <v>15.5801898</v>
      </c>
      <c r="O902">
        <v>26712.448515</v>
      </c>
      <c r="P902">
        <v>89842.998735</v>
      </c>
      <c r="Q902">
        <v>0.14581394318131455</v>
      </c>
      <c r="R902">
        <v>1270.62683124</v>
      </c>
      <c r="S902" t="s">
        <v>471</v>
      </c>
      <c r="T902" t="s">
        <v>93</v>
      </c>
      <c r="U902">
        <v>10</v>
      </c>
      <c r="V902" t="s">
        <v>94</v>
      </c>
      <c r="W902" t="s">
        <v>95</v>
      </c>
      <c r="X902" t="s">
        <v>96</v>
      </c>
      <c r="Y902" s="23" t="s">
        <v>97</v>
      </c>
      <c r="AA902">
        <v>559</v>
      </c>
      <c r="AB902" t="s">
        <v>3604</v>
      </c>
      <c r="AC902" t="s">
        <v>3587</v>
      </c>
      <c r="AE902" s="2"/>
      <c r="AF902" t="str">
        <f>_xlfn.CONCAT(FINI_grouping_for_wheel[[#This Row],[SEFI/Plant]],"/",IF(FINI_grouping_for_wheel[[#This Row],[RESET recipe combination]]&lt;&gt;"",FINI_grouping_for_wheel[[#This Row],[RESET recipe combination]],FINI_grouping_for_wheel[[#This Row],[Recipe Combination]]),"/",FINI_grouping_for_wheel[[#This Row],[Subgroup]])</f>
        <v>4047270/THDP/x/</v>
      </c>
      <c r="AG9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0.043353934138917076</v>
      </c>
      <c r="AH902">
        <f>_xlfn.LET(_xlpm.pct, FINI_grouping_for_wheel[[#This Row],[% forecast within subgroup]], _xlpm.lote, FINI_grouping_for_wheel[[#This Row],[Lot size considered]], _xlpm.pct*_xlpm.lote)</f>
        <v>377.7874101395997</v>
      </c>
      <c r="AI902" cm="1" t="str">
        <f t="array" aca="1" ref="AI902" ca="1">IFERROR(INDIRECT("FINI_grouping_for_wheel[@["&amp;FINI_grouping_for_wheel[[#This Row],[Selected PV]]&amp;"]]"),"")</f>
        <v/>
      </c>
      <c r="AJ90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8958.609135</v>
      </c>
      <c r="AK9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0.9</v>
      </c>
      <c r="AL902" s="4"/>
      <c r="AM90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0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02" t="str">
        <f>_xlfn.CONCAT(FINI_grouping_for_wheel[[#This Row],[Recipe Combination]],FINI_grouping_for_wheel[[#This Row],[Subgroup]])</f>
        <v/>
      </c>
    </row>
    <row r="903" spans="1:55" hidden="1">
      <c r="A903" t="s">
        <v>13</v>
      </c>
      <c r="B903">
        <v>4047270</v>
      </c>
      <c r="C903" t="s">
        <v>3583</v>
      </c>
      <c r="D903">
        <v>8714.02832622</v>
      </c>
      <c r="E903">
        <v>11</v>
      </c>
      <c r="F903">
        <v>0.22</v>
      </c>
      <c r="G903" t="s">
        <v>3605</v>
      </c>
      <c r="H903" t="s">
        <v>3606</v>
      </c>
      <c r="I903">
        <v>300</v>
      </c>
      <c r="J903" t="s">
        <v>90</v>
      </c>
      <c r="K903" t="s">
        <v>552</v>
      </c>
      <c r="L903" t="s">
        <v>553</v>
      </c>
      <c r="M903">
        <v>14826.042315</v>
      </c>
      <c r="N903">
        <v>59.30416926</v>
      </c>
      <c r="O903">
        <v>14826.042315</v>
      </c>
      <c r="P903">
        <v>89842.998735</v>
      </c>
      <c r="Q903">
        <v>1</v>
      </c>
      <c r="R903">
        <v>8714.02832622</v>
      </c>
      <c r="S903" t="s">
        <v>266</v>
      </c>
      <c r="T903" t="s">
        <v>93</v>
      </c>
      <c r="U903">
        <v>12.5</v>
      </c>
      <c r="V903" t="s">
        <v>295</v>
      </c>
      <c r="W903" t="s">
        <v>142</v>
      </c>
      <c r="X903" t="s">
        <v>128</v>
      </c>
      <c r="Y903" s="23" t="s">
        <v>120</v>
      </c>
      <c r="AA903">
        <v>147</v>
      </c>
      <c r="AB903" t="s">
        <v>3607</v>
      </c>
      <c r="AC903" t="s">
        <v>3587</v>
      </c>
      <c r="AE903" s="2"/>
      <c r="AF903" t="str">
        <f>_xlfn.CONCAT(FINI_grouping_for_wheel[[#This Row],[SEFI/Plant]],"/",IF(FINI_grouping_for_wheel[[#This Row],[RESET recipe combination]]&lt;&gt;"",FINI_grouping_for_wheel[[#This Row],[RESET recipe combination]],FINI_grouping_for_wheel[[#This Row],[Recipe Combination]]),"/",FINI_grouping_for_wheel[[#This Row],[Subgroup]])</f>
        <v>4047270/THDP/x/</v>
      </c>
      <c r="AG9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0.16502167696706946</v>
      </c>
      <c r="AH903">
        <f>_xlfn.LET(_xlpm.pct, FINI_grouping_for_wheel[[#This Row],[% forecast within subgroup]], _xlpm.lote, FINI_grouping_for_wheel[[#This Row],[Lot size considered]], _xlpm.pct*_xlpm.lote)</f>
        <v>1438.0035675313698</v>
      </c>
      <c r="AI903" cm="1" t="str">
        <f t="array" aca="1" ref="AI903" ca="1">IFERROR(INDIRECT("FINI_grouping_for_wheel[@["&amp;FINI_grouping_for_wheel[[#This Row],[Selected PV]]&amp;"]]"),"")</f>
        <v/>
      </c>
      <c r="AJ90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8958.609135</v>
      </c>
      <c r="AK9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4.9</v>
      </c>
      <c r="AL903" s="4"/>
      <c r="AM90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0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03" t="str">
        <f>_xlfn.CONCAT(FINI_grouping_for_wheel[[#This Row],[Recipe Combination]],FINI_grouping_for_wheel[[#This Row],[Subgroup]])</f>
        <v>1</v>
      </c>
    </row>
    <row r="904" spans="1:55" hidden="1">
      <c r="A904" t="s">
        <v>13</v>
      </c>
      <c r="B904">
        <v>4047270</v>
      </c>
      <c r="C904" t="s">
        <v>3583</v>
      </c>
      <c r="D904">
        <v>8714.02832622</v>
      </c>
      <c r="E904">
        <v>11</v>
      </c>
      <c r="F904">
        <v>0.22</v>
      </c>
      <c r="G904" t="s">
        <v>3608</v>
      </c>
      <c r="H904" t="s">
        <v>3609</v>
      </c>
      <c r="I904">
        <v>450</v>
      </c>
      <c r="J904" t="s">
        <v>90</v>
      </c>
      <c r="K904" t="s">
        <v>264</v>
      </c>
      <c r="L904" t="s">
        <v>265</v>
      </c>
      <c r="M904">
        <v>1809.00684</v>
      </c>
      <c r="N904">
        <v>7.23602736</v>
      </c>
      <c r="O904">
        <v>2759.682555</v>
      </c>
      <c r="P904">
        <v>89842.998735</v>
      </c>
      <c r="Q904">
        <v>0.65551265551265547</v>
      </c>
      <c r="R904">
        <v>5712.15584833</v>
      </c>
      <c r="S904" t="s">
        <v>525</v>
      </c>
      <c r="T904" t="s">
        <v>93</v>
      </c>
      <c r="U904">
        <v>2.5</v>
      </c>
      <c r="V904" t="s">
        <v>267</v>
      </c>
      <c r="W904" t="s">
        <v>142</v>
      </c>
      <c r="X904" t="s">
        <v>150</v>
      </c>
      <c r="Y904" s="23" t="s">
        <v>151</v>
      </c>
      <c r="AA904">
        <v>1204</v>
      </c>
      <c r="AB904" t="s">
        <v>3610</v>
      </c>
      <c r="AC904" t="s">
        <v>3587</v>
      </c>
      <c r="AE904" s="2"/>
      <c r="AF904" t="str">
        <f>_xlfn.CONCAT(FINI_grouping_for_wheel[[#This Row],[SEFI/Plant]],"/",IF(FINI_grouping_for_wheel[[#This Row],[RESET recipe combination]]&lt;&gt;"",FINI_grouping_for_wheel[[#This Row],[RESET recipe combination]],FINI_grouping_for_wheel[[#This Row],[Recipe Combination]]),"/",FINI_grouping_for_wheel[[#This Row],[Subgroup]])</f>
        <v>4047270/THDP/x/</v>
      </c>
      <c r="AG9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0.020135201022573036</v>
      </c>
      <c r="AH904">
        <f>_xlfn.LET(_xlpm.pct, FINI_grouping_for_wheel[[#This Row],[% forecast within subgroup]], _xlpm.lote, FINI_grouping_for_wheel[[#This Row],[Lot size considered]], _xlpm.pct*_xlpm.lote)</f>
        <v>175.4587120648353</v>
      </c>
      <c r="AI904" cm="1" t="str">
        <f t="array" aca="1" ref="AI904" ca="1">IFERROR(INDIRECT("FINI_grouping_for_wheel[@["&amp;FINI_grouping_for_wheel[[#This Row],[Selected PV]]&amp;"]]"),"")</f>
        <v/>
      </c>
      <c r="AJ90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8958.609135</v>
      </c>
      <c r="AK9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0.4</v>
      </c>
      <c r="AL904" s="4"/>
      <c r="AM90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0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04" t="str">
        <f>_xlfn.CONCAT(FINI_grouping_for_wheel[[#This Row],[Recipe Combination]],FINI_grouping_for_wheel[[#This Row],[Subgroup]])</f>
        <v>9</v>
      </c>
    </row>
    <row r="905" spans="1:55" hidden="1">
      <c r="A905" t="s">
        <v>13</v>
      </c>
      <c r="B905">
        <v>4047270</v>
      </c>
      <c r="C905" t="s">
        <v>3583</v>
      </c>
      <c r="D905">
        <v>8714.02832622</v>
      </c>
      <c r="E905">
        <v>11</v>
      </c>
      <c r="F905">
        <v>0.22</v>
      </c>
      <c r="G905" t="s">
        <v>3611</v>
      </c>
      <c r="H905" t="s">
        <v>3612</v>
      </c>
      <c r="I905">
        <v>552</v>
      </c>
      <c r="J905" t="s">
        <v>90</v>
      </c>
      <c r="K905" t="s">
        <v>312</v>
      </c>
      <c r="L905" t="s">
        <v>313</v>
      </c>
      <c r="M905">
        <v>950.675715</v>
      </c>
      <c r="N905">
        <v>3.80270286</v>
      </c>
      <c r="O905">
        <v>2759.682555</v>
      </c>
      <c r="P905">
        <v>89842.998735</v>
      </c>
      <c r="Q905">
        <v>0.34448734448734447</v>
      </c>
      <c r="R905">
        <v>3001.87247789</v>
      </c>
      <c r="S905" t="s">
        <v>525</v>
      </c>
      <c r="T905" t="s">
        <v>93</v>
      </c>
      <c r="U905">
        <v>1</v>
      </c>
      <c r="V905" t="s">
        <v>315</v>
      </c>
      <c r="W905" t="s">
        <v>142</v>
      </c>
      <c r="X905" t="s">
        <v>150</v>
      </c>
      <c r="Y905" s="23" t="s">
        <v>151</v>
      </c>
      <c r="AA905">
        <v>2292</v>
      </c>
      <c r="AB905" t="s">
        <v>3613</v>
      </c>
      <c r="AC905" t="s">
        <v>3587</v>
      </c>
      <c r="AE905" s="2"/>
      <c r="AF905" t="str">
        <f>_xlfn.CONCAT(FINI_grouping_for_wheel[[#This Row],[SEFI/Plant]],"/",IF(FINI_grouping_for_wheel[[#This Row],[RESET recipe combination]]&lt;&gt;"",FINI_grouping_for_wheel[[#This Row],[RESET recipe combination]],FINI_grouping_for_wheel[[#This Row],[Recipe Combination]]),"/",FINI_grouping_for_wheel[[#This Row],[Subgroup]])</f>
        <v>4047270/THDP/x/</v>
      </c>
      <c r="AG9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0.010581522526915018</v>
      </c>
      <c r="AH905">
        <f>_xlfn.LET(_xlpm.pct, FINI_grouping_for_wheel[[#This Row],[% forecast within subgroup]], _xlpm.lote, FINI_grouping_for_wheel[[#This Row],[Lot size considered]], _xlpm.pct*_xlpm.lote)</f>
        <v>92.20768703407249</v>
      </c>
      <c r="AI905" cm="1" t="str">
        <f t="array" aca="1" ref="AI905" ca="1">IFERROR(INDIRECT("FINI_grouping_for_wheel[@["&amp;FINI_grouping_for_wheel[[#This Row],[Selected PV]]&amp;"]]"),"")</f>
        <v/>
      </c>
      <c r="AJ90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8958.609135</v>
      </c>
      <c r="AK9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905" s="4"/>
      <c r="AM90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0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05" t="str">
        <f>_xlfn.CONCAT(FINI_grouping_for_wheel[[#This Row],[Recipe Combination]],FINI_grouping_for_wheel[[#This Row],[Subgroup]])</f>
        <v>9</v>
      </c>
    </row>
    <row r="906" spans="1:55" hidden="1">
      <c r="A906" t="s">
        <v>13</v>
      </c>
      <c r="B906">
        <v>4047270</v>
      </c>
      <c r="C906" t="s">
        <v>3583</v>
      </c>
      <c r="D906">
        <v>8714.02832622</v>
      </c>
      <c r="E906">
        <v>11</v>
      </c>
      <c r="F906">
        <v>0.22</v>
      </c>
      <c r="G906" t="s">
        <v>3614</v>
      </c>
      <c r="H906" t="s">
        <v>3615</v>
      </c>
      <c r="I906">
        <v>440</v>
      </c>
      <c r="J906" t="s">
        <v>90</v>
      </c>
      <c r="K906" t="s">
        <v>3616</v>
      </c>
      <c r="L906" t="s">
        <v>3617</v>
      </c>
      <c r="M906">
        <v>45544.82535</v>
      </c>
      <c r="N906">
        <v>182.1793014</v>
      </c>
      <c r="O906">
        <v>45544.82535</v>
      </c>
      <c r="P906">
        <v>89842.998735</v>
      </c>
      <c r="Q906">
        <v>1</v>
      </c>
      <c r="R906">
        <v>8714.02832622</v>
      </c>
      <c r="S906" t="s">
        <v>387</v>
      </c>
      <c r="T906" t="s">
        <v>93</v>
      </c>
      <c r="U906">
        <v>10</v>
      </c>
      <c r="V906" t="s">
        <v>94</v>
      </c>
      <c r="W906" t="s">
        <v>95</v>
      </c>
      <c r="X906" t="s">
        <v>96</v>
      </c>
      <c r="Y906" s="23" t="s">
        <v>97</v>
      </c>
      <c r="AA906">
        <v>48</v>
      </c>
      <c r="AB906" t="s">
        <v>3618</v>
      </c>
      <c r="AC906" t="s">
        <v>3587</v>
      </c>
      <c r="AE906" s="2"/>
      <c r="AF906" t="str">
        <f>_xlfn.CONCAT(FINI_grouping_for_wheel[[#This Row],[SEFI/Plant]],"/",IF(FINI_grouping_for_wheel[[#This Row],[RESET recipe combination]]&lt;&gt;"",FINI_grouping_for_wheel[[#This Row],[RESET recipe combination]],FINI_grouping_for_wheel[[#This Row],[Recipe Combination]]),"/",FINI_grouping_for_wheel[[#This Row],[Subgroup]])</f>
        <v>4047270/THDP/x/</v>
      </c>
      <c r="AG9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0.5069379472109847</v>
      </c>
      <c r="AH906">
        <f>_xlfn.LET(_xlpm.pct, FINI_grouping_for_wheel[[#This Row],[% forecast within subgroup]], _xlpm.lote, FINI_grouping_for_wheel[[#This Row],[Lot size considered]], _xlpm.pct*_xlpm.lote)</f>
        <v>4417.471631632339</v>
      </c>
      <c r="AI906" cm="1" t="str">
        <f t="array" aca="1" ref="AI906" ca="1">IFERROR(INDIRECT("FINI_grouping_for_wheel[@["&amp;FINI_grouping_for_wheel[[#This Row],[Selected PV]]&amp;"]]"),"")</f>
        <v/>
      </c>
      <c r="AJ90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8958.609135</v>
      </c>
      <c r="AK9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10.3</v>
      </c>
      <c r="AL906" s="4"/>
      <c r="AM90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21</v>
      </c>
      <c r="AN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0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06" t="str">
        <f>_xlfn.CONCAT(FINI_grouping_for_wheel[[#This Row],[Recipe Combination]],FINI_grouping_for_wheel[[#This Row],[Subgroup]])</f>
        <v>X</v>
      </c>
    </row>
    <row r="907" spans="1:55" hidden="1">
      <c r="A907" t="s">
        <v>14</v>
      </c>
      <c r="B907">
        <v>4690832</v>
      </c>
      <c r="C907" t="s">
        <v>3619</v>
      </c>
      <c r="D907">
        <v>7723.53905704</v>
      </c>
      <c r="E907">
        <v>10</v>
      </c>
      <c r="F907">
        <v>0.2</v>
      </c>
      <c r="G907" t="s">
        <v>3620</v>
      </c>
      <c r="H907" t="s">
        <v>3621</v>
      </c>
      <c r="I907">
        <v>330</v>
      </c>
      <c r="J907" t="s">
        <v>90</v>
      </c>
      <c r="K907" t="s">
        <v>3622</v>
      </c>
      <c r="L907" t="s">
        <v>3623</v>
      </c>
      <c r="M907">
        <v>67612.81455</v>
      </c>
      <c r="N907">
        <v>270.4512582</v>
      </c>
      <c r="O907">
        <v>73058.77755</v>
      </c>
      <c r="P907">
        <v>73058.77755</v>
      </c>
      <c r="Q907">
        <v>0.92545778642035326</v>
      </c>
      <c r="R907">
        <v>7147.80935906</v>
      </c>
      <c r="S907" t="s">
        <v>387</v>
      </c>
      <c r="T907" t="s">
        <v>93</v>
      </c>
      <c r="U907">
        <v>10</v>
      </c>
      <c r="V907" t="s">
        <v>94</v>
      </c>
      <c r="W907" t="s">
        <v>95</v>
      </c>
      <c r="X907" t="s">
        <v>96</v>
      </c>
      <c r="Y907" s="23" t="s">
        <v>97</v>
      </c>
      <c r="AA907">
        <v>29</v>
      </c>
      <c r="AB907" t="s">
        <v>3624</v>
      </c>
      <c r="AC907" t="s">
        <v>3625</v>
      </c>
      <c r="AE907" s="2"/>
      <c r="AF907" t="str">
        <f>_xlfn.CONCAT(FINI_grouping_for_wheel[[#This Row],[SEFI/Plant]],"/",IF(FINI_grouping_for_wheel[[#This Row],[RESET recipe combination]]&lt;&gt;"",FINI_grouping_for_wheel[[#This Row],[RESET recipe combination]],FINI_grouping_for_wheel[[#This Row],[Recipe Combination]]),"/",FINI_grouping_for_wheel[[#This Row],[Subgroup]])</f>
        <v>4690832/THDP/x/</v>
      </c>
      <c r="AG9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0.9254577864203533</v>
      </c>
      <c r="AH907">
        <f>_xlfn.LET(_xlpm.pct, FINI_grouping_for_wheel[[#This Row],[% forecast within subgroup]], _xlpm.lote, FINI_grouping_for_wheel[[#This Row],[Lot size considered]], _xlpm.pct*_xlpm.lote)</f>
        <v>7147.809359059382</v>
      </c>
      <c r="AI907" cm="1" t="str">
        <f t="array" aca="1" ref="AI907" ca="1">IFERROR(INDIRECT("FINI_grouping_for_wheel[@["&amp;FINI_grouping_for_wheel[[#This Row],[Selected PV]]&amp;"]]"),"")</f>
        <v/>
      </c>
      <c r="AJ90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9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24.9</v>
      </c>
      <c r="AL907" s="4"/>
      <c r="AM90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v>
      </c>
      <c r="AN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0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07" t="str">
        <f>_xlfn.CONCAT(FINI_grouping_for_wheel[[#This Row],[Recipe Combination]],FINI_grouping_for_wheel[[#This Row],[Subgroup]])</f>
        <v>X</v>
      </c>
    </row>
    <row r="908" spans="1:55" hidden="1">
      <c r="A908" t="s">
        <v>14</v>
      </c>
      <c r="B908">
        <v>4690832</v>
      </c>
      <c r="C908" t="s">
        <v>3619</v>
      </c>
      <c r="D908">
        <v>7723.53905704</v>
      </c>
      <c r="E908">
        <v>10</v>
      </c>
      <c r="F908">
        <v>0.2</v>
      </c>
      <c r="G908" t="s">
        <v>3626</v>
      </c>
      <c r="H908" t="s">
        <v>3627</v>
      </c>
      <c r="I908">
        <v>330</v>
      </c>
      <c r="J908" t="s">
        <v>90</v>
      </c>
      <c r="K908" t="s">
        <v>3628</v>
      </c>
      <c r="L908" t="s">
        <v>3629</v>
      </c>
      <c r="M908">
        <v>5445.963</v>
      </c>
      <c r="N908">
        <v>21.783852</v>
      </c>
      <c r="O908">
        <v>73058.77755</v>
      </c>
      <c r="P908">
        <v>73058.77755</v>
      </c>
      <c r="Q908">
        <v>7.4542213579646729E-2</v>
      </c>
      <c r="R908">
        <v>575.729697981</v>
      </c>
      <c r="S908" t="s">
        <v>387</v>
      </c>
      <c r="T908" t="s">
        <v>93</v>
      </c>
      <c r="U908">
        <v>10</v>
      </c>
      <c r="V908" t="s">
        <v>94</v>
      </c>
      <c r="W908" t="s">
        <v>95</v>
      </c>
      <c r="X908" t="s">
        <v>96</v>
      </c>
      <c r="Y908" s="23" t="s">
        <v>97</v>
      </c>
      <c r="AA908">
        <v>355</v>
      </c>
      <c r="AB908" t="s">
        <v>3630</v>
      </c>
      <c r="AC908" t="s">
        <v>3625</v>
      </c>
      <c r="AE908" s="2"/>
      <c r="AF908" t="str">
        <f>_xlfn.CONCAT(FINI_grouping_for_wheel[[#This Row],[SEFI/Plant]],"/",IF(FINI_grouping_for_wheel[[#This Row],[RESET recipe combination]]&lt;&gt;"",FINI_grouping_for_wheel[[#This Row],[RESET recipe combination]],FINI_grouping_for_wheel[[#This Row],[Recipe Combination]]),"/",FINI_grouping_for_wheel[[#This Row],[Subgroup]])</f>
        <v>4690832/THDP/x/</v>
      </c>
      <c r="AG9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0.07454221357964673</v>
      </c>
      <c r="AH908">
        <f>_xlfn.LET(_xlpm.pct, FINI_grouping_for_wheel[[#This Row],[% forecast within subgroup]], _xlpm.lote, FINI_grouping_for_wheel[[#This Row],[Lot size considered]], _xlpm.pct*_xlpm.lote)</f>
        <v>575.729697980619</v>
      </c>
      <c r="AI908" cm="1" t="str">
        <f t="array" aca="1" ref="AI908" ca="1">IFERROR(INDIRECT("FINI_grouping_for_wheel[@["&amp;FINI_grouping_for_wheel[[#This Row],[Selected PV]]&amp;"]]"),"")</f>
        <v/>
      </c>
      <c r="AJ90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8886.39093</v>
      </c>
      <c r="AK9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v>
      </c>
      <c r="AL908" s="4"/>
      <c r="AM90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26</v>
      </c>
      <c r="AN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0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08" t="str">
        <f>_xlfn.CONCAT(FINI_grouping_for_wheel[[#This Row],[Recipe Combination]],FINI_grouping_for_wheel[[#This Row],[Subgroup]])</f>
        <v>X</v>
      </c>
    </row>
    <row r="909" spans="1:55" hidden="1">
      <c r="A909" t="s">
        <v>15</v>
      </c>
      <c r="B909">
        <v>4487018</v>
      </c>
      <c r="C909" t="s">
        <v>3631</v>
      </c>
      <c r="D909">
        <v>8569.57019977</v>
      </c>
      <c r="E909">
        <v>8</v>
      </c>
      <c r="F909">
        <v>0.16</v>
      </c>
      <c r="G909" t="s">
        <v>3632</v>
      </c>
      <c r="H909" t="s">
        <v>3633</v>
      </c>
      <c r="I909">
        <v>405</v>
      </c>
      <c r="J909" t="s">
        <v>90</v>
      </c>
      <c r="K909" t="s">
        <v>406</v>
      </c>
      <c r="L909" t="s">
        <v>407</v>
      </c>
      <c r="M909">
        <v>66754.483425</v>
      </c>
      <c r="N909">
        <v>267.0179337</v>
      </c>
      <c r="O909">
        <v>66754.483425</v>
      </c>
      <c r="P909">
        <v>66754.483425</v>
      </c>
      <c r="Q909">
        <v>1</v>
      </c>
      <c r="R909">
        <v>8569.57019977</v>
      </c>
      <c r="S909" t="s">
        <v>118</v>
      </c>
      <c r="T909" t="s">
        <v>93</v>
      </c>
      <c r="U909">
        <v>15</v>
      </c>
      <c r="V909" t="s">
        <v>408</v>
      </c>
      <c r="W909" t="s">
        <v>142</v>
      </c>
      <c r="X909" t="s">
        <v>96</v>
      </c>
      <c r="Y909" s="23" t="s">
        <v>97</v>
      </c>
      <c r="AA909">
        <v>32</v>
      </c>
      <c r="AB909" t="s">
        <v>3634</v>
      </c>
      <c r="AC909" t="s">
        <v>3635</v>
      </c>
      <c r="AE909" s="2"/>
      <c r="AF909" t="str">
        <f>_xlfn.CONCAT(FINI_grouping_for_wheel[[#This Row],[SEFI/Plant]],"/",IF(FINI_grouping_for_wheel[[#This Row],[RESET recipe combination]]&lt;&gt;"",FINI_grouping_for_wheel[[#This Row],[RESET recipe combination]],FINI_grouping_for_wheel[[#This Row],[Recipe Combination]]),"/",FINI_grouping_for_wheel[[#This Row],[Subgroup]])</f>
        <v>4487018/THDP/x/</v>
      </c>
      <c r="AG9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09">
        <f>_xlfn.LET(_xlpm.pct, FINI_grouping_for_wheel[[#This Row],[% forecast within subgroup]], _xlpm.lote, FINI_grouping_for_wheel[[#This Row],[Lot size considered]], _xlpm.pct*_xlpm.lote)</f>
        <v>8569.57019977</v>
      </c>
      <c r="AI909" cm="1" t="str">
        <f t="array" aca="1" ref="AI909" ca="1">IFERROR(INDIRECT("FINI_grouping_for_wheel[@["&amp;FINI_grouping_for_wheel[[#This Row],[Selected PV]]&amp;"]]"),"")</f>
        <v/>
      </c>
      <c r="AJ90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8907.70122</v>
      </c>
      <c r="AK9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v>
      </c>
      <c r="AL909" s="4"/>
      <c r="AM90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v>
      </c>
      <c r="AN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0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09" t="str">
        <f>_xlfn.CONCAT(FINI_grouping_for_wheel[[#This Row],[Recipe Combination]],FINI_grouping_for_wheel[[#This Row],[Subgroup]])</f>
        <v>A</v>
      </c>
    </row>
    <row r="910" spans="1:55" hidden="1">
      <c r="A910" t="s">
        <v>15</v>
      </c>
      <c r="B910">
        <v>4463265</v>
      </c>
      <c r="C910" t="s">
        <v>3636</v>
      </c>
      <c r="D910">
        <v>7733.39985368</v>
      </c>
      <c r="E910">
        <v>8</v>
      </c>
      <c r="F910">
        <v>0.16</v>
      </c>
      <c r="G910" t="s">
        <v>3637</v>
      </c>
      <c r="H910" t="s">
        <v>3638</v>
      </c>
      <c r="I910">
        <v>405</v>
      </c>
      <c r="J910" t="s">
        <v>90</v>
      </c>
      <c r="K910" t="s">
        <v>3639</v>
      </c>
      <c r="L910" t="s">
        <v>3640</v>
      </c>
      <c r="M910">
        <v>49386.597075</v>
      </c>
      <c r="N910">
        <v>197.5463883</v>
      </c>
      <c r="O910">
        <v>49386.597075</v>
      </c>
      <c r="P910">
        <v>55883.867715</v>
      </c>
      <c r="Q910">
        <v>1</v>
      </c>
      <c r="R910">
        <v>7733.39985368</v>
      </c>
      <c r="S910" t="s">
        <v>1156</v>
      </c>
      <c r="T910" t="s">
        <v>93</v>
      </c>
      <c r="U910">
        <v>15</v>
      </c>
      <c r="V910" t="s">
        <v>231</v>
      </c>
      <c r="W910" t="s">
        <v>159</v>
      </c>
      <c r="X910" t="s">
        <v>96</v>
      </c>
      <c r="Y910" s="23" t="s">
        <v>97</v>
      </c>
      <c r="AA910">
        <v>39</v>
      </c>
      <c r="AB910" t="s">
        <v>3641</v>
      </c>
      <c r="AC910" t="s">
        <v>3642</v>
      </c>
      <c r="AE910" s="2"/>
      <c r="AF910" t="str">
        <f>_xlfn.CONCAT(FINI_grouping_for_wheel[[#This Row],[SEFI/Plant]],"/",IF(FINI_grouping_for_wheel[[#This Row],[RESET recipe combination]]&lt;&gt;"",FINI_grouping_for_wheel[[#This Row],[RESET recipe combination]],FINI_grouping_for_wheel[[#This Row],[Recipe Combination]]),"/",FINI_grouping_for_wheel[[#This Row],[Subgroup]])</f>
        <v>4463265/THDP/x/</v>
      </c>
      <c r="AG9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0.8837362032074232</v>
      </c>
      <c r="AH910">
        <f>_xlfn.LET(_xlpm.pct, FINI_grouping_for_wheel[[#This Row],[% forecast within subgroup]], _xlpm.lote, FINI_grouping_for_wheel[[#This Row],[Lot size considered]], _xlpm.pct*_xlpm.lote)</f>
        <v>6834.285424576005</v>
      </c>
      <c r="AI910" cm="1" t="str">
        <f t="array" aca="1" ref="AI910" ca="1">IFERROR(INDIRECT("FINI_grouping_for_wheel[@["&amp;FINI_grouping_for_wheel[[#This Row],[Selected PV]]&amp;"]]"),"")</f>
        <v/>
      </c>
      <c r="AJ91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9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19.4</v>
      </c>
      <c r="AL910" s="4"/>
      <c r="AM91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34</v>
      </c>
      <c r="AN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1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10" t="str">
        <f>_xlfn.CONCAT(FINI_grouping_for_wheel[[#This Row],[Recipe Combination]],FINI_grouping_for_wheel[[#This Row],[Subgroup]])</f>
        <v>B</v>
      </c>
    </row>
    <row r="911" spans="1:55" hidden="1">
      <c r="A911" t="s">
        <v>15</v>
      </c>
      <c r="B911">
        <v>4463265</v>
      </c>
      <c r="C911" t="s">
        <v>3636</v>
      </c>
      <c r="D911">
        <v>7733.39985368</v>
      </c>
      <c r="E911">
        <v>8</v>
      </c>
      <c r="F911">
        <v>0.16</v>
      </c>
      <c r="G911" t="s">
        <v>3643</v>
      </c>
      <c r="H911" t="s">
        <v>3644</v>
      </c>
      <c r="I911">
        <v>462</v>
      </c>
      <c r="J911" t="s">
        <v>90</v>
      </c>
      <c r="K911" t="s">
        <v>312</v>
      </c>
      <c r="L911" t="s">
        <v>313</v>
      </c>
      <c r="M911">
        <v>2371.361715</v>
      </c>
      <c r="N911">
        <v>9.48544686</v>
      </c>
      <c r="O911">
        <v>2371.361715</v>
      </c>
      <c r="P911">
        <v>55883.867715</v>
      </c>
      <c r="Q911">
        <v>1</v>
      </c>
      <c r="R911">
        <v>7733.39985368</v>
      </c>
      <c r="S911" t="s">
        <v>314</v>
      </c>
      <c r="T911" t="s">
        <v>93</v>
      </c>
      <c r="U911">
        <v>1</v>
      </c>
      <c r="V911" t="s">
        <v>315</v>
      </c>
      <c r="W911" t="s">
        <v>142</v>
      </c>
      <c r="X911" t="s">
        <v>150</v>
      </c>
      <c r="Y911" s="23" t="s">
        <v>151</v>
      </c>
      <c r="AA911">
        <v>815</v>
      </c>
      <c r="AB911" t="s">
        <v>3645</v>
      </c>
      <c r="AC911" t="s">
        <v>3642</v>
      </c>
      <c r="AE911" s="2"/>
      <c r="AF911" t="str">
        <f>_xlfn.CONCAT(FINI_grouping_for_wheel[[#This Row],[SEFI/Plant]],"/",IF(FINI_grouping_for_wheel[[#This Row],[RESET recipe combination]]&lt;&gt;"",FINI_grouping_for_wheel[[#This Row],[RESET recipe combination]],FINI_grouping_for_wheel[[#This Row],[Recipe Combination]]),"/",FINI_grouping_for_wheel[[#This Row],[Subgroup]])</f>
        <v>4463265/THDP/x/</v>
      </c>
      <c r="AG9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0.042433743617990384</v>
      </c>
      <c r="AH911">
        <f>_xlfn.LET(_xlpm.pct, FINI_grouping_for_wheel[[#This Row],[% forecast within subgroup]], _xlpm.lote, FINI_grouping_for_wheel[[#This Row],[Lot size considered]], _xlpm.pct*_xlpm.lote)</f>
        <v>328.1571066864615</v>
      </c>
      <c r="AI911" cm="1" t="str">
        <f t="array" aca="1" ref="AI911" ca="1">IFERROR(INDIRECT("FINI_grouping_for_wheel[@["&amp;FINI_grouping_for_wheel[[#This Row],[Selected PV]]&amp;"]]"),"")</f>
        <v/>
      </c>
      <c r="AJ91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9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0.8</v>
      </c>
      <c r="AL911" s="4"/>
      <c r="AM91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34</v>
      </c>
      <c r="AN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1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11" t="str">
        <f>_xlfn.CONCAT(FINI_grouping_for_wheel[[#This Row],[Recipe Combination]],FINI_grouping_for_wheel[[#This Row],[Subgroup]])</f>
        <v>K</v>
      </c>
    </row>
    <row r="912" spans="1:55" hidden="1">
      <c r="A912" t="s">
        <v>15</v>
      </c>
      <c r="B912">
        <v>4463265</v>
      </c>
      <c r="C912" t="s">
        <v>3636</v>
      </c>
      <c r="D912">
        <v>7733.39985368</v>
      </c>
      <c r="E912">
        <v>8</v>
      </c>
      <c r="F912">
        <v>0.16</v>
      </c>
      <c r="G912" t="s">
        <v>3646</v>
      </c>
      <c r="H912" t="s">
        <v>3647</v>
      </c>
      <c r="I912">
        <v>360</v>
      </c>
      <c r="J912" t="s">
        <v>90</v>
      </c>
      <c r="K912" t="s">
        <v>515</v>
      </c>
      <c r="L912" t="s">
        <v>516</v>
      </c>
      <c r="M912">
        <v>4125.908925</v>
      </c>
      <c r="N912">
        <v>16.5036357</v>
      </c>
      <c r="O912">
        <v>4125.908925</v>
      </c>
      <c r="P912">
        <v>55883.867715</v>
      </c>
      <c r="Q912">
        <v>1</v>
      </c>
      <c r="R912">
        <v>7733.39985368</v>
      </c>
      <c r="S912" t="s">
        <v>173</v>
      </c>
      <c r="T912" t="s">
        <v>93</v>
      </c>
      <c r="U912">
        <v>5</v>
      </c>
      <c r="V912" t="s">
        <v>518</v>
      </c>
      <c r="W912" t="s">
        <v>142</v>
      </c>
      <c r="X912" t="s">
        <v>150</v>
      </c>
      <c r="Y912" s="23" t="s">
        <v>151</v>
      </c>
      <c r="AA912">
        <v>469</v>
      </c>
      <c r="AB912" t="s">
        <v>3648</v>
      </c>
      <c r="AC912" t="s">
        <v>3642</v>
      </c>
      <c r="AE912" s="2"/>
      <c r="AF912" t="str">
        <f>_xlfn.CONCAT(FINI_grouping_for_wheel[[#This Row],[SEFI/Plant]],"/",IF(FINI_grouping_for_wheel[[#This Row],[RESET recipe combination]]&lt;&gt;"",FINI_grouping_for_wheel[[#This Row],[RESET recipe combination]],FINI_grouping_for_wheel[[#This Row],[Recipe Combination]]),"/",FINI_grouping_for_wheel[[#This Row],[Subgroup]])</f>
        <v>4463265/THDP/x/</v>
      </c>
      <c r="AG9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0.07383005317458635</v>
      </c>
      <c r="AH912">
        <f>_xlfn.LET(_xlpm.pct, FINI_grouping_for_wheel[[#This Row],[% forecast within subgroup]], _xlpm.lote, FINI_grouping_for_wheel[[#This Row],[Lot size considered]], _xlpm.pct*_xlpm.lote)</f>
        <v>570.9573224175327</v>
      </c>
      <c r="AI912" cm="1" t="str">
        <f t="array" aca="1" ref="AI912" ca="1">IFERROR(INDIRECT("FINI_grouping_for_wheel[@["&amp;FINI_grouping_for_wheel[[#This Row],[Selected PV]]&amp;"]]"),"")</f>
        <v/>
      </c>
      <c r="AJ91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8888.75874</v>
      </c>
      <c r="AK9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1.8</v>
      </c>
      <c r="AL912" s="4"/>
      <c r="AM91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34</v>
      </c>
      <c r="AN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1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12" t="str">
        <f>_xlfn.CONCAT(FINI_grouping_for_wheel[[#This Row],[Recipe Combination]],FINI_grouping_for_wheel[[#This Row],[Subgroup]])</f>
        <v>P</v>
      </c>
    </row>
    <row r="913" spans="1:55" hidden="1">
      <c r="A913" t="s">
        <v>15</v>
      </c>
      <c r="B913">
        <v>4545371</v>
      </c>
      <c r="C913" t="s">
        <v>3649</v>
      </c>
      <c r="D913">
        <v>8593.0436797</v>
      </c>
      <c r="E913">
        <v>8</v>
      </c>
      <c r="F913">
        <v>0.16</v>
      </c>
      <c r="G913" t="s">
        <v>3650</v>
      </c>
      <c r="H913" t="s">
        <v>3651</v>
      </c>
      <c r="J913" t="s">
        <v>90</v>
      </c>
      <c r="K913" t="s">
        <v>515</v>
      </c>
      <c r="L913" t="s">
        <v>516</v>
      </c>
      <c r="M913">
        <v>4759.2981</v>
      </c>
      <c r="N913">
        <v>19.0371924</v>
      </c>
      <c r="O913">
        <v>26502.89733</v>
      </c>
      <c r="P913">
        <v>66965.218515</v>
      </c>
      <c r="Q913">
        <v>0.17957652103993568</v>
      </c>
      <c r="R913">
        <v>1543.10888914</v>
      </c>
      <c r="S913" t="s">
        <v>471</v>
      </c>
      <c r="T913" t="s">
        <v>93</v>
      </c>
      <c r="U913">
        <v>5</v>
      </c>
      <c r="V913" t="s">
        <v>518</v>
      </c>
      <c r="W913" t="s">
        <v>142</v>
      </c>
      <c r="X913" t="s">
        <v>150</v>
      </c>
      <c r="Y913" s="23" t="s">
        <v>151</v>
      </c>
      <c r="AA913">
        <v>451</v>
      </c>
      <c r="AB913" t="s">
        <v>3652</v>
      </c>
      <c r="AC913" t="s">
        <v>3653</v>
      </c>
      <c r="AE913" s="2"/>
      <c r="AF913" t="str">
        <f>_xlfn.CONCAT(FINI_grouping_for_wheel[[#This Row],[SEFI/Plant]],"/",IF(FINI_grouping_for_wheel[[#This Row],[RESET recipe combination]]&lt;&gt;"",FINI_grouping_for_wheel[[#This Row],[RESET recipe combination]],FINI_grouping_for_wheel[[#This Row],[Recipe Combination]]),"/",FINI_grouping_for_wheel[[#This Row],[Subgroup]])</f>
        <v>4545371/THDP/x/</v>
      </c>
      <c r="AG9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0.07107119495076286</v>
      </c>
      <c r="AH913">
        <f>_xlfn.LET(_xlpm.pct, FINI_grouping_for_wheel[[#This Row],[% forecast within subgroup]], _xlpm.lote, FINI_grouping_for_wheel[[#This Row],[Lot size considered]], _xlpm.pct*_xlpm.lote)</f>
        <v>610.7178825803794</v>
      </c>
      <c r="AI913" cm="1" t="str">
        <f t="array" aca="1" ref="AI913" ca="1">IFERROR(INDIRECT("FINI_grouping_for_wheel[@["&amp;FINI_grouping_for_wheel[[#This Row],[Selected PV]]&amp;"]]"),"")</f>
        <v/>
      </c>
      <c r="AJ91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8875.735785</v>
      </c>
      <c r="AK91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13" s="4"/>
      <c r="AM91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v>
      </c>
      <c r="AN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1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13" t="str">
        <f>_xlfn.CONCAT(FINI_grouping_for_wheel[[#This Row],[Recipe Combination]],FINI_grouping_for_wheel[[#This Row],[Subgroup]])</f>
        <v/>
      </c>
    </row>
    <row r="914" spans="1:55" hidden="1">
      <c r="A914" t="s">
        <v>15</v>
      </c>
      <c r="B914">
        <v>4545371</v>
      </c>
      <c r="C914" t="s">
        <v>3649</v>
      </c>
      <c r="D914">
        <v>8593.0436797</v>
      </c>
      <c r="E914">
        <v>8</v>
      </c>
      <c r="F914">
        <v>0.16</v>
      </c>
      <c r="G914" t="s">
        <v>3654</v>
      </c>
      <c r="H914" t="s">
        <v>3655</v>
      </c>
      <c r="J914" t="s">
        <v>90</v>
      </c>
      <c r="K914" t="s">
        <v>292</v>
      </c>
      <c r="L914" t="s">
        <v>293</v>
      </c>
      <c r="M914">
        <v>21743.59923</v>
      </c>
      <c r="N914">
        <v>86.97439692</v>
      </c>
      <c r="O914">
        <v>26502.89733</v>
      </c>
      <c r="P914">
        <v>66965.218515</v>
      </c>
      <c r="Q914">
        <v>0.82042347896006429</v>
      </c>
      <c r="R914">
        <v>7049.93479056</v>
      </c>
      <c r="S914" t="s">
        <v>471</v>
      </c>
      <c r="T914" t="s">
        <v>93</v>
      </c>
      <c r="U914">
        <v>12.5</v>
      </c>
      <c r="V914" t="s">
        <v>295</v>
      </c>
      <c r="W914" t="s">
        <v>142</v>
      </c>
      <c r="X914" t="s">
        <v>128</v>
      </c>
      <c r="Y914" s="23" t="s">
        <v>120</v>
      </c>
      <c r="AA914">
        <v>99</v>
      </c>
      <c r="AB914" t="s">
        <v>3656</v>
      </c>
      <c r="AC914" t="s">
        <v>3653</v>
      </c>
      <c r="AE914" s="2"/>
      <c r="AF914" t="str">
        <f>_xlfn.CONCAT(FINI_grouping_for_wheel[[#This Row],[SEFI/Plant]],"/",IF(FINI_grouping_for_wheel[[#This Row],[RESET recipe combination]]&lt;&gt;"",FINI_grouping_for_wheel[[#This Row],[RESET recipe combination]],FINI_grouping_for_wheel[[#This Row],[Recipe Combination]]),"/",FINI_grouping_for_wheel[[#This Row],[Subgroup]])</f>
        <v>4545371/THDP/x/</v>
      </c>
      <c r="AG9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0.3246998921556494</v>
      </c>
      <c r="AH914">
        <f>_xlfn.LET(_xlpm.pct, FINI_grouping_for_wheel[[#This Row],[% forecast within subgroup]], _xlpm.lote, FINI_grouping_for_wheel[[#This Row],[Lot size considered]], _xlpm.pct*_xlpm.lote)</f>
        <v>2790.160356087375</v>
      </c>
      <c r="AI914" cm="1" t="str">
        <f t="array" aca="1" ref="AI914" ca="1">IFERROR(INDIRECT("FINI_grouping_for_wheel[@["&amp;FINI_grouping_for_wheel[[#This Row],[Selected PV]]&amp;"]]"),"")</f>
        <v/>
      </c>
      <c r="AJ91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8875.735785</v>
      </c>
      <c r="AK91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14" s="4"/>
      <c r="AM91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v>
      </c>
      <c r="AN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1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14" t="str">
        <f>_xlfn.CONCAT(FINI_grouping_for_wheel[[#This Row],[Recipe Combination]],FINI_grouping_for_wheel[[#This Row],[Subgroup]])</f>
        <v/>
      </c>
    </row>
    <row r="915" spans="1:55" hidden="1">
      <c r="A915" t="s">
        <v>15</v>
      </c>
      <c r="B915">
        <v>4545371</v>
      </c>
      <c r="C915" t="s">
        <v>3649</v>
      </c>
      <c r="D915">
        <v>8593.0436797</v>
      </c>
      <c r="E915">
        <v>8</v>
      </c>
      <c r="F915">
        <v>0.16</v>
      </c>
      <c r="G915" t="s">
        <v>3657</v>
      </c>
      <c r="H915" t="s">
        <v>3658</v>
      </c>
      <c r="I915">
        <v>300</v>
      </c>
      <c r="J915" t="s">
        <v>90</v>
      </c>
      <c r="K915" t="s">
        <v>292</v>
      </c>
      <c r="L915" t="s">
        <v>293</v>
      </c>
      <c r="M915">
        <v>40462.321185</v>
      </c>
      <c r="N915">
        <v>161.84928474</v>
      </c>
      <c r="O915">
        <v>40462.321185</v>
      </c>
      <c r="P915">
        <v>66965.218515</v>
      </c>
      <c r="Q915">
        <v>1</v>
      </c>
      <c r="R915">
        <v>8593.0436797</v>
      </c>
      <c r="S915" t="s">
        <v>294</v>
      </c>
      <c r="T915" t="s">
        <v>93</v>
      </c>
      <c r="U915">
        <v>12.5</v>
      </c>
      <c r="V915" t="s">
        <v>295</v>
      </c>
      <c r="W915" t="s">
        <v>142</v>
      </c>
      <c r="X915" t="s">
        <v>128</v>
      </c>
      <c r="Y915" s="23" t="s">
        <v>120</v>
      </c>
      <c r="AA915">
        <v>53</v>
      </c>
      <c r="AB915" t="s">
        <v>3659</v>
      </c>
      <c r="AC915" t="s">
        <v>3653</v>
      </c>
      <c r="AE915" s="2"/>
      <c r="AF915" t="str">
        <f>_xlfn.CONCAT(FINI_grouping_for_wheel[[#This Row],[SEFI/Plant]],"/",IF(FINI_grouping_for_wheel[[#This Row],[RESET recipe combination]]&lt;&gt;"",FINI_grouping_for_wheel[[#This Row],[RESET recipe combination]],FINI_grouping_for_wheel[[#This Row],[Recipe Combination]]),"/",FINI_grouping_for_wheel[[#This Row],[Subgroup]])</f>
        <v>4545371/THDP/x/</v>
      </c>
      <c r="AG9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0.6042289128935877</v>
      </c>
      <c r="AH915">
        <f>_xlfn.LET(_xlpm.pct, FINI_grouping_for_wheel[[#This Row],[% forecast within subgroup]], _xlpm.lote, FINI_grouping_for_wheel[[#This Row],[Lot size considered]], _xlpm.pct*_xlpm.lote)</f>
        <v>5192.165441032246</v>
      </c>
      <c r="AI915" cm="1" t="str">
        <f t="array" aca="1" ref="AI915" ca="1">IFERROR(INDIRECT("FINI_grouping_for_wheel[@["&amp;FINI_grouping_for_wheel[[#This Row],[Selected PV]]&amp;"]]"),"")</f>
        <v/>
      </c>
      <c r="AJ91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8875.735785</v>
      </c>
      <c r="AK9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17.9</v>
      </c>
      <c r="AL915" s="4"/>
      <c r="AM91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28</v>
      </c>
      <c r="AN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1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15" t="str">
        <f>_xlfn.CONCAT(FINI_grouping_for_wheel[[#This Row],[Recipe Combination]],FINI_grouping_for_wheel[[#This Row],[Subgroup]])</f>
        <v>C</v>
      </c>
    </row>
    <row r="916" spans="1:55" hidden="1">
      <c r="A916" t="s">
        <v>16</v>
      </c>
      <c r="B916">
        <v>4992974</v>
      </c>
      <c r="C916" t="s">
        <v>3660</v>
      </c>
      <c r="D916">
        <v>8564.58816793</v>
      </c>
      <c r="E916">
        <v>7</v>
      </c>
      <c r="F916">
        <v>0.14000000000000001</v>
      </c>
      <c r="G916" t="s">
        <v>3661</v>
      </c>
      <c r="H916" t="s">
        <v>3662</v>
      </c>
      <c r="I916">
        <v>405</v>
      </c>
      <c r="J916" t="s">
        <v>90</v>
      </c>
      <c r="K916" t="s">
        <v>406</v>
      </c>
      <c r="L916" t="s">
        <v>407</v>
      </c>
      <c r="M916">
        <v>44218.85175</v>
      </c>
      <c r="N916">
        <v>176.875407</v>
      </c>
      <c r="O916">
        <v>44218.85175</v>
      </c>
      <c r="P916">
        <v>54477.388575</v>
      </c>
      <c r="Q916">
        <v>1</v>
      </c>
      <c r="R916">
        <v>8564.58816793</v>
      </c>
      <c r="S916" t="s">
        <v>118</v>
      </c>
      <c r="T916" t="s">
        <v>93</v>
      </c>
      <c r="U916">
        <v>15</v>
      </c>
      <c r="V916" t="s">
        <v>408</v>
      </c>
      <c r="W916" t="s">
        <v>142</v>
      </c>
      <c r="X916" t="s">
        <v>96</v>
      </c>
      <c r="Y916" s="23" t="s">
        <v>97</v>
      </c>
      <c r="AA916">
        <v>48</v>
      </c>
      <c r="AB916" t="s">
        <v>3663</v>
      </c>
      <c r="AC916" t="s">
        <v>3664</v>
      </c>
      <c r="AE916" s="2"/>
      <c r="AF916" t="str">
        <f>_xlfn.CONCAT(FINI_grouping_for_wheel[[#This Row],[SEFI/Plant]],"/",IF(FINI_grouping_for_wheel[[#This Row],[RESET recipe combination]]&lt;&gt;"",FINI_grouping_for_wheel[[#This Row],[RESET recipe combination]],FINI_grouping_for_wheel[[#This Row],[Recipe Combination]]),"/",FINI_grouping_for_wheel[[#This Row],[Subgroup]])</f>
        <v>4992974/THDP/x/</v>
      </c>
      <c r="AG9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0.811691839617516</v>
      </c>
      <c r="AH916">
        <f>_xlfn.LET(_xlpm.pct, FINI_grouping_for_wheel[[#This Row],[% forecast within subgroup]], _xlpm.lote, FINI_grouping_for_wheel[[#This Row],[Lot size considered]], _xlpm.pct*_xlpm.lote)</f>
        <v>6951.806325593513</v>
      </c>
      <c r="AI916" cm="1" t="str">
        <f t="array" aca="1" ref="AI916" ca="1">IFERROR(INDIRECT("FINI_grouping_for_wheel[@["&amp;FINI_grouping_for_wheel[[#This Row],[Selected PV]]&amp;"]]"),"")</f>
        <v/>
      </c>
      <c r="AJ91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8865.08064</v>
      </c>
      <c r="AK9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17.8</v>
      </c>
      <c r="AL916" s="4"/>
      <c r="AM91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35</v>
      </c>
      <c r="AN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1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16" t="str">
        <f>_xlfn.CONCAT(FINI_grouping_for_wheel[[#This Row],[Recipe Combination]],FINI_grouping_for_wheel[[#This Row],[Subgroup]])</f>
        <v>A</v>
      </c>
    </row>
    <row r="917" spans="1:55" hidden="1">
      <c r="A917" t="s">
        <v>16</v>
      </c>
      <c r="B917">
        <v>4992974</v>
      </c>
      <c r="C917" t="s">
        <v>3660</v>
      </c>
      <c r="D917">
        <v>8564.58816793</v>
      </c>
      <c r="E917">
        <v>7</v>
      </c>
      <c r="F917">
        <v>0.14000000000000001</v>
      </c>
      <c r="G917" t="s">
        <v>3665</v>
      </c>
      <c r="H917" t="s">
        <v>3666</v>
      </c>
      <c r="I917">
        <v>405</v>
      </c>
      <c r="J917" t="s">
        <v>90</v>
      </c>
      <c r="K917" t="s">
        <v>406</v>
      </c>
      <c r="L917" t="s">
        <v>407</v>
      </c>
      <c r="M917">
        <v>1473.961725</v>
      </c>
      <c r="N917">
        <v>5.8958469</v>
      </c>
      <c r="O917">
        <v>2361.890475</v>
      </c>
      <c r="P917">
        <v>54477.388575</v>
      </c>
      <c r="Q917">
        <v>0.62406015037593987</v>
      </c>
      <c r="R917">
        <v>5344.81817999</v>
      </c>
      <c r="S917" t="s">
        <v>157</v>
      </c>
      <c r="T917" t="s">
        <v>93</v>
      </c>
      <c r="U917">
        <v>15</v>
      </c>
      <c r="V917" t="s">
        <v>408</v>
      </c>
      <c r="W917" t="s">
        <v>142</v>
      </c>
      <c r="X917" t="s">
        <v>96</v>
      </c>
      <c r="Y917" s="23" t="s">
        <v>97</v>
      </c>
      <c r="AA917">
        <v>1453</v>
      </c>
      <c r="AB917" t="s">
        <v>3667</v>
      </c>
      <c r="AC917" t="s">
        <v>3664</v>
      </c>
      <c r="AE917" s="2"/>
      <c r="AF917" t="str">
        <f>_xlfn.CONCAT(FINI_grouping_for_wheel[[#This Row],[SEFI/Plant]],"/",IF(FINI_grouping_for_wheel[[#This Row],[RESET recipe combination]]&lt;&gt;"",FINI_grouping_for_wheel[[#This Row],[RESET recipe combination]],FINI_grouping_for_wheel[[#This Row],[Recipe Combination]]),"/",FINI_grouping_for_wheel[[#This Row],[Subgroup]])</f>
        <v>4992974/THDP/x/</v>
      </c>
      <c r="AG9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0.027056394653917196</v>
      </c>
      <c r="AH917">
        <f>_xlfn.LET(_xlpm.pct, FINI_grouping_for_wheel[[#This Row],[% forecast within subgroup]], _xlpm.lote, FINI_grouping_for_wheel[[#This Row],[Lot size considered]], _xlpm.pct*_xlpm.lote)</f>
        <v>231.72687751978373</v>
      </c>
      <c r="AI917" cm="1" t="str">
        <f t="array" aca="1" ref="AI917" ca="1">IFERROR(INDIRECT("FINI_grouping_for_wheel[@["&amp;FINI_grouping_for_wheel[[#This Row],[Selected PV]]&amp;"]]"),"")</f>
        <v/>
      </c>
      <c r="AJ91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8865.08064</v>
      </c>
      <c r="AK9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0.6</v>
      </c>
      <c r="AL917" s="4"/>
      <c r="AM91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35</v>
      </c>
      <c r="AN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1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17" t="str">
        <f>_xlfn.CONCAT(FINI_grouping_for_wheel[[#This Row],[Recipe Combination]],FINI_grouping_for_wheel[[#This Row],[Subgroup]])</f>
        <v>M</v>
      </c>
    </row>
    <row r="918" spans="1:55" hidden="1">
      <c r="A918" t="s">
        <v>16</v>
      </c>
      <c r="B918">
        <v>4992974</v>
      </c>
      <c r="C918" t="s">
        <v>3660</v>
      </c>
      <c r="D918">
        <v>8564.58816793</v>
      </c>
      <c r="E918">
        <v>7</v>
      </c>
      <c r="F918">
        <v>0.14000000000000001</v>
      </c>
      <c r="G918" t="s">
        <v>3668</v>
      </c>
      <c r="H918" t="s">
        <v>3669</v>
      </c>
      <c r="I918">
        <v>405</v>
      </c>
      <c r="J918" t="s">
        <v>90</v>
      </c>
      <c r="K918" t="s">
        <v>406</v>
      </c>
      <c r="L918" t="s">
        <v>407</v>
      </c>
      <c r="M918">
        <v>887.92875</v>
      </c>
      <c r="N918">
        <v>3.551715</v>
      </c>
      <c r="O918">
        <v>2361.890475</v>
      </c>
      <c r="P918">
        <v>54477.388575</v>
      </c>
      <c r="Q918">
        <v>0.37593984962406013</v>
      </c>
      <c r="R918">
        <v>3219.76998794</v>
      </c>
      <c r="S918" t="s">
        <v>157</v>
      </c>
      <c r="T918" t="s">
        <v>93</v>
      </c>
      <c r="U918">
        <v>15</v>
      </c>
      <c r="V918" t="s">
        <v>408</v>
      </c>
      <c r="W918" t="s">
        <v>142</v>
      </c>
      <c r="X918" t="s">
        <v>96</v>
      </c>
      <c r="Y918" s="23" t="s">
        <v>97</v>
      </c>
      <c r="AA918">
        <v>2411</v>
      </c>
      <c r="AB918" t="s">
        <v>3670</v>
      </c>
      <c r="AC918" t="s">
        <v>3664</v>
      </c>
      <c r="AE918" s="2"/>
      <c r="AF918" t="str">
        <f>_xlfn.CONCAT(FINI_grouping_for_wheel[[#This Row],[SEFI/Plant]],"/",IF(FINI_grouping_for_wheel[[#This Row],[RESET recipe combination]]&lt;&gt;"",FINI_grouping_for_wheel[[#This Row],[RESET recipe combination]],FINI_grouping_for_wheel[[#This Row],[Recipe Combination]]),"/",FINI_grouping_for_wheel[[#This Row],[Subgroup]])</f>
        <v>4992974/THDP/x/</v>
      </c>
      <c r="AG9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0.016299032924046507</v>
      </c>
      <c r="AH918">
        <f>_xlfn.LET(_xlpm.pct, FINI_grouping_for_wheel[[#This Row],[% forecast within subgroup]], _xlpm.lote, FINI_grouping_for_wheel[[#This Row],[Lot size considered]], _xlpm.pct*_xlpm.lote)</f>
        <v>139.59450452999022</v>
      </c>
      <c r="AI918" cm="1" t="str">
        <f t="array" aca="1" ref="AI918" ca="1">IFERROR(INDIRECT("FINI_grouping_for_wheel[@["&amp;FINI_grouping_for_wheel[[#This Row],[Selected PV]]&amp;"]]"),"")</f>
        <v/>
      </c>
      <c r="AJ91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8865.08064</v>
      </c>
      <c r="AK9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0.4</v>
      </c>
      <c r="AL918" s="4"/>
      <c r="AM91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35</v>
      </c>
      <c r="AN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1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18" t="str">
        <f>_xlfn.CONCAT(FINI_grouping_for_wheel[[#This Row],[Recipe Combination]],FINI_grouping_for_wheel[[#This Row],[Subgroup]])</f>
        <v>M</v>
      </c>
    </row>
    <row r="919" spans="1:55" hidden="1">
      <c r="A919" t="s">
        <v>16</v>
      </c>
      <c r="B919">
        <v>4992974</v>
      </c>
      <c r="C919" t="s">
        <v>3660</v>
      </c>
      <c r="D919">
        <v>8564.58816793</v>
      </c>
      <c r="E919">
        <v>7</v>
      </c>
      <c r="F919">
        <v>0.14000000000000001</v>
      </c>
      <c r="G919" t="s">
        <v>3671</v>
      </c>
      <c r="H919" t="s">
        <v>3672</v>
      </c>
      <c r="I919">
        <v>440</v>
      </c>
      <c r="J919" t="s">
        <v>90</v>
      </c>
      <c r="K919" t="s">
        <v>385</v>
      </c>
      <c r="L919" t="s">
        <v>386</v>
      </c>
      <c r="M919">
        <v>7896.64635</v>
      </c>
      <c r="N919">
        <v>31.5865854</v>
      </c>
      <c r="O919">
        <v>7896.64635</v>
      </c>
      <c r="P919">
        <v>54477.388575</v>
      </c>
      <c r="Q919">
        <v>1</v>
      </c>
      <c r="R919">
        <v>8564.58816793</v>
      </c>
      <c r="S919" t="s">
        <v>165</v>
      </c>
      <c r="T919" t="s">
        <v>93</v>
      </c>
      <c r="U919">
        <v>10</v>
      </c>
      <c r="V919" t="s">
        <v>94</v>
      </c>
      <c r="W919" t="s">
        <v>95</v>
      </c>
      <c r="X919" t="s">
        <v>96</v>
      </c>
      <c r="Y919" s="23" t="s">
        <v>97</v>
      </c>
      <c r="AA919">
        <v>271</v>
      </c>
      <c r="AB919" t="s">
        <v>3673</v>
      </c>
      <c r="AC919" t="s">
        <v>3664</v>
      </c>
      <c r="AE919" s="2"/>
      <c r="AF919" t="str">
        <f>_xlfn.CONCAT(FINI_grouping_for_wheel[[#This Row],[SEFI/Plant]],"/",IF(FINI_grouping_for_wheel[[#This Row],[RESET recipe combination]]&lt;&gt;"",FINI_grouping_for_wheel[[#This Row],[RESET recipe combination]],FINI_grouping_for_wheel[[#This Row],[Recipe Combination]]),"/",FINI_grouping_for_wheel[[#This Row],[Subgroup]])</f>
        <v>4992974/THDP/x/</v>
      </c>
      <c r="AG9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0.14495273280452026</v>
      </c>
      <c r="AH919">
        <f>_xlfn.LET(_xlpm.pct, FINI_grouping_for_wheel[[#This Row],[% forecast within subgroup]], _xlpm.lote, FINI_grouping_for_wheel[[#This Row],[Lot size considered]], _xlpm.pct*_xlpm.lote)</f>
        <v>1241.460460286713</v>
      </c>
      <c r="AI919" cm="1" t="str">
        <f t="array" aca="1" ref="AI919" ca="1">IFERROR(INDIRECT("FINI_grouping_for_wheel[@["&amp;FINI_grouping_for_wheel[[#This Row],[Selected PV]]&amp;"]]"),"")</f>
        <v/>
      </c>
      <c r="AJ91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8865.08064</v>
      </c>
      <c r="AK9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v>
      </c>
      <c r="AL919" s="4"/>
      <c r="AM91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35</v>
      </c>
      <c r="AN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1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19" t="str">
        <f>_xlfn.CONCAT(FINI_grouping_for_wheel[[#This Row],[Recipe Combination]],FINI_grouping_for_wheel[[#This Row],[Subgroup]])</f>
        <v>N</v>
      </c>
    </row>
    <row r="920" spans="1:55" hidden="1">
      <c r="A920" t="s">
        <v>16</v>
      </c>
      <c r="B920">
        <v>4153516</v>
      </c>
      <c r="C920" t="s">
        <v>3674</v>
      </c>
      <c r="D920">
        <v>8789.94851848</v>
      </c>
      <c r="E920">
        <v>7</v>
      </c>
      <c r="F920">
        <v>0.14000000000000001</v>
      </c>
      <c r="G920" t="s">
        <v>3675</v>
      </c>
      <c r="H920" t="s">
        <v>3676</v>
      </c>
      <c r="I920">
        <v>405</v>
      </c>
      <c r="J920" t="s">
        <v>90</v>
      </c>
      <c r="K920" t="s">
        <v>406</v>
      </c>
      <c r="L920" t="s">
        <v>407</v>
      </c>
      <c r="M920">
        <v>60095.0178</v>
      </c>
      <c r="N920">
        <v>240.3800712</v>
      </c>
      <c r="O920">
        <v>60095.0178</v>
      </c>
      <c r="P920">
        <v>60095.0178</v>
      </c>
      <c r="Q920">
        <v>1</v>
      </c>
      <c r="R920">
        <v>8789.94851848</v>
      </c>
      <c r="S920" t="s">
        <v>387</v>
      </c>
      <c r="T920" t="s">
        <v>93</v>
      </c>
      <c r="U920">
        <v>15</v>
      </c>
      <c r="V920" t="s">
        <v>408</v>
      </c>
      <c r="W920" t="s">
        <v>142</v>
      </c>
      <c r="X920" t="s">
        <v>96</v>
      </c>
      <c r="Y920" s="23" t="s">
        <v>97</v>
      </c>
      <c r="AA920">
        <v>37</v>
      </c>
      <c r="AB920" t="s">
        <v>3677</v>
      </c>
      <c r="AC920" t="s">
        <v>3678</v>
      </c>
      <c r="AE920" s="2"/>
      <c r="AF920" t="str">
        <f>_xlfn.CONCAT(FINI_grouping_for_wheel[[#This Row],[SEFI/Plant]],"/",IF(FINI_grouping_for_wheel[[#This Row],[RESET recipe combination]]&lt;&gt;"",FINI_grouping_for_wheel[[#This Row],[RESET recipe combination]],FINI_grouping_for_wheel[[#This Row],[Recipe Combination]]),"/",FINI_grouping_for_wheel[[#This Row],[Subgroup]])</f>
        <v>4153516/THDP/x/</v>
      </c>
      <c r="AG9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20">
        <f>_xlfn.LET(_xlpm.pct, FINI_grouping_for_wheel[[#This Row],[% forecast within subgroup]], _xlpm.lote, FINI_grouping_for_wheel[[#This Row],[Lot size considered]], _xlpm.pct*_xlpm.lote)</f>
        <v>8789.94851848</v>
      </c>
      <c r="AI920" cm="1" t="str">
        <f t="array" aca="1" ref="AI920" ca="1">IFERROR(INDIRECT("FINI_grouping_for_wheel[@["&amp;FINI_grouping_for_wheel[[#This Row],[Selected PV]]&amp;"]]"),"")</f>
        <v/>
      </c>
      <c r="AJ92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8950.3218</v>
      </c>
      <c r="AK9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22.1</v>
      </c>
      <c r="AL920" s="4"/>
      <c r="AM92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32</v>
      </c>
      <c r="AN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2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20" t="str">
        <f>_xlfn.CONCAT(FINI_grouping_for_wheel[[#This Row],[Recipe Combination]],FINI_grouping_for_wheel[[#This Row],[Subgroup]])</f>
        <v>X</v>
      </c>
    </row>
    <row r="921" spans="1:55" hidden="1">
      <c r="A921" t="s">
        <v>16</v>
      </c>
      <c r="B921">
        <v>4267467</v>
      </c>
      <c r="C921" t="s">
        <v>3679</v>
      </c>
      <c r="D921">
        <v>8498.55219106</v>
      </c>
      <c r="E921">
        <v>7</v>
      </c>
      <c r="F921">
        <v>0.14000000000000001</v>
      </c>
      <c r="G921" t="s">
        <v>3680</v>
      </c>
      <c r="H921" t="s">
        <v>3681</v>
      </c>
      <c r="J921" t="s">
        <v>90</v>
      </c>
      <c r="K921" t="s">
        <v>312</v>
      </c>
      <c r="L921" t="s">
        <v>313</v>
      </c>
      <c r="M921">
        <v>6863.097285</v>
      </c>
      <c r="N921">
        <v>27.45238914</v>
      </c>
      <c r="O921">
        <v>55778.50017</v>
      </c>
      <c r="P921">
        <v>55778.50017</v>
      </c>
      <c r="Q921">
        <v>0.12304198327461052</v>
      </c>
      <c r="R921">
        <v>1045.67871655</v>
      </c>
      <c r="S921" t="s">
        <v>471</v>
      </c>
      <c r="T921" t="s">
        <v>93</v>
      </c>
      <c r="U921">
        <v>1</v>
      </c>
      <c r="V921" t="s">
        <v>315</v>
      </c>
      <c r="W921" t="s">
        <v>142</v>
      </c>
      <c r="X921" t="s">
        <v>150</v>
      </c>
      <c r="Y921" s="23" t="s">
        <v>151</v>
      </c>
      <c r="AA921">
        <v>310</v>
      </c>
      <c r="AB921" t="s">
        <v>3682</v>
      </c>
      <c r="AC921" t="s">
        <v>3683</v>
      </c>
      <c r="AE921" s="2"/>
      <c r="AF921"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0.12304198327461052</v>
      </c>
      <c r="AH921">
        <f>_xlfn.LET(_xlpm.pct, FINI_grouping_for_wheel[[#This Row],[% forecast within subgroup]], _xlpm.lote, FINI_grouping_for_wheel[[#This Row],[Lot size considered]], _xlpm.pct*_xlpm.lote)</f>
        <v>1045.6787165508092</v>
      </c>
      <c r="AI921" cm="1" t="str">
        <f t="array" aca="1" ref="AI921" ca="1">IFERROR(INDIRECT("FINI_grouping_for_wheel[@["&amp;FINI_grouping_for_wheel[[#This Row],[Selected PV]]&amp;"]]"),"")</f>
        <v/>
      </c>
      <c r="AJ92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2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21" s="4"/>
      <c r="AM92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2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21" t="str">
        <f>_xlfn.CONCAT(FINI_grouping_for_wheel[[#This Row],[Recipe Combination]],FINI_grouping_for_wheel[[#This Row],[Subgroup]])</f>
        <v/>
      </c>
    </row>
    <row r="922" spans="1:55" hidden="1">
      <c r="A922" t="s">
        <v>16</v>
      </c>
      <c r="B922">
        <v>4267467</v>
      </c>
      <c r="C922" t="s">
        <v>3679</v>
      </c>
      <c r="D922">
        <v>8498.55219106</v>
      </c>
      <c r="E922">
        <v>7</v>
      </c>
      <c r="F922">
        <v>0.14000000000000001</v>
      </c>
      <c r="G922" t="s">
        <v>3684</v>
      </c>
      <c r="H922" t="s">
        <v>3685</v>
      </c>
      <c r="J922" t="s">
        <v>90</v>
      </c>
      <c r="K922" t="s">
        <v>312</v>
      </c>
      <c r="L922" t="s">
        <v>313</v>
      </c>
      <c r="M922">
        <v>1574.59365</v>
      </c>
      <c r="N922">
        <v>6.2983746</v>
      </c>
      <c r="O922">
        <v>55778.50017</v>
      </c>
      <c r="P922">
        <v>55778.50017</v>
      </c>
      <c r="Q922">
        <v>2.8229401027295497E-2</v>
      </c>
      <c r="R922">
        <v>239.909037953</v>
      </c>
      <c r="S922" t="s">
        <v>471</v>
      </c>
      <c r="T922" t="s">
        <v>93</v>
      </c>
      <c r="U922">
        <v>1</v>
      </c>
      <c r="V922" t="s">
        <v>315</v>
      </c>
      <c r="W922" t="s">
        <v>142</v>
      </c>
      <c r="X922" t="s">
        <v>150</v>
      </c>
      <c r="Y922" s="23" t="s">
        <v>151</v>
      </c>
      <c r="AA922">
        <v>1349</v>
      </c>
      <c r="AB922" t="s">
        <v>3686</v>
      </c>
      <c r="AC922" t="s">
        <v>3683</v>
      </c>
      <c r="AE922" s="2"/>
      <c r="AF922"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0.028229401027295497</v>
      </c>
      <c r="AH922">
        <f>_xlfn.LET(_xlpm.pct, FINI_grouping_for_wheel[[#This Row],[% forecast within subgroup]], _xlpm.lote, FINI_grouping_for_wheel[[#This Row],[Lot size considered]], _xlpm.pct*_xlpm.lote)</f>
        <v>239.90903795283356</v>
      </c>
      <c r="AI922" cm="1" t="str">
        <f t="array" aca="1" ref="AI922" ca="1">IFERROR(INDIRECT("FINI_grouping_for_wheel[@["&amp;FINI_grouping_for_wheel[[#This Row],[Selected PV]]&amp;"]]"),"")</f>
        <v/>
      </c>
      <c r="AJ92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22"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22" s="4"/>
      <c r="AM92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2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22" t="str">
        <f>_xlfn.CONCAT(FINI_grouping_for_wheel[[#This Row],[Recipe Combination]],FINI_grouping_for_wheel[[#This Row],[Subgroup]])</f>
        <v/>
      </c>
    </row>
    <row r="923" spans="1:55" hidden="1">
      <c r="A923" t="s">
        <v>16</v>
      </c>
      <c r="B923">
        <v>4267467</v>
      </c>
      <c r="C923" t="s">
        <v>3679</v>
      </c>
      <c r="D923">
        <v>8498.55219106</v>
      </c>
      <c r="E923">
        <v>7</v>
      </c>
      <c r="F923">
        <v>0.14000000000000001</v>
      </c>
      <c r="G923" t="s">
        <v>3687</v>
      </c>
      <c r="H923" t="s">
        <v>3688</v>
      </c>
      <c r="I923">
        <v>396</v>
      </c>
      <c r="J923" t="s">
        <v>90</v>
      </c>
      <c r="K923" t="s">
        <v>312</v>
      </c>
      <c r="L923" t="s">
        <v>313</v>
      </c>
      <c r="M923">
        <v>1810.190745</v>
      </c>
      <c r="N923">
        <v>7.24076298</v>
      </c>
      <c r="O923">
        <v>55778.50017</v>
      </c>
      <c r="P923">
        <v>55778.50017</v>
      </c>
      <c r="Q923">
        <v>3.2453198624612642E-2</v>
      </c>
      <c r="R923">
        <v>275.805202278</v>
      </c>
      <c r="S923" t="s">
        <v>471</v>
      </c>
      <c r="T923" t="s">
        <v>93</v>
      </c>
      <c r="U923">
        <v>1</v>
      </c>
      <c r="V923" t="s">
        <v>315</v>
      </c>
      <c r="W923" t="s">
        <v>142</v>
      </c>
      <c r="X923" t="s">
        <v>150</v>
      </c>
      <c r="Y923" s="23" t="s">
        <v>151</v>
      </c>
      <c r="AA923">
        <v>1174</v>
      </c>
      <c r="AB923" t="s">
        <v>3689</v>
      </c>
      <c r="AC923" t="s">
        <v>3683</v>
      </c>
      <c r="AE923" s="2"/>
      <c r="AF923"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0.03245319862461264</v>
      </c>
      <c r="AH923">
        <f>_xlfn.LET(_xlpm.pct, FINI_grouping_for_wheel[[#This Row],[% forecast within subgroup]], _xlpm.lote, FINI_grouping_for_wheel[[#This Row],[Lot size considered]], _xlpm.pct*_xlpm.lote)</f>
        <v>275.8052022781072</v>
      </c>
      <c r="AI923" cm="1" t="str">
        <f t="array" aca="1" ref="AI923" ca="1">IFERROR(INDIRECT("FINI_grouping_for_wheel[@["&amp;FINI_grouping_for_wheel[[#This Row],[Selected PV]]&amp;"]]"),"")</f>
        <v/>
      </c>
      <c r="AJ92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0.7</v>
      </c>
      <c r="AL923" s="4"/>
      <c r="AM92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2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23" t="str">
        <f>_xlfn.CONCAT(FINI_grouping_for_wheel[[#This Row],[Recipe Combination]],FINI_grouping_for_wheel[[#This Row],[Subgroup]])</f>
        <v/>
      </c>
    </row>
    <row r="924" spans="1:55" hidden="1">
      <c r="A924" t="s">
        <v>16</v>
      </c>
      <c r="B924">
        <v>4267467</v>
      </c>
      <c r="C924" t="s">
        <v>3679</v>
      </c>
      <c r="D924">
        <v>8498.55219106</v>
      </c>
      <c r="E924">
        <v>7</v>
      </c>
      <c r="F924">
        <v>0.14000000000000001</v>
      </c>
      <c r="G924" t="s">
        <v>3690</v>
      </c>
      <c r="H924" t="s">
        <v>3691</v>
      </c>
      <c r="I924">
        <v>396</v>
      </c>
      <c r="J924" t="s">
        <v>90</v>
      </c>
      <c r="K924" t="s">
        <v>312</v>
      </c>
      <c r="L924" t="s">
        <v>313</v>
      </c>
      <c r="M924">
        <v>5001.998625</v>
      </c>
      <c r="N924">
        <v>20.0079945</v>
      </c>
      <c r="O924">
        <v>55778.50017</v>
      </c>
      <c r="P924">
        <v>55778.50017</v>
      </c>
      <c r="Q924">
        <v>8.9676104767160508E-2</v>
      </c>
      <c r="R924">
        <v>762.117056655</v>
      </c>
      <c r="S924" t="s">
        <v>471</v>
      </c>
      <c r="T924" t="s">
        <v>93</v>
      </c>
      <c r="U924">
        <v>1</v>
      </c>
      <c r="V924" t="s">
        <v>315</v>
      </c>
      <c r="W924" t="s">
        <v>142</v>
      </c>
      <c r="X924" t="s">
        <v>150</v>
      </c>
      <c r="Y924" s="23" t="s">
        <v>151</v>
      </c>
      <c r="AA924">
        <v>425</v>
      </c>
      <c r="AB924" t="s">
        <v>3692</v>
      </c>
      <c r="AC924" t="s">
        <v>3683</v>
      </c>
      <c r="AE924" s="2"/>
      <c r="AF924"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0.08967610476716051</v>
      </c>
      <c r="AH924">
        <f>_xlfn.LET(_xlpm.pct, FINI_grouping_for_wheel[[#This Row],[% forecast within subgroup]], _xlpm.lote, FINI_grouping_for_wheel[[#This Row],[Lot size considered]], _xlpm.pct*_xlpm.lote)</f>
        <v>762.1170566546781</v>
      </c>
      <c r="AI924" cm="1" t="str">
        <f t="array" aca="1" ref="AI924" ca="1">IFERROR(INDIRECT("FINI_grouping_for_wheel[@["&amp;FINI_grouping_for_wheel[[#This Row],[Selected PV]]&amp;"]]"),"")</f>
        <v/>
      </c>
      <c r="AJ92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2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v>
      </c>
      <c r="AL924" s="4"/>
      <c r="AM92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2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2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24" t="str">
        <f>_xlfn.CONCAT(FINI_grouping_for_wheel[[#This Row],[Recipe Combination]],FINI_grouping_for_wheel[[#This Row],[Subgroup]])</f>
        <v/>
      </c>
    </row>
    <row r="925" spans="1:55" hidden="1">
      <c r="A925" t="s">
        <v>16</v>
      </c>
      <c r="B925">
        <v>4267467</v>
      </c>
      <c r="C925" t="s">
        <v>3679</v>
      </c>
      <c r="D925">
        <v>8498.55219106</v>
      </c>
      <c r="E925">
        <v>7</v>
      </c>
      <c r="F925">
        <v>0.14000000000000001</v>
      </c>
      <c r="G925" t="s">
        <v>3693</v>
      </c>
      <c r="H925" t="s">
        <v>3694</v>
      </c>
      <c r="J925" t="s">
        <v>90</v>
      </c>
      <c r="K925" t="s">
        <v>515</v>
      </c>
      <c r="L925" t="s">
        <v>516</v>
      </c>
      <c r="M925">
        <v>4540.275675</v>
      </c>
      <c r="N925">
        <v>18.1611027</v>
      </c>
      <c r="O925">
        <v>55778.50017</v>
      </c>
      <c r="P925">
        <v>55778.50017</v>
      </c>
      <c r="Q925">
        <v>8.1398310480961078E-2</v>
      </c>
      <c r="R925">
        <v>691.767789887</v>
      </c>
      <c r="S925" t="s">
        <v>471</v>
      </c>
      <c r="T925" t="s">
        <v>93</v>
      </c>
      <c r="U925">
        <v>5</v>
      </c>
      <c r="V925" t="s">
        <v>518</v>
      </c>
      <c r="W925" t="s">
        <v>142</v>
      </c>
      <c r="X925" t="s">
        <v>150</v>
      </c>
      <c r="Y925" s="23" t="s">
        <v>151</v>
      </c>
      <c r="AA925">
        <v>468</v>
      </c>
      <c r="AB925" t="s">
        <v>3695</v>
      </c>
      <c r="AC925" t="s">
        <v>3683</v>
      </c>
      <c r="AE925" s="2"/>
      <c r="AF925"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2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0.08139831048096108</v>
      </c>
      <c r="AH925">
        <f>_xlfn.LET(_xlpm.pct, FINI_grouping_for_wheel[[#This Row],[% forecast within subgroup]], _xlpm.lote, FINI_grouping_for_wheel[[#This Row],[Lot size considered]], _xlpm.pct*_xlpm.lote)</f>
        <v>691.7677898865539</v>
      </c>
      <c r="AI925" cm="1" t="str">
        <f t="array" aca="1" ref="AI925" ca="1">IFERROR(INDIRECT("FINI_grouping_for_wheel[@["&amp;FINI_grouping_for_wheel[[#This Row],[Selected PV]]&amp;"]]"),"")</f>
        <v/>
      </c>
      <c r="AJ92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2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25" s="4"/>
      <c r="AM92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2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2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25" t="str">
        <f>_xlfn.CONCAT(FINI_grouping_for_wheel[[#This Row],[Recipe Combination]],FINI_grouping_for_wheel[[#This Row],[Subgroup]])</f>
        <v/>
      </c>
    </row>
    <row r="926" spans="1:55" hidden="1">
      <c r="A926" t="s">
        <v>16</v>
      </c>
      <c r="B926">
        <v>4267467</v>
      </c>
      <c r="C926" t="s">
        <v>3679</v>
      </c>
      <c r="D926">
        <v>8498.55219106</v>
      </c>
      <c r="E926">
        <v>7</v>
      </c>
      <c r="F926">
        <v>0.14000000000000001</v>
      </c>
      <c r="G926" t="s">
        <v>3696</v>
      </c>
      <c r="H926" t="s">
        <v>3697</v>
      </c>
      <c r="I926">
        <v>360</v>
      </c>
      <c r="J926" t="s">
        <v>90</v>
      </c>
      <c r="K926" t="s">
        <v>264</v>
      </c>
      <c r="L926" t="s">
        <v>265</v>
      </c>
      <c r="M926">
        <v>3239.16408</v>
      </c>
      <c r="N926">
        <v>12.95665632</v>
      </c>
      <c r="O926">
        <v>55778.50017</v>
      </c>
      <c r="P926">
        <v>55778.50017</v>
      </c>
      <c r="Q926">
        <v>5.8071910684722165E-2</v>
      </c>
      <c r="R926">
        <v>493.527163789</v>
      </c>
      <c r="S926" t="s">
        <v>471</v>
      </c>
      <c r="T926" t="s">
        <v>93</v>
      </c>
      <c r="U926">
        <v>2.5</v>
      </c>
      <c r="V926" t="s">
        <v>267</v>
      </c>
      <c r="W926" t="s">
        <v>142</v>
      </c>
      <c r="X926" t="s">
        <v>150</v>
      </c>
      <c r="Y926" s="23" t="s">
        <v>151</v>
      </c>
      <c r="AA926">
        <v>656</v>
      </c>
      <c r="AB926" t="s">
        <v>3698</v>
      </c>
      <c r="AC926" t="s">
        <v>3683</v>
      </c>
      <c r="AE926" s="2"/>
      <c r="AF926"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0.058071910684722165</v>
      </c>
      <c r="AH926">
        <f>_xlfn.LET(_xlpm.pct, FINI_grouping_for_wheel[[#This Row],[% forecast within subgroup]], _xlpm.lote, FINI_grouping_for_wheel[[#This Row],[Lot size considered]], _xlpm.pct*_xlpm.lote)</f>
        <v>493.5271637886862</v>
      </c>
      <c r="AI926" cm="1" t="str">
        <f t="array" aca="1" ref="AI926" ca="1">IFERROR(INDIRECT("FINI_grouping_for_wheel[@["&amp;FINI_grouping_for_wheel[[#This Row],[Selected PV]]&amp;"]]"),"")</f>
        <v/>
      </c>
      <c r="AJ92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2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1.4</v>
      </c>
      <c r="AL926" s="4"/>
      <c r="AM92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2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2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26" t="str">
        <f>_xlfn.CONCAT(FINI_grouping_for_wheel[[#This Row],[Recipe Combination]],FINI_grouping_for_wheel[[#This Row],[Subgroup]])</f>
        <v/>
      </c>
    </row>
    <row r="927" spans="1:55" hidden="1">
      <c r="A927" t="s">
        <v>16</v>
      </c>
      <c r="B927">
        <v>4267467</v>
      </c>
      <c r="C927" t="s">
        <v>3679</v>
      </c>
      <c r="D927">
        <v>8498.55219106</v>
      </c>
      <c r="E927">
        <v>7</v>
      </c>
      <c r="F927">
        <v>0.14000000000000001</v>
      </c>
      <c r="G927" t="s">
        <v>3699</v>
      </c>
      <c r="H927" t="s">
        <v>3700</v>
      </c>
      <c r="J927" t="s">
        <v>90</v>
      </c>
      <c r="K927" t="s">
        <v>385</v>
      </c>
      <c r="L927" t="s">
        <v>386</v>
      </c>
      <c r="M927">
        <v>1621.94985</v>
      </c>
      <c r="N927">
        <v>6.4877994</v>
      </c>
      <c r="O927">
        <v>55778.50017</v>
      </c>
      <c r="P927">
        <v>55778.50017</v>
      </c>
      <c r="Q927">
        <v>2.9078405569469796E-2</v>
      </c>
      <c r="R927">
        <v>247.124347365</v>
      </c>
      <c r="S927" t="s">
        <v>471</v>
      </c>
      <c r="T927" t="s">
        <v>93</v>
      </c>
      <c r="U927">
        <v>10</v>
      </c>
      <c r="V927" t="s">
        <v>94</v>
      </c>
      <c r="W927" t="s">
        <v>95</v>
      </c>
      <c r="X927" t="s">
        <v>96</v>
      </c>
      <c r="Y927" s="23" t="s">
        <v>97</v>
      </c>
      <c r="AA927">
        <v>1310</v>
      </c>
      <c r="AB927" t="s">
        <v>3701</v>
      </c>
      <c r="AC927" t="s">
        <v>3683</v>
      </c>
      <c r="AE927" s="2"/>
      <c r="AF927"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2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0.029078405569469796</v>
      </c>
      <c r="AH927">
        <f>_xlfn.LET(_xlpm.pct, FINI_grouping_for_wheel[[#This Row],[% forecast within subgroup]], _xlpm.lote, FINI_grouping_for_wheel[[#This Row],[Lot size considered]], _xlpm.pct*_xlpm.lote)</f>
        <v>247.12434736494885</v>
      </c>
      <c r="AI927" cm="1" t="str">
        <f t="array" aca="1" ref="AI927" ca="1">IFERROR(INDIRECT("FINI_grouping_for_wheel[@["&amp;FINI_grouping_for_wheel[[#This Row],[Selected PV]]&amp;"]]"),"")</f>
        <v/>
      </c>
      <c r="AJ92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2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27" s="4"/>
      <c r="AM92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2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2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27" t="str">
        <f>_xlfn.CONCAT(FINI_grouping_for_wheel[[#This Row],[Recipe Combination]],FINI_grouping_for_wheel[[#This Row],[Subgroup]])</f>
        <v/>
      </c>
    </row>
    <row r="928" spans="1:55" hidden="1">
      <c r="A928" t="s">
        <v>16</v>
      </c>
      <c r="B928">
        <v>4267467</v>
      </c>
      <c r="C928" t="s">
        <v>3679</v>
      </c>
      <c r="D928">
        <v>8498.55219106</v>
      </c>
      <c r="E928">
        <v>7</v>
      </c>
      <c r="F928">
        <v>0.14000000000000001</v>
      </c>
      <c r="G928" t="s">
        <v>3702</v>
      </c>
      <c r="H928" t="s">
        <v>3703</v>
      </c>
      <c r="J928" t="s">
        <v>90</v>
      </c>
      <c r="K928" t="s">
        <v>312</v>
      </c>
      <c r="L928" t="s">
        <v>313</v>
      </c>
      <c r="M928">
        <v>915.158565</v>
      </c>
      <c r="N928">
        <v>3.66063426</v>
      </c>
      <c r="O928">
        <v>55778.50017</v>
      </c>
      <c r="P928">
        <v>55778.50017</v>
      </c>
      <c r="Q928">
        <v>1.6407012777518361E-2</v>
      </c>
      <c r="R928">
        <v>139.435854389</v>
      </c>
      <c r="S928" t="s">
        <v>471</v>
      </c>
      <c r="T928" t="s">
        <v>93</v>
      </c>
      <c r="U928">
        <v>1</v>
      </c>
      <c r="V928" t="s">
        <v>315</v>
      </c>
      <c r="W928" t="s">
        <v>142</v>
      </c>
      <c r="X928" t="s">
        <v>150</v>
      </c>
      <c r="Y928" s="23" t="s">
        <v>151</v>
      </c>
      <c r="AA928">
        <v>2322</v>
      </c>
      <c r="AB928" t="s">
        <v>3704</v>
      </c>
      <c r="AC928" t="s">
        <v>3683</v>
      </c>
      <c r="AE928" s="2"/>
      <c r="AF928"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2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0.01640701277751836</v>
      </c>
      <c r="AH928">
        <f>_xlfn.LET(_xlpm.pct, FINI_grouping_for_wheel[[#This Row],[% forecast within subgroup]], _xlpm.lote, FINI_grouping_for_wheel[[#This Row],[Lot size considered]], _xlpm.pct*_xlpm.lote)</f>
        <v>139.43585438912808</v>
      </c>
      <c r="AI928" cm="1" t="str">
        <f t="array" aca="1" ref="AI928" ca="1">IFERROR(INDIRECT("FINI_grouping_for_wheel[@["&amp;FINI_grouping_for_wheel[[#This Row],[Selected PV]]&amp;"]]"),"")</f>
        <v/>
      </c>
      <c r="AJ92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2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28" s="4"/>
      <c r="AM92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2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2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28" t="str">
        <f>_xlfn.CONCAT(FINI_grouping_for_wheel[[#This Row],[Recipe Combination]],FINI_grouping_for_wheel[[#This Row],[Subgroup]])</f>
        <v/>
      </c>
    </row>
    <row r="929" spans="1:55" hidden="1">
      <c r="A929" t="s">
        <v>16</v>
      </c>
      <c r="B929">
        <v>4267467</v>
      </c>
      <c r="C929" t="s">
        <v>3679</v>
      </c>
      <c r="D929">
        <v>8498.55219106</v>
      </c>
      <c r="E929">
        <v>7</v>
      </c>
      <c r="F929">
        <v>0.14000000000000001</v>
      </c>
      <c r="G929" t="s">
        <v>3705</v>
      </c>
      <c r="H929" t="s">
        <v>3706</v>
      </c>
      <c r="J929" t="s">
        <v>90</v>
      </c>
      <c r="K929" t="s">
        <v>264</v>
      </c>
      <c r="L929" t="s">
        <v>265</v>
      </c>
      <c r="M929">
        <v>2225.7414</v>
      </c>
      <c r="N929">
        <v>8.9029656</v>
      </c>
      <c r="O929">
        <v>55778.50017</v>
      </c>
      <c r="P929">
        <v>55778.50017</v>
      </c>
      <c r="Q929">
        <v>3.9903213482192126E-2</v>
      </c>
      <c r="R929">
        <v>339.119542369</v>
      </c>
      <c r="S929" t="s">
        <v>471</v>
      </c>
      <c r="T929" t="s">
        <v>93</v>
      </c>
      <c r="U929">
        <v>2.5</v>
      </c>
      <c r="V929" t="s">
        <v>267</v>
      </c>
      <c r="W929" t="s">
        <v>142</v>
      </c>
      <c r="X929" t="s">
        <v>150</v>
      </c>
      <c r="Y929" s="23" t="s">
        <v>151</v>
      </c>
      <c r="AA929">
        <v>955</v>
      </c>
      <c r="AB929" t="s">
        <v>3707</v>
      </c>
      <c r="AC929" t="s">
        <v>3683</v>
      </c>
      <c r="AE929" s="2"/>
      <c r="AF929"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2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0.039903213482192126</v>
      </c>
      <c r="AH929">
        <f>_xlfn.LET(_xlpm.pct, FINI_grouping_for_wheel[[#This Row],[% forecast within subgroup]], _xlpm.lote, FINI_grouping_for_wheel[[#This Row],[Lot size considered]], _xlpm.pct*_xlpm.lote)</f>
        <v>339.1195423694188</v>
      </c>
      <c r="AI929" cm="1" t="str">
        <f t="array" aca="1" ref="AI929" ca="1">IFERROR(INDIRECT("FINI_grouping_for_wheel[@["&amp;FINI_grouping_for_wheel[[#This Row],[Selected PV]]&amp;"]]"),"")</f>
        <v/>
      </c>
      <c r="AJ92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2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29" s="4"/>
      <c r="AM92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2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2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29" t="str">
        <f>_xlfn.CONCAT(FINI_grouping_for_wheel[[#This Row],[Recipe Combination]],FINI_grouping_for_wheel[[#This Row],[Subgroup]])</f>
        <v/>
      </c>
    </row>
    <row r="930" spans="1:55" hidden="1">
      <c r="A930" t="s">
        <v>16</v>
      </c>
      <c r="B930">
        <v>4267467</v>
      </c>
      <c r="C930" t="s">
        <v>3679</v>
      </c>
      <c r="D930">
        <v>8498.55219106</v>
      </c>
      <c r="E930">
        <v>7</v>
      </c>
      <c r="F930">
        <v>0.14000000000000001</v>
      </c>
      <c r="G930" t="s">
        <v>3708</v>
      </c>
      <c r="H930" t="s">
        <v>3709</v>
      </c>
      <c r="J930" t="s">
        <v>90</v>
      </c>
      <c r="K930" t="s">
        <v>515</v>
      </c>
      <c r="L930" t="s">
        <v>516</v>
      </c>
      <c r="M930">
        <v>3374.12925</v>
      </c>
      <c r="N930">
        <v>13.496517</v>
      </c>
      <c r="O930">
        <v>55778.50017</v>
      </c>
      <c r="P930">
        <v>55778.50017</v>
      </c>
      <c r="Q930">
        <v>6.0491573629918922E-2</v>
      </c>
      <c r="R930">
        <v>514.090795613</v>
      </c>
      <c r="S930" t="s">
        <v>471</v>
      </c>
      <c r="T930" t="s">
        <v>93</v>
      </c>
      <c r="U930">
        <v>5</v>
      </c>
      <c r="V930" t="s">
        <v>518</v>
      </c>
      <c r="W930" t="s">
        <v>142</v>
      </c>
      <c r="X930" t="s">
        <v>150</v>
      </c>
      <c r="Y930" s="23" t="s">
        <v>151</v>
      </c>
      <c r="AA930">
        <v>630</v>
      </c>
      <c r="AB930" t="s">
        <v>3710</v>
      </c>
      <c r="AC930" t="s">
        <v>3683</v>
      </c>
      <c r="AE930" s="2"/>
      <c r="AF930"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3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0.06049157362991892</v>
      </c>
      <c r="AH930">
        <f>_xlfn.LET(_xlpm.pct, FINI_grouping_for_wheel[[#This Row],[% forecast within subgroup]], _xlpm.lote, FINI_grouping_for_wheel[[#This Row],[Lot size considered]], _xlpm.pct*_xlpm.lote)</f>
        <v>514.0907956132148</v>
      </c>
      <c r="AI930" cm="1" t="str">
        <f t="array" aca="1" ref="AI930" ca="1">IFERROR(INDIRECT("FINI_grouping_for_wheel[@["&amp;FINI_grouping_for_wheel[[#This Row],[Selected PV]]&amp;"]]"),"")</f>
        <v/>
      </c>
      <c r="AJ93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3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30" s="4"/>
      <c r="AM93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3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3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30" t="str">
        <f>_xlfn.CONCAT(FINI_grouping_for_wheel[[#This Row],[Recipe Combination]],FINI_grouping_for_wheel[[#This Row],[Subgroup]])</f>
        <v/>
      </c>
    </row>
    <row r="931" spans="1:55" hidden="1">
      <c r="A931" t="s">
        <v>16</v>
      </c>
      <c r="B931">
        <v>4267467</v>
      </c>
      <c r="C931" t="s">
        <v>3679</v>
      </c>
      <c r="D931">
        <v>8498.55219106</v>
      </c>
      <c r="E931">
        <v>7</v>
      </c>
      <c r="F931">
        <v>0.14000000000000001</v>
      </c>
      <c r="G931" t="s">
        <v>3711</v>
      </c>
      <c r="H931" t="s">
        <v>3712</v>
      </c>
      <c r="I931">
        <v>450</v>
      </c>
      <c r="J931" t="s">
        <v>90</v>
      </c>
      <c r="M931">
        <v>745.86015</v>
      </c>
      <c r="N931">
        <v>2.9834406</v>
      </c>
      <c r="O931">
        <v>55778.50017</v>
      </c>
      <c r="P931">
        <v>55778.50017</v>
      </c>
      <c r="Q931">
        <v>1.3371821539245234E-2</v>
      </c>
      <c r="R931">
        <v>113.641123241</v>
      </c>
      <c r="S931" t="s">
        <v>471</v>
      </c>
      <c r="T931" t="s">
        <v>93</v>
      </c>
      <c r="U931">
        <v>2.5</v>
      </c>
      <c r="AA931">
        <v>2849</v>
      </c>
      <c r="AB931" t="s">
        <v>3713</v>
      </c>
      <c r="AC931" t="s">
        <v>3683</v>
      </c>
      <c r="AE931" s="2"/>
      <c r="AF931"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0.013371821539245234</v>
      </c>
      <c r="AH931">
        <f>_xlfn.LET(_xlpm.pct, FINI_grouping_for_wheel[[#This Row],[% forecast within subgroup]], _xlpm.lote, FINI_grouping_for_wheel[[#This Row],[Lot size considered]], _xlpm.pct*_xlpm.lote)</f>
        <v>113.64112324081589</v>
      </c>
      <c r="AI931" cm="1" t="str">
        <f t="array" aca="1" ref="AI931" ca="1">IFERROR(INDIRECT("FINI_grouping_for_wheel[@["&amp;FINI_grouping_for_wheel[[#This Row],[Selected PV]]&amp;"]]"),"")</f>
        <v/>
      </c>
      <c r="AJ93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3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0.3</v>
      </c>
      <c r="AL931" s="4"/>
      <c r="AM93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3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3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31" t="str">
        <f>_xlfn.CONCAT(FINI_grouping_for_wheel[[#This Row],[Recipe Combination]],FINI_grouping_for_wheel[[#This Row],[Subgroup]])</f>
        <v/>
      </c>
    </row>
    <row r="932" spans="1:55" hidden="1">
      <c r="A932" t="s">
        <v>16</v>
      </c>
      <c r="B932">
        <v>4267467</v>
      </c>
      <c r="C932" t="s">
        <v>3679</v>
      </c>
      <c r="D932">
        <v>8498.55219106</v>
      </c>
      <c r="E932">
        <v>7</v>
      </c>
      <c r="F932">
        <v>0.14000000000000001</v>
      </c>
      <c r="G932" t="s">
        <v>3714</v>
      </c>
      <c r="H932" t="s">
        <v>3715</v>
      </c>
      <c r="I932">
        <v>480</v>
      </c>
      <c r="J932" t="s">
        <v>90</v>
      </c>
      <c r="K932" t="s">
        <v>515</v>
      </c>
      <c r="L932" t="s">
        <v>516</v>
      </c>
      <c r="M932">
        <v>20499.315075</v>
      </c>
      <c r="N932">
        <v>81.9972603</v>
      </c>
      <c r="O932">
        <v>55778.50017</v>
      </c>
      <c r="P932">
        <v>55778.50017</v>
      </c>
      <c r="Q932">
        <v>0.36751284119370037</v>
      </c>
      <c r="R932">
        <v>3123.32706177</v>
      </c>
      <c r="S932" t="s">
        <v>471</v>
      </c>
      <c r="T932" t="s">
        <v>93</v>
      </c>
      <c r="U932">
        <v>5</v>
      </c>
      <c r="V932" t="s">
        <v>518</v>
      </c>
      <c r="W932" t="s">
        <v>142</v>
      </c>
      <c r="X932" t="s">
        <v>150</v>
      </c>
      <c r="Y932" s="23" t="s">
        <v>151</v>
      </c>
      <c r="AA932">
        <v>104</v>
      </c>
      <c r="AB932" t="s">
        <v>3716</v>
      </c>
      <c r="AC932" t="s">
        <v>3683</v>
      </c>
      <c r="AE932" s="2"/>
      <c r="AF932"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0.36751284119370037</v>
      </c>
      <c r="AH932">
        <f>_xlfn.LET(_xlpm.pct, FINI_grouping_for_wheel[[#This Row],[% forecast within subgroup]], _xlpm.lote, FINI_grouping_for_wheel[[#This Row],[Lot size considered]], _xlpm.pct*_xlpm.lote)</f>
        <v>3123.327061769408</v>
      </c>
      <c r="AI932" cm="1" t="str">
        <f t="array" aca="1" ref="AI932" ca="1">IFERROR(INDIRECT("FINI_grouping_for_wheel[@["&amp;FINI_grouping_for_wheel[[#This Row],[Selected PV]]&amp;"]]"),"")</f>
        <v/>
      </c>
      <c r="AJ93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3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6.7</v>
      </c>
      <c r="AL932" s="4"/>
      <c r="AM93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3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3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32" t="str">
        <f>_xlfn.CONCAT(FINI_grouping_for_wheel[[#This Row],[Recipe Combination]],FINI_grouping_for_wheel[[#This Row],[Subgroup]])</f>
        <v/>
      </c>
    </row>
    <row r="933" spans="1:55" hidden="1">
      <c r="A933" t="s">
        <v>16</v>
      </c>
      <c r="B933">
        <v>4267467</v>
      </c>
      <c r="C933" t="s">
        <v>3679</v>
      </c>
      <c r="D933">
        <v>8498.55219106</v>
      </c>
      <c r="E933">
        <v>7</v>
      </c>
      <c r="F933">
        <v>0.14000000000000001</v>
      </c>
      <c r="G933" t="s">
        <v>3717</v>
      </c>
      <c r="H933" t="s">
        <v>3718</v>
      </c>
      <c r="J933" t="s">
        <v>90</v>
      </c>
      <c r="K933" t="s">
        <v>264</v>
      </c>
      <c r="L933" t="s">
        <v>265</v>
      </c>
      <c r="M933">
        <v>3367.02582</v>
      </c>
      <c r="N933">
        <v>13.46810328</v>
      </c>
      <c r="O933">
        <v>55778.50017</v>
      </c>
      <c r="P933">
        <v>55778.50017</v>
      </c>
      <c r="Q933">
        <v>6.0364222948592776E-2</v>
      </c>
      <c r="R933">
        <v>513.008499201</v>
      </c>
      <c r="S933" t="s">
        <v>471</v>
      </c>
      <c r="T933" t="s">
        <v>93</v>
      </c>
      <c r="U933">
        <v>2.5</v>
      </c>
      <c r="V933" t="s">
        <v>267</v>
      </c>
      <c r="W933" t="s">
        <v>142</v>
      </c>
      <c r="X933" t="s">
        <v>150</v>
      </c>
      <c r="Y933" s="23" t="s">
        <v>151</v>
      </c>
      <c r="AA933">
        <v>631</v>
      </c>
      <c r="AB933" t="s">
        <v>3719</v>
      </c>
      <c r="AC933" t="s">
        <v>3683</v>
      </c>
      <c r="AE933" s="2"/>
      <c r="AF933" t="str">
        <f>_xlfn.CONCAT(FINI_grouping_for_wheel[[#This Row],[SEFI/Plant]],"/",IF(FINI_grouping_for_wheel[[#This Row],[RESET recipe combination]]&lt;&gt;"",FINI_grouping_for_wheel[[#This Row],[RESET recipe combination]],FINI_grouping_for_wheel[[#This Row],[Recipe Combination]]),"/",FINI_grouping_for_wheel[[#This Row],[Subgroup]])</f>
        <v>4267467/THDP/x/</v>
      </c>
      <c r="AG93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0.060364222948592776</v>
      </c>
      <c r="AH933">
        <f>_xlfn.LET(_xlpm.pct, FINI_grouping_for_wheel[[#This Row],[% forecast within subgroup]], _xlpm.lote, FINI_grouping_for_wheel[[#This Row],[Lot size considered]], _xlpm.pct*_xlpm.lote)</f>
        <v>513.0084992013975</v>
      </c>
      <c r="AI933" cm="1" t="str">
        <f t="array" aca="1" ref="AI933" ca="1">IFERROR(INDIRECT("FINI_grouping_for_wheel[@["&amp;FINI_grouping_for_wheel[[#This Row],[Selected PV]]&amp;"]]"),"")</f>
        <v/>
      </c>
      <c r="AJ93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8753.79357</v>
      </c>
      <c r="AK93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33" s="4"/>
      <c r="AM93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33</v>
      </c>
      <c r="AN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3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3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33" t="str">
        <f>_xlfn.CONCAT(FINI_grouping_for_wheel[[#This Row],[Recipe Combination]],FINI_grouping_for_wheel[[#This Row],[Subgroup]])</f>
        <v/>
      </c>
    </row>
    <row r="934" spans="1:55" hidden="1">
      <c r="A934" t="s">
        <v>16</v>
      </c>
      <c r="B934">
        <v>4463940</v>
      </c>
      <c r="C934" t="s">
        <v>3720</v>
      </c>
      <c r="D934">
        <v>7474.40517014</v>
      </c>
      <c r="E934">
        <v>6</v>
      </c>
      <c r="F934">
        <v>0.12</v>
      </c>
      <c r="G934" t="s">
        <v>3721</v>
      </c>
      <c r="H934" t="s">
        <v>3722</v>
      </c>
      <c r="I934">
        <v>480</v>
      </c>
      <c r="J934" t="s">
        <v>90</v>
      </c>
      <c r="K934" t="s">
        <v>515</v>
      </c>
      <c r="L934" t="s">
        <v>516</v>
      </c>
      <c r="M934">
        <v>3587.23215</v>
      </c>
      <c r="N934">
        <v>14.3489286</v>
      </c>
      <c r="O934">
        <v>3587.23215</v>
      </c>
      <c r="P934">
        <v>43013.63646</v>
      </c>
      <c r="Q934">
        <v>1</v>
      </c>
      <c r="R934">
        <v>7474.40517014</v>
      </c>
      <c r="S934" t="s">
        <v>990</v>
      </c>
      <c r="T934" t="s">
        <v>93</v>
      </c>
      <c r="U934">
        <v>5</v>
      </c>
      <c r="V934" t="s">
        <v>518</v>
      </c>
      <c r="W934" t="s">
        <v>142</v>
      </c>
      <c r="X934" t="s">
        <v>150</v>
      </c>
      <c r="Y934" s="23" t="s">
        <v>151</v>
      </c>
      <c r="AA934">
        <v>521</v>
      </c>
      <c r="AB934" t="s">
        <v>3723</v>
      </c>
      <c r="AC934" t="s">
        <v>3724</v>
      </c>
      <c r="AE934" s="2"/>
      <c r="AF934" t="str">
        <f>_xlfn.CONCAT(FINI_grouping_for_wheel[[#This Row],[SEFI/Plant]],"/",IF(FINI_grouping_for_wheel[[#This Row],[RESET recipe combination]]&lt;&gt;"",FINI_grouping_for_wheel[[#This Row],[RESET recipe combination]],FINI_grouping_for_wheel[[#This Row],[Recipe Combination]]),"/",FINI_grouping_for_wheel[[#This Row],[Subgroup]])</f>
        <v>4463940/THDP/x/</v>
      </c>
      <c r="AG9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0.08339755587361003</v>
      </c>
      <c r="AH934">
        <f>_xlfn.LET(_xlpm.pct, FINI_grouping_for_wheel[[#This Row],[% forecast within subgroup]], _xlpm.lote, FINI_grouping_for_wheel[[#This Row],[Lot size considered]], _xlpm.pct*_xlpm.lote)</f>
        <v>623.3471227987503</v>
      </c>
      <c r="AI934" cm="1" t="str">
        <f t="array" aca="1" ref="AI934" ca="1">IFERROR(INDIRECT("FINI_grouping_for_wheel[@["&amp;FINI_grouping_for_wheel[[#This Row],[Selected PV]]&amp;"]]"),"")</f>
        <v/>
      </c>
      <c r="AJ93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8821.276155</v>
      </c>
      <c r="AK93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934" s="4"/>
      <c r="AM93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44</v>
      </c>
      <c r="AN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3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3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34" t="str">
        <f>_xlfn.CONCAT(FINI_grouping_for_wheel[[#This Row],[Recipe Combination]],FINI_grouping_for_wheel[[#This Row],[Subgroup]])</f>
        <v>2</v>
      </c>
    </row>
    <row r="935" spans="1:55" hidden="1">
      <c r="A935" t="s">
        <v>16</v>
      </c>
      <c r="B935">
        <v>4463940</v>
      </c>
      <c r="C935" t="s">
        <v>3720</v>
      </c>
      <c r="D935">
        <v>7474.40517014</v>
      </c>
      <c r="E935">
        <v>6</v>
      </c>
      <c r="F935">
        <v>0.12</v>
      </c>
      <c r="G935" t="s">
        <v>3725</v>
      </c>
      <c r="H935" t="s">
        <v>3726</v>
      </c>
      <c r="I935">
        <v>300</v>
      </c>
      <c r="J935" t="s">
        <v>90</v>
      </c>
      <c r="K935" t="s">
        <v>292</v>
      </c>
      <c r="L935" t="s">
        <v>293</v>
      </c>
      <c r="M935">
        <v>4806.6543</v>
      </c>
      <c r="N935">
        <v>19.2266172</v>
      </c>
      <c r="O935">
        <v>23983.54749</v>
      </c>
      <c r="P935">
        <v>43013.63646</v>
      </c>
      <c r="Q935">
        <v>0.20041465100207326</v>
      </c>
      <c r="R935">
        <v>1497.98030362</v>
      </c>
      <c r="S935" t="s">
        <v>294</v>
      </c>
      <c r="T935" t="s">
        <v>93</v>
      </c>
      <c r="U935">
        <v>12.5</v>
      </c>
      <c r="V935" t="s">
        <v>295</v>
      </c>
      <c r="W935" t="s">
        <v>142</v>
      </c>
      <c r="X935" t="s">
        <v>128</v>
      </c>
      <c r="Y935" s="23" t="s">
        <v>120</v>
      </c>
      <c r="AA935">
        <v>389</v>
      </c>
      <c r="AB935" t="s">
        <v>3727</v>
      </c>
      <c r="AC935" t="s">
        <v>3724</v>
      </c>
      <c r="AE935" s="2"/>
      <c r="AF935" t="str">
        <f>_xlfn.CONCAT(FINI_grouping_for_wheel[[#This Row],[SEFI/Plant]],"/",IF(FINI_grouping_for_wheel[[#This Row],[RESET recipe combination]]&lt;&gt;"",FINI_grouping_for_wheel[[#This Row],[RESET recipe combination]],FINI_grouping_for_wheel[[#This Row],[Recipe Combination]]),"/",FINI_grouping_for_wheel[[#This Row],[Subgroup]])</f>
        <v>4463940/THDP/x/</v>
      </c>
      <c r="AG9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0.11174722008147088</v>
      </c>
      <c r="AH935">
        <f>_xlfn.LET(_xlpm.pct, FINI_grouping_for_wheel[[#This Row],[% forecast within subgroup]], _xlpm.lote, FINI_grouping_for_wheel[[#This Row],[Lot size considered]], _xlpm.pct*_xlpm.lote)</f>
        <v>835.2439995257184</v>
      </c>
      <c r="AI935" cm="1" t="str">
        <f t="array" aca="1" ref="AI935" ca="1">IFERROR(INDIRECT("FINI_grouping_for_wheel[@["&amp;FINI_grouping_for_wheel[[#This Row],[Selected PV]]&amp;"]]"),"")</f>
        <v/>
      </c>
      <c r="AJ93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8821.276155</v>
      </c>
      <c r="AK93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3.3</v>
      </c>
      <c r="AL935" s="4"/>
      <c r="AM93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44</v>
      </c>
      <c r="AN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3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3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35" t="str">
        <f>_xlfn.CONCAT(FINI_grouping_for_wheel[[#This Row],[Recipe Combination]],FINI_grouping_for_wheel[[#This Row],[Subgroup]])</f>
        <v>C</v>
      </c>
    </row>
    <row r="936" spans="1:55" hidden="1">
      <c r="A936" t="s">
        <v>16</v>
      </c>
      <c r="B936">
        <v>4463940</v>
      </c>
      <c r="C936" t="s">
        <v>3720</v>
      </c>
      <c r="D936">
        <v>7474.40517014</v>
      </c>
      <c r="E936">
        <v>6</v>
      </c>
      <c r="F936">
        <v>0.12</v>
      </c>
      <c r="G936" t="s">
        <v>3728</v>
      </c>
      <c r="H936" t="s">
        <v>3729</v>
      </c>
      <c r="I936">
        <v>300</v>
      </c>
      <c r="J936" t="s">
        <v>90</v>
      </c>
      <c r="K936" t="s">
        <v>292</v>
      </c>
      <c r="L936" t="s">
        <v>293</v>
      </c>
      <c r="M936">
        <v>19176.89319</v>
      </c>
      <c r="N936">
        <v>76.70757276</v>
      </c>
      <c r="O936">
        <v>23983.54749</v>
      </c>
      <c r="P936">
        <v>43013.63646</v>
      </c>
      <c r="Q936">
        <v>0.79958534899792677</v>
      </c>
      <c r="R936">
        <v>5976.42486652</v>
      </c>
      <c r="S936" t="s">
        <v>294</v>
      </c>
      <c r="T936" t="s">
        <v>93</v>
      </c>
      <c r="U936">
        <v>12.5</v>
      </c>
      <c r="V936" t="s">
        <v>295</v>
      </c>
      <c r="W936" t="s">
        <v>142</v>
      </c>
      <c r="X936" t="s">
        <v>128</v>
      </c>
      <c r="Y936" s="23" t="s">
        <v>120</v>
      </c>
      <c r="AA936">
        <v>97</v>
      </c>
      <c r="AB936" t="s">
        <v>3730</v>
      </c>
      <c r="AC936" t="s">
        <v>3724</v>
      </c>
      <c r="AE936" s="2"/>
      <c r="AF936" t="str">
        <f>_xlfn.CONCAT(FINI_grouping_for_wheel[[#This Row],[SEFI/Plant]],"/",IF(FINI_grouping_for_wheel[[#This Row],[RESET recipe combination]]&lt;&gt;"",FINI_grouping_for_wheel[[#This Row],[RESET recipe combination]],FINI_grouping_for_wheel[[#This Row],[Recipe Combination]]),"/",FINI_grouping_for_wheel[[#This Row],[Subgroup]])</f>
        <v>4463940/THDP/x/</v>
      </c>
      <c r="AG9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0.44583287460090276</v>
      </c>
      <c r="AH936">
        <f>_xlfn.LET(_xlpm.pct, FINI_grouping_for_wheel[[#This Row],[% forecast within subgroup]], _xlpm.lote, FINI_grouping_for_wheel[[#This Row],[Lot size considered]], _xlpm.pct*_xlpm.lote)</f>
        <v>3332.335542935366</v>
      </c>
      <c r="AI936" cm="1" t="str">
        <f t="array" aca="1" ref="AI936" ca="1">IFERROR(INDIRECT("FINI_grouping_for_wheel[@["&amp;FINI_grouping_for_wheel[[#This Row],[Selected PV]]&amp;"]]"),"")</f>
        <v/>
      </c>
      <c r="AJ93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8821.276155</v>
      </c>
      <c r="AK93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13.1</v>
      </c>
      <c r="AL936" s="4"/>
      <c r="AM93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44</v>
      </c>
      <c r="AN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3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3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36" t="str">
        <f>_xlfn.CONCAT(FINI_grouping_for_wheel[[#This Row],[Recipe Combination]],FINI_grouping_for_wheel[[#This Row],[Subgroup]])</f>
        <v>C</v>
      </c>
    </row>
    <row r="937" spans="1:55" hidden="1">
      <c r="A937" t="s">
        <v>16</v>
      </c>
      <c r="B937">
        <v>4463940</v>
      </c>
      <c r="C937" t="s">
        <v>3720</v>
      </c>
      <c r="D937">
        <v>7474.40517014</v>
      </c>
      <c r="E937">
        <v>6</v>
      </c>
      <c r="F937">
        <v>0.12</v>
      </c>
      <c r="G937" t="s">
        <v>3731</v>
      </c>
      <c r="H937" t="s">
        <v>3732</v>
      </c>
      <c r="I937">
        <v>190</v>
      </c>
      <c r="J937" t="s">
        <v>90</v>
      </c>
      <c r="K937" t="s">
        <v>602</v>
      </c>
      <c r="L937" t="s">
        <v>603</v>
      </c>
      <c r="M937">
        <v>253.35567</v>
      </c>
      <c r="N937">
        <v>1.01342268</v>
      </c>
      <c r="O937">
        <v>253.35567</v>
      </c>
      <c r="P937">
        <v>43013.63646</v>
      </c>
      <c r="Q937">
        <v>1</v>
      </c>
      <c r="R937">
        <v>7474.40517014</v>
      </c>
      <c r="S937" t="s">
        <v>126</v>
      </c>
      <c r="T937" t="s">
        <v>93</v>
      </c>
      <c r="U937">
        <v>2.5</v>
      </c>
      <c r="V937" t="s">
        <v>604</v>
      </c>
      <c r="W937" t="s">
        <v>142</v>
      </c>
      <c r="X937" t="s">
        <v>128</v>
      </c>
      <c r="Y937" s="23" t="s">
        <v>136</v>
      </c>
      <c r="AA937">
        <v>7375</v>
      </c>
      <c r="AB937" t="s">
        <v>3733</v>
      </c>
      <c r="AC937" t="s">
        <v>3724</v>
      </c>
      <c r="AE937" s="2"/>
      <c r="AF937" t="str">
        <f>_xlfn.CONCAT(FINI_grouping_for_wheel[[#This Row],[SEFI/Plant]],"/",IF(FINI_grouping_for_wheel[[#This Row],[RESET recipe combination]]&lt;&gt;"",FINI_grouping_for_wheel[[#This Row],[RESET recipe combination]],FINI_grouping_for_wheel[[#This Row],[Recipe Combination]]),"/",FINI_grouping_for_wheel[[#This Row],[Subgroup]])</f>
        <v>4463940/THDP/x/</v>
      </c>
      <c r="AG9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0.0058901244082351645</v>
      </c>
      <c r="AH937">
        <f>_xlfn.LET(_xlpm.pct, FINI_grouping_for_wheel[[#This Row],[% forecast within subgroup]], _xlpm.lote, FINI_grouping_for_wheel[[#This Row],[Lot size considered]], _xlpm.pct*_xlpm.lote)</f>
        <v>44.025176329680725</v>
      </c>
      <c r="AI937" cm="1" t="str">
        <f t="array" aca="1" ref="AI937" ca="1">IFERROR(INDIRECT("FINI_grouping_for_wheel[@["&amp;FINI_grouping_for_wheel[[#This Row],[Selected PV]]&amp;"]]"),"")</f>
        <v/>
      </c>
      <c r="AJ93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8821.276155</v>
      </c>
      <c r="AK93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0.3</v>
      </c>
      <c r="AL937" s="4"/>
      <c r="AM93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44</v>
      </c>
      <c r="AN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3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3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37" t="str">
        <f>_xlfn.CONCAT(FINI_grouping_for_wheel[[#This Row],[Recipe Combination]],FINI_grouping_for_wheel[[#This Row],[Subgroup]])</f>
        <v>E</v>
      </c>
    </row>
    <row r="938" spans="1:55">
      <c r="A938" t="s">
        <v>16</v>
      </c>
      <c r="B938">
        <v>4463940</v>
      </c>
      <c r="C938" t="s">
        <v>3720</v>
      </c>
      <c r="D938">
        <v>7474.40517014</v>
      </c>
      <c r="E938">
        <v>6</v>
      </c>
      <c r="F938">
        <v>0.12</v>
      </c>
      <c r="G938" t="s">
        <v>3734</v>
      </c>
      <c r="H938" t="s">
        <v>3735</v>
      </c>
      <c r="I938">
        <v>360</v>
      </c>
      <c r="J938" t="s">
        <v>90</v>
      </c>
      <c r="K938" t="s">
        <v>582</v>
      </c>
      <c r="L938" t="s">
        <v>583</v>
      </c>
      <c r="M938">
        <v>14751.4563</v>
      </c>
      <c r="N938">
        <v>59.0058252</v>
      </c>
      <c r="O938">
        <v>15189.50115</v>
      </c>
      <c r="P938">
        <v>43013.63646</v>
      </c>
      <c r="Q938">
        <v>0.97116134060795012</v>
      </c>
      <c r="R938">
        <v>7258.85334528</v>
      </c>
      <c r="S938" t="s">
        <v>157</v>
      </c>
      <c r="T938" t="s">
        <v>93</v>
      </c>
      <c r="U938">
        <v>10</v>
      </c>
      <c r="V938" t="s">
        <v>482</v>
      </c>
      <c r="W938" t="s">
        <v>159</v>
      </c>
      <c r="X938" t="s">
        <v>96</v>
      </c>
      <c r="Y938" s="23" t="s">
        <v>483</v>
      </c>
      <c r="AA938">
        <v>127</v>
      </c>
      <c r="AB938" t="s">
        <v>3736</v>
      </c>
      <c r="AC938" t="s">
        <v>3724</v>
      </c>
      <c r="AE938" s="2"/>
      <c r="AF938" t="str">
        <f>_xlfn.CONCAT(FINI_grouping_for_wheel[[#This Row],[SEFI/Plant]],"/",IF(FINI_grouping_for_wheel[[#This Row],[RESET recipe combination]]&lt;&gt;"",FINI_grouping_for_wheel[[#This Row],[RESET recipe combination]],FINI_grouping_for_wheel[[#This Row],[Recipe Combination]]),"/",FINI_grouping_for_wheel[[#This Row],[Subgroup]])</f>
        <v>4463940/THDP/x/</v>
      </c>
      <c r="AG9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0.3429483650776175</v>
      </c>
      <c r="AH938">
        <f>_xlfn.LET(_xlpm.pct, FINI_grouping_for_wheel[[#This Row],[% forecast within subgroup]], _xlpm.lote, FINI_grouping_for_wheel[[#This Row],[Lot size considered]], _xlpm.pct*_xlpm.lote)</f>
        <v>2563.3350330272046</v>
      </c>
      <c r="AI938" cm="1" t="str">
        <f t="array" aca="1" ref="AI938" ca="1">IFERROR(INDIRECT("FINI_grouping_for_wheel[@["&amp;FINI_grouping_for_wheel[[#This Row],[Selected PV]]&amp;"]]"),"")</f>
        <v/>
      </c>
      <c r="AJ93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8821.276155</v>
      </c>
      <c r="AK93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8.4</v>
      </c>
      <c r="AL938" s="4"/>
      <c r="AM93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44</v>
      </c>
      <c r="AN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3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3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38" t="str">
        <f>_xlfn.CONCAT(FINI_grouping_for_wheel[[#This Row],[Recipe Combination]],FINI_grouping_for_wheel[[#This Row],[Subgroup]])</f>
        <v>M</v>
      </c>
    </row>
    <row r="939" spans="1:55">
      <c r="A939" t="s">
        <v>16</v>
      </c>
      <c r="B939">
        <v>4463940</v>
      </c>
      <c r="C939" t="s">
        <v>3720</v>
      </c>
      <c r="D939">
        <v>7474.40517014</v>
      </c>
      <c r="E939">
        <v>6</v>
      </c>
      <c r="F939">
        <v>0.12</v>
      </c>
      <c r="G939" t="s">
        <v>3737</v>
      </c>
      <c r="H939" t="s">
        <v>3738</v>
      </c>
      <c r="I939">
        <v>360</v>
      </c>
      <c r="J939" t="s">
        <v>90</v>
      </c>
      <c r="K939" t="s">
        <v>582</v>
      </c>
      <c r="L939" t="s">
        <v>583</v>
      </c>
      <c r="M939">
        <v>438.04485</v>
      </c>
      <c r="N939">
        <v>1.7521794</v>
      </c>
      <c r="O939">
        <v>15189.50115</v>
      </c>
      <c r="P939">
        <v>43013.63646</v>
      </c>
      <c r="Q939">
        <v>2.8838659392049885E-2</v>
      </c>
      <c r="R939">
        <v>215.55182486</v>
      </c>
      <c r="S939" t="s">
        <v>157</v>
      </c>
      <c r="T939" t="s">
        <v>93</v>
      </c>
      <c r="U939">
        <v>10</v>
      </c>
      <c r="V939" t="s">
        <v>482</v>
      </c>
      <c r="W939" t="s">
        <v>159</v>
      </c>
      <c r="X939" t="s">
        <v>96</v>
      </c>
      <c r="Y939" s="23" t="s">
        <v>483</v>
      </c>
      <c r="AA939">
        <v>4266</v>
      </c>
      <c r="AB939" t="s">
        <v>3739</v>
      </c>
      <c r="AC939" t="s">
        <v>3724</v>
      </c>
      <c r="AE939" s="2"/>
      <c r="AF939" t="str">
        <f>_xlfn.CONCAT(FINI_grouping_for_wheel[[#This Row],[SEFI/Plant]],"/",IF(FINI_grouping_for_wheel[[#This Row],[RESET recipe combination]]&lt;&gt;"",FINI_grouping_for_wheel[[#This Row],[RESET recipe combination]],FINI_grouping_for_wheel[[#This Row],[Recipe Combination]]),"/",FINI_grouping_for_wheel[[#This Row],[Subgroup]])</f>
        <v>4463940/THDP/x/</v>
      </c>
      <c r="AG9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0.010183859958163602</v>
      </c>
      <c r="AH939">
        <f>_xlfn.LET(_xlpm.pct, FINI_grouping_for_wheel[[#This Row],[% forecast within subgroup]], _xlpm.lote, FINI_grouping_for_wheel[[#This Row],[Lot size considered]], _xlpm.pct*_xlpm.lote)</f>
        <v>76.11829552327976</v>
      </c>
      <c r="AI939" cm="1" t="str">
        <f t="array" aca="1" ref="AI939" ca="1">IFERROR(INDIRECT("FINI_grouping_for_wheel[@["&amp;FINI_grouping_for_wheel[[#This Row],[Selected PV]]&amp;"]]"),"")</f>
        <v/>
      </c>
      <c r="AJ93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8821.276155</v>
      </c>
      <c r="AK93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0.2</v>
      </c>
      <c r="AL939" s="4"/>
      <c r="AM93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44</v>
      </c>
      <c r="AN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3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3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39" t="str">
        <f>_xlfn.CONCAT(FINI_grouping_for_wheel[[#This Row],[Recipe Combination]],FINI_grouping_for_wheel[[#This Row],[Subgroup]])</f>
        <v>M</v>
      </c>
    </row>
    <row r="940" spans="1:55" hidden="1">
      <c r="A940" t="s">
        <v>16</v>
      </c>
      <c r="B940">
        <v>4417042</v>
      </c>
      <c r="C940" t="s">
        <v>3740</v>
      </c>
      <c r="D940">
        <v>8627.12853501</v>
      </c>
      <c r="E940">
        <v>6</v>
      </c>
      <c r="F940">
        <v>0.12</v>
      </c>
      <c r="G940" t="s">
        <v>3741</v>
      </c>
      <c r="H940" t="s">
        <v>3742</v>
      </c>
      <c r="I940">
        <v>375</v>
      </c>
      <c r="J940" t="s">
        <v>90</v>
      </c>
      <c r="K940" t="s">
        <v>3065</v>
      </c>
      <c r="L940" t="s">
        <v>3066</v>
      </c>
      <c r="M940">
        <v>2904.118965</v>
      </c>
      <c r="N940">
        <v>11.61647586</v>
      </c>
      <c r="O940">
        <v>2904.118965</v>
      </c>
      <c r="P940">
        <v>44537.322195</v>
      </c>
      <c r="Q940">
        <v>1</v>
      </c>
      <c r="R940">
        <v>8627.12853501</v>
      </c>
      <c r="S940" t="s">
        <v>594</v>
      </c>
      <c r="T940" t="s">
        <v>93</v>
      </c>
      <c r="U940">
        <v>2.5</v>
      </c>
      <c r="V940" t="s">
        <v>3067</v>
      </c>
      <c r="W940" t="s">
        <v>142</v>
      </c>
      <c r="X940" t="s">
        <v>150</v>
      </c>
      <c r="Y940" s="23" t="s">
        <v>151</v>
      </c>
      <c r="AA940">
        <v>743</v>
      </c>
      <c r="AB940" t="s">
        <v>3743</v>
      </c>
      <c r="AC940" t="s">
        <v>3744</v>
      </c>
      <c r="AE940" s="2"/>
      <c r="AF940" t="str">
        <f>_xlfn.CONCAT(FINI_grouping_for_wheel[[#This Row],[SEFI/Plant]],"/",IF(FINI_grouping_for_wheel[[#This Row],[RESET recipe combination]]&lt;&gt;"",FINI_grouping_for_wheel[[#This Row],[RESET recipe combination]],FINI_grouping_for_wheel[[#This Row],[Recipe Combination]]),"/",FINI_grouping_for_wheel[[#This Row],[Subgroup]])</f>
        <v>4417042/THDP/x/</v>
      </c>
      <c r="AG9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0.06520641165368565</v>
      </c>
      <c r="AH940">
        <f>_xlfn.LET(_xlpm.pct, FINI_grouping_for_wheel[[#This Row],[% forecast within subgroup]], _xlpm.lote, FINI_grouping_for_wheel[[#This Row],[Lot size considered]], _xlpm.pct*_xlpm.lote)</f>
        <v>562.5440946431202</v>
      </c>
      <c r="AI940" cm="1" t="str">
        <f t="array" aca="1" ref="AI940" ca="1">IFERROR(INDIRECT("FINI_grouping_for_wheel[@["&amp;FINI_grouping_for_wheel[[#This Row],[Selected PV]]&amp;"]]"),"")</f>
        <v/>
      </c>
      <c r="AJ94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8880.471405</v>
      </c>
      <c r="AK94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v>
      </c>
      <c r="AL940" s="4"/>
      <c r="AM94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42</v>
      </c>
      <c r="AN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4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4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40" t="str">
        <f>_xlfn.CONCAT(FINI_grouping_for_wheel[[#This Row],[Recipe Combination]],FINI_grouping_for_wheel[[#This Row],[Subgroup]])</f>
        <v>4</v>
      </c>
    </row>
    <row r="941" spans="1:55" hidden="1">
      <c r="A941" t="s">
        <v>16</v>
      </c>
      <c r="B941">
        <v>4417042</v>
      </c>
      <c r="C941" t="s">
        <v>3740</v>
      </c>
      <c r="D941">
        <v>8627.12853501</v>
      </c>
      <c r="E941">
        <v>6</v>
      </c>
      <c r="F941">
        <v>0.12</v>
      </c>
      <c r="G941" t="s">
        <v>3745</v>
      </c>
      <c r="H941" t="s">
        <v>3746</v>
      </c>
      <c r="I941">
        <v>360</v>
      </c>
      <c r="J941" t="s">
        <v>90</v>
      </c>
      <c r="K941" t="s">
        <v>3747</v>
      </c>
      <c r="L941" t="s">
        <v>3748</v>
      </c>
      <c r="M941">
        <v>4226.54085</v>
      </c>
      <c r="N941">
        <v>16.9061634</v>
      </c>
      <c r="O941">
        <v>4226.54085</v>
      </c>
      <c r="P941">
        <v>44537.322195</v>
      </c>
      <c r="Q941">
        <v>1</v>
      </c>
      <c r="R941">
        <v>8627.12853501</v>
      </c>
      <c r="S941" t="s">
        <v>157</v>
      </c>
      <c r="T941" t="s">
        <v>93</v>
      </c>
      <c r="U941">
        <v>10</v>
      </c>
      <c r="V941" t="s">
        <v>158</v>
      </c>
      <c r="W941" t="s">
        <v>159</v>
      </c>
      <c r="X941" t="s">
        <v>96</v>
      </c>
      <c r="Y941" s="23" t="s">
        <v>97</v>
      </c>
      <c r="AA941">
        <v>510</v>
      </c>
      <c r="AB941" t="s">
        <v>3749</v>
      </c>
      <c r="AC941" t="s">
        <v>3744</v>
      </c>
      <c r="AE941" s="2"/>
      <c r="AF941" t="str">
        <f>_xlfn.CONCAT(FINI_grouping_for_wheel[[#This Row],[SEFI/Plant]],"/",IF(FINI_grouping_for_wheel[[#This Row],[RESET recipe combination]]&lt;&gt;"",FINI_grouping_for_wheel[[#This Row],[RESET recipe combination]],FINI_grouping_for_wheel[[#This Row],[Recipe Combination]]),"/",FINI_grouping_for_wheel[[#This Row],[Subgroup]])</f>
        <v>4417042/THDP/x/</v>
      </c>
      <c r="AG9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0.09489885430234724</v>
      </c>
      <c r="AH941">
        <f>_xlfn.LET(_xlpm.pct, FINI_grouping_for_wheel[[#This Row],[% forecast within subgroup]], _xlpm.lote, FINI_grouping_for_wheel[[#This Row],[Lot size considered]], _xlpm.pct*_xlpm.lote)</f>
        <v>818.7046138915364</v>
      </c>
      <c r="AI941" cm="1" t="str">
        <f t="array" aca="1" ref="AI941" ca="1">IFERROR(INDIRECT("FINI_grouping_for_wheel[@["&amp;FINI_grouping_for_wheel[[#This Row],[Selected PV]]&amp;"]]"),"")</f>
        <v/>
      </c>
      <c r="AJ94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8880.471405</v>
      </c>
      <c r="AK94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2.3</v>
      </c>
      <c r="AL941" s="4"/>
      <c r="AM94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42</v>
      </c>
      <c r="AN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4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4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41" t="str">
        <f>_xlfn.CONCAT(FINI_grouping_for_wheel[[#This Row],[Recipe Combination]],FINI_grouping_for_wheel[[#This Row],[Subgroup]])</f>
        <v>M</v>
      </c>
    </row>
    <row r="942" spans="1:55" hidden="1">
      <c r="A942" t="s">
        <v>16</v>
      </c>
      <c r="B942">
        <v>4417042</v>
      </c>
      <c r="C942" t="s">
        <v>3740</v>
      </c>
      <c r="D942">
        <v>8627.12853501</v>
      </c>
      <c r="E942">
        <v>6</v>
      </c>
      <c r="F942">
        <v>0.12</v>
      </c>
      <c r="G942" t="s">
        <v>3750</v>
      </c>
      <c r="H942" t="s">
        <v>3751</v>
      </c>
      <c r="I942">
        <v>480</v>
      </c>
      <c r="J942" t="s">
        <v>90</v>
      </c>
      <c r="K942" t="s">
        <v>3752</v>
      </c>
      <c r="L942" t="s">
        <v>3753</v>
      </c>
      <c r="M942">
        <v>4191.0237</v>
      </c>
      <c r="N942">
        <v>16.7640948</v>
      </c>
      <c r="O942">
        <v>4191.0237</v>
      </c>
      <c r="P942">
        <v>44537.322195</v>
      </c>
      <c r="Q942">
        <v>1</v>
      </c>
      <c r="R942">
        <v>8627.12853501</v>
      </c>
      <c r="S942" t="s">
        <v>173</v>
      </c>
      <c r="T942" t="s">
        <v>93</v>
      </c>
      <c r="U942">
        <v>5</v>
      </c>
      <c r="V942" t="s">
        <v>2868</v>
      </c>
      <c r="W942" t="s">
        <v>159</v>
      </c>
      <c r="X942" t="s">
        <v>150</v>
      </c>
      <c r="Y942" s="23" t="s">
        <v>151</v>
      </c>
      <c r="AA942">
        <v>515</v>
      </c>
      <c r="AB942" t="s">
        <v>3754</v>
      </c>
      <c r="AC942" t="s">
        <v>3744</v>
      </c>
      <c r="AE942" s="2"/>
      <c r="AF942" t="str">
        <f>_xlfn.CONCAT(FINI_grouping_for_wheel[[#This Row],[SEFI/Plant]],"/",IF(FINI_grouping_for_wheel[[#This Row],[RESET recipe combination]]&lt;&gt;"",FINI_grouping_for_wheel[[#This Row],[RESET recipe combination]],FINI_grouping_for_wheel[[#This Row],[Recipe Combination]]),"/",FINI_grouping_for_wheel[[#This Row],[Subgroup]])</f>
        <v>4417042/THDP/x/</v>
      </c>
      <c r="AG9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0.09410138493846196</v>
      </c>
      <c r="AH942">
        <f>_xlfn.LET(_xlpm.pct, FINI_grouping_for_wheel[[#This Row],[% forecast within subgroup]], _xlpm.lote, FINI_grouping_for_wheel[[#This Row],[Lot size considered]], _xlpm.pct*_xlpm.lote)</f>
        <v>811.8247431865655</v>
      </c>
      <c r="AI942" cm="1" t="str">
        <f t="array" aca="1" ref="AI942" ca="1">IFERROR(INDIRECT("FINI_grouping_for_wheel[@["&amp;FINI_grouping_for_wheel[[#This Row],[Selected PV]]&amp;"]]"),"")</f>
        <v/>
      </c>
      <c r="AJ94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8880.471405</v>
      </c>
      <c r="AK94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v>
      </c>
      <c r="AL942" s="4"/>
      <c r="AM94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42</v>
      </c>
      <c r="AN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4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4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42" t="str">
        <f>_xlfn.CONCAT(FINI_grouping_for_wheel[[#This Row],[Recipe Combination]],FINI_grouping_for_wheel[[#This Row],[Subgroup]])</f>
        <v>P</v>
      </c>
    </row>
    <row r="943" spans="1:55" hidden="1">
      <c r="A943" t="s">
        <v>16</v>
      </c>
      <c r="B943">
        <v>4417042</v>
      </c>
      <c r="C943" t="s">
        <v>3740</v>
      </c>
      <c r="D943">
        <v>8627.12853501</v>
      </c>
      <c r="E943">
        <v>6</v>
      </c>
      <c r="F943">
        <v>0.12</v>
      </c>
      <c r="G943" t="s">
        <v>3755</v>
      </c>
      <c r="H943" t="s">
        <v>3756</v>
      </c>
      <c r="I943">
        <v>432</v>
      </c>
      <c r="J943" t="s">
        <v>90</v>
      </c>
      <c r="K943" t="s">
        <v>3757</v>
      </c>
      <c r="L943" t="s">
        <v>3758</v>
      </c>
      <c r="M943">
        <v>33215.63868</v>
      </c>
      <c r="N943">
        <v>132.86255472</v>
      </c>
      <c r="O943">
        <v>33215.63868</v>
      </c>
      <c r="P943">
        <v>44537.322195</v>
      </c>
      <c r="Q943">
        <v>1</v>
      </c>
      <c r="R943">
        <v>8627.12853501</v>
      </c>
      <c r="S943" t="s">
        <v>387</v>
      </c>
      <c r="T943" t="s">
        <v>93</v>
      </c>
      <c r="U943">
        <v>12</v>
      </c>
      <c r="V943" t="s">
        <v>1193</v>
      </c>
      <c r="W943" t="s">
        <v>159</v>
      </c>
      <c r="X943" t="s">
        <v>96</v>
      </c>
      <c r="Y943" s="23" t="s">
        <v>1194</v>
      </c>
      <c r="AA943">
        <v>65</v>
      </c>
      <c r="AB943" t="s">
        <v>3759</v>
      </c>
      <c r="AC943" t="s">
        <v>3744</v>
      </c>
      <c r="AE943" s="2"/>
      <c r="AF943" t="str">
        <f>_xlfn.CONCAT(FINI_grouping_for_wheel[[#This Row],[SEFI/Plant]],"/",IF(FINI_grouping_for_wheel[[#This Row],[RESET recipe combination]]&lt;&gt;"",FINI_grouping_for_wheel[[#This Row],[RESET recipe combination]],FINI_grouping_for_wheel[[#This Row],[Recipe Combination]]),"/",FINI_grouping_for_wheel[[#This Row],[Subgroup]])</f>
        <v>4417042/THDP/x/</v>
      </c>
      <c r="AG9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0.7457933491055052</v>
      </c>
      <c r="AH943">
        <f>_xlfn.LET(_xlpm.pct, FINI_grouping_for_wheel[[#This Row],[% forecast within subgroup]], _xlpm.lote, FINI_grouping_for_wheel[[#This Row],[Lot size considered]], _xlpm.pct*_xlpm.lote)</f>
        <v>6434.055083288779</v>
      </c>
      <c r="AI943" cm="1" t="str">
        <f t="array" aca="1" ref="AI943" ca="1">IFERROR(INDIRECT("FINI_grouping_for_wheel[@["&amp;FINI_grouping_for_wheel[[#This Row],[Selected PV]]&amp;"]]"),"")</f>
        <v/>
      </c>
      <c r="AJ94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8880.471405</v>
      </c>
      <c r="AK94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15.3</v>
      </c>
      <c r="AL943" s="4"/>
      <c r="AM94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42</v>
      </c>
      <c r="AN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4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4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43" t="str">
        <f>_xlfn.CONCAT(FINI_grouping_for_wheel[[#This Row],[Recipe Combination]],FINI_grouping_for_wheel[[#This Row],[Subgroup]])</f>
        <v>X</v>
      </c>
    </row>
    <row r="944" spans="1:55" hidden="1">
      <c r="A944" t="s">
        <v>17</v>
      </c>
      <c r="B944">
        <v>4799555</v>
      </c>
      <c r="C944" t="s">
        <v>3760</v>
      </c>
      <c r="D944">
        <v>8415.56854488</v>
      </c>
      <c r="E944">
        <v>5</v>
      </c>
      <c r="F944">
        <v>0.1</v>
      </c>
      <c r="G944" t="s">
        <v>3761</v>
      </c>
      <c r="H944" t="s">
        <v>3762</v>
      </c>
      <c r="I944">
        <v>405</v>
      </c>
      <c r="J944" t="s">
        <v>90</v>
      </c>
      <c r="K944" t="s">
        <v>406</v>
      </c>
      <c r="L944" t="s">
        <v>407</v>
      </c>
      <c r="M944">
        <v>9181.183275</v>
      </c>
      <c r="N944">
        <v>36.7247331</v>
      </c>
      <c r="O944">
        <v>9181.183275</v>
      </c>
      <c r="P944">
        <v>38790.647325</v>
      </c>
      <c r="Q944">
        <v>1</v>
      </c>
      <c r="R944">
        <v>8415.56854488</v>
      </c>
      <c r="S944" t="s">
        <v>118</v>
      </c>
      <c r="T944" t="s">
        <v>93</v>
      </c>
      <c r="U944">
        <v>15</v>
      </c>
      <c r="V944" t="s">
        <v>408</v>
      </c>
      <c r="W944" t="s">
        <v>142</v>
      </c>
      <c r="X944" t="s">
        <v>96</v>
      </c>
      <c r="Y944" s="23" t="s">
        <v>97</v>
      </c>
      <c r="AA944">
        <v>229</v>
      </c>
      <c r="AB944" t="s">
        <v>3763</v>
      </c>
      <c r="AC944" t="s">
        <v>3764</v>
      </c>
      <c r="AE944" s="2"/>
      <c r="AF944" t="str">
        <f>_xlfn.CONCAT(FINI_grouping_for_wheel[[#This Row],[SEFI/Plant]],"/",IF(FINI_grouping_for_wheel[[#This Row],[RESET recipe combination]]&lt;&gt;"",FINI_grouping_for_wheel[[#This Row],[RESET recipe combination]],FINI_grouping_for_wheel[[#This Row],[Recipe Combination]]),"/",FINI_grouping_for_wheel[[#This Row],[Subgroup]])</f>
        <v>4799555/THDP/x/</v>
      </c>
      <c r="AG9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0.23668548756294827</v>
      </c>
      <c r="AH944">
        <f>_xlfn.LET(_xlpm.pct, FINI_grouping_for_wheel[[#This Row],[% forecast within subgroup]], _xlpm.lote, FINI_grouping_for_wheel[[#This Row],[Lot size considered]], _xlpm.pct*_xlpm.lote)</f>
        <v>1991.8429441643339</v>
      </c>
      <c r="AI944" cm="1" t="str">
        <f t="array" aca="1" ref="AI944" ca="1">IFERROR(INDIRECT("FINI_grouping_for_wheel[@["&amp;FINI_grouping_for_wheel[[#This Row],[Selected PV]]&amp;"]]"),"")</f>
        <v/>
      </c>
      <c r="AJ94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8911.252935</v>
      </c>
      <c r="AK94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5.2</v>
      </c>
      <c r="AL944" s="4"/>
      <c r="AM94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49</v>
      </c>
      <c r="AN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4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4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44" t="str">
        <f>_xlfn.CONCAT(FINI_grouping_for_wheel[[#This Row],[Recipe Combination]],FINI_grouping_for_wheel[[#This Row],[Subgroup]])</f>
        <v>A</v>
      </c>
    </row>
    <row r="945" spans="1:55" hidden="1">
      <c r="A945" t="s">
        <v>17</v>
      </c>
      <c r="B945">
        <v>4799555</v>
      </c>
      <c r="C945" t="s">
        <v>3760</v>
      </c>
      <c r="D945">
        <v>8415.56854488</v>
      </c>
      <c r="E945">
        <v>5</v>
      </c>
      <c r="F945">
        <v>0.1</v>
      </c>
      <c r="G945" t="s">
        <v>3765</v>
      </c>
      <c r="H945" t="s">
        <v>3766</v>
      </c>
      <c r="I945">
        <v>240</v>
      </c>
      <c r="J945" t="s">
        <v>90</v>
      </c>
      <c r="K945" t="s">
        <v>254</v>
      </c>
      <c r="L945" t="s">
        <v>255</v>
      </c>
      <c r="M945">
        <v>1177.985475</v>
      </c>
      <c r="N945">
        <v>4.7119419</v>
      </c>
      <c r="O945">
        <v>1177.985475</v>
      </c>
      <c r="P945">
        <v>38790.647325</v>
      </c>
      <c r="Q945">
        <v>1</v>
      </c>
      <c r="R945">
        <v>8415.56854488</v>
      </c>
      <c r="S945" t="s">
        <v>905</v>
      </c>
      <c r="T945" t="s">
        <v>93</v>
      </c>
      <c r="U945">
        <v>5</v>
      </c>
      <c r="V945" t="s">
        <v>119</v>
      </c>
      <c r="W945" t="s">
        <v>95</v>
      </c>
      <c r="X945" t="s">
        <v>96</v>
      </c>
      <c r="Y945" s="23" t="s">
        <v>120</v>
      </c>
      <c r="AA945">
        <v>1786</v>
      </c>
      <c r="AB945" t="s">
        <v>3767</v>
      </c>
      <c r="AC945" t="s">
        <v>3764</v>
      </c>
      <c r="AE945" s="2"/>
      <c r="AF945" t="str">
        <f>_xlfn.CONCAT(FINI_grouping_for_wheel[[#This Row],[SEFI/Plant]],"/",IF(FINI_grouping_for_wheel[[#This Row],[RESET recipe combination]]&lt;&gt;"",FINI_grouping_for_wheel[[#This Row],[RESET recipe combination]],FINI_grouping_for_wheel[[#This Row],[Recipe Combination]]),"/",FINI_grouping_for_wheel[[#This Row],[Subgroup]])</f>
        <v>4799555/THDP/x/</v>
      </c>
      <c r="AG9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0.03036777048679994</v>
      </c>
      <c r="AH945">
        <f>_xlfn.LET(_xlpm.pct, FINI_grouping_for_wheel[[#This Row],[% forecast within subgroup]], _xlpm.lote, FINI_grouping_for_wheel[[#This Row],[Lot size considered]], _xlpm.pct*_xlpm.lote)</f>
        <v>255.56205408684878</v>
      </c>
      <c r="AI945" cm="1" t="str">
        <f t="array" aca="1" ref="AI945" ca="1">IFERROR(INDIRECT("FINI_grouping_for_wheel[@["&amp;FINI_grouping_for_wheel[[#This Row],[Selected PV]]&amp;"]]"),"")</f>
        <v/>
      </c>
      <c r="AJ94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8911.252935</v>
      </c>
      <c r="AK94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1.1</v>
      </c>
      <c r="AL945" s="4"/>
      <c r="AM94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49</v>
      </c>
      <c r="AN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4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4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45" t="str">
        <f>_xlfn.CONCAT(FINI_grouping_for_wheel[[#This Row],[Recipe Combination]],FINI_grouping_for_wheel[[#This Row],[Subgroup]])</f>
        <v>F</v>
      </c>
    </row>
    <row r="946" spans="1:55" hidden="1">
      <c r="A946" t="s">
        <v>17</v>
      </c>
      <c r="B946">
        <v>4799555</v>
      </c>
      <c r="C946" t="s">
        <v>3760</v>
      </c>
      <c r="D946">
        <v>8415.56854488</v>
      </c>
      <c r="E946">
        <v>5</v>
      </c>
      <c r="F946">
        <v>0.1</v>
      </c>
      <c r="G946" t="s">
        <v>3768</v>
      </c>
      <c r="H946" t="s">
        <v>3769</v>
      </c>
      <c r="I946">
        <v>405</v>
      </c>
      <c r="J946" t="s">
        <v>90</v>
      </c>
      <c r="K946" t="s">
        <v>406</v>
      </c>
      <c r="L946" t="s">
        <v>407</v>
      </c>
      <c r="M946">
        <v>5682.744</v>
      </c>
      <c r="N946">
        <v>22.730976</v>
      </c>
      <c r="O946">
        <v>5682.744</v>
      </c>
      <c r="P946">
        <v>38790.647325</v>
      </c>
      <c r="Q946">
        <v>1</v>
      </c>
      <c r="R946">
        <v>8415.56854488</v>
      </c>
      <c r="S946" t="s">
        <v>157</v>
      </c>
      <c r="T946" t="s">
        <v>93</v>
      </c>
      <c r="U946">
        <v>15</v>
      </c>
      <c r="V946" t="s">
        <v>408</v>
      </c>
      <c r="W946" t="s">
        <v>142</v>
      </c>
      <c r="X946" t="s">
        <v>96</v>
      </c>
      <c r="Y946" s="23" t="s">
        <v>97</v>
      </c>
      <c r="AA946">
        <v>370</v>
      </c>
      <c r="AB946" t="s">
        <v>3770</v>
      </c>
      <c r="AC946" t="s">
        <v>3764</v>
      </c>
      <c r="AE946" s="2"/>
      <c r="AF946" t="str">
        <f>_xlfn.CONCAT(FINI_grouping_for_wheel[[#This Row],[SEFI/Plant]],"/",IF(FINI_grouping_for_wheel[[#This Row],[RESET recipe combination]]&lt;&gt;"",FINI_grouping_for_wheel[[#This Row],[RESET recipe combination]],FINI_grouping_for_wheel[[#This Row],[Recipe Combination]]),"/",FINI_grouping_for_wheel[[#This Row],[Subgroup]])</f>
        <v>4799555/THDP/x/</v>
      </c>
      <c r="AG9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0.14649778727300472</v>
      </c>
      <c r="AH946">
        <f>_xlfn.LET(_xlpm.pct, FINI_grouping_for_wheel[[#This Row],[% forecast within subgroup]], _xlpm.lote, FINI_grouping_for_wheel[[#This Row],[Lot size considered]], _xlpm.pct*_xlpm.lote)</f>
        <v>1232.86217046922</v>
      </c>
      <c r="AI946" cm="1" t="str">
        <f t="array" aca="1" ref="AI946" ca="1">IFERROR(INDIRECT("FINI_grouping_for_wheel[@["&amp;FINI_grouping_for_wheel[[#This Row],[Selected PV]]&amp;"]]"),"")</f>
        <v/>
      </c>
      <c r="AJ94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8911.252935</v>
      </c>
      <c r="AK94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3.2</v>
      </c>
      <c r="AL946" s="4"/>
      <c r="AM94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49</v>
      </c>
      <c r="AN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4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4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46" t="str">
        <f>_xlfn.CONCAT(FINI_grouping_for_wheel[[#This Row],[Recipe Combination]],FINI_grouping_for_wheel[[#This Row],[Subgroup]])</f>
        <v>M</v>
      </c>
    </row>
    <row r="947" spans="1:55" hidden="1">
      <c r="A947" t="s">
        <v>17</v>
      </c>
      <c r="B947">
        <v>4799555</v>
      </c>
      <c r="C947" t="s">
        <v>3760</v>
      </c>
      <c r="D947">
        <v>8415.56854488</v>
      </c>
      <c r="E947">
        <v>5</v>
      </c>
      <c r="F947">
        <v>0.1</v>
      </c>
      <c r="G947" t="s">
        <v>3771</v>
      </c>
      <c r="H947" t="s">
        <v>3772</v>
      </c>
      <c r="I947">
        <v>405</v>
      </c>
      <c r="J947" t="s">
        <v>90</v>
      </c>
      <c r="K947" t="s">
        <v>412</v>
      </c>
      <c r="L947" t="s">
        <v>413</v>
      </c>
      <c r="M947">
        <v>22748.734575</v>
      </c>
      <c r="N947">
        <v>90.9949383</v>
      </c>
      <c r="O947">
        <v>22748.734575</v>
      </c>
      <c r="P947">
        <v>38790.647325</v>
      </c>
      <c r="Q947">
        <v>1</v>
      </c>
      <c r="R947">
        <v>8415.56854488</v>
      </c>
      <c r="S947" t="s">
        <v>387</v>
      </c>
      <c r="T947" t="s">
        <v>93</v>
      </c>
      <c r="U947">
        <v>15</v>
      </c>
      <c r="V947" t="s">
        <v>408</v>
      </c>
      <c r="W947" t="s">
        <v>95</v>
      </c>
      <c r="X947" t="s">
        <v>96</v>
      </c>
      <c r="Y947" s="23" t="s">
        <v>97</v>
      </c>
      <c r="AA947">
        <v>92</v>
      </c>
      <c r="AB947" t="s">
        <v>3773</v>
      </c>
      <c r="AC947" t="s">
        <v>3764</v>
      </c>
      <c r="AE947" s="2"/>
      <c r="AF947" t="str">
        <f>_xlfn.CONCAT(FINI_grouping_for_wheel[[#This Row],[SEFI/Plant]],"/",IF(FINI_grouping_for_wheel[[#This Row],[RESET recipe combination]]&lt;&gt;"",FINI_grouping_for_wheel[[#This Row],[RESET recipe combination]],FINI_grouping_for_wheel[[#This Row],[Recipe Combination]]),"/",FINI_grouping_for_wheel[[#This Row],[Subgroup]])</f>
        <v>4799555/THDP/x/</v>
      </c>
      <c r="AG9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0.586448954677247</v>
      </c>
      <c r="AH947">
        <f>_xlfn.LET(_xlpm.pct, FINI_grouping_for_wheel[[#This Row],[% forecast within subgroup]], _xlpm.lote, FINI_grouping_for_wheel[[#This Row],[Lot size considered]], _xlpm.pct*_xlpm.lote)</f>
        <v>4935.301376159597</v>
      </c>
      <c r="AI947" cm="1" t="str">
        <f t="array" aca="1" ref="AI947" ca="1">IFERROR(INDIRECT("FINI_grouping_for_wheel[@["&amp;FINI_grouping_for_wheel[[#This Row],[Selected PV]]&amp;"]]"),"")</f>
        <v/>
      </c>
      <c r="AJ94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8911.252935</v>
      </c>
      <c r="AK94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12.9</v>
      </c>
      <c r="AL947" s="4"/>
      <c r="AM94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49</v>
      </c>
      <c r="AN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4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4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47" t="str">
        <f>_xlfn.CONCAT(FINI_grouping_for_wheel[[#This Row],[Recipe Combination]],FINI_grouping_for_wheel[[#This Row],[Subgroup]])</f>
        <v>X</v>
      </c>
    </row>
    <row r="948" spans="1:55" hidden="1">
      <c r="A948" t="s">
        <v>17</v>
      </c>
      <c r="B948">
        <v>4953832</v>
      </c>
      <c r="C948" t="s">
        <v>3774</v>
      </c>
      <c r="D948">
        <v>3209.54701901</v>
      </c>
      <c r="E948">
        <v>4</v>
      </c>
      <c r="F948">
        <v>0.08</v>
      </c>
      <c r="G948" t="s">
        <v>3775</v>
      </c>
      <c r="H948" t="s">
        <v>3776</v>
      </c>
      <c r="J948" t="s">
        <v>3777</v>
      </c>
      <c r="K948" t="s">
        <v>3778</v>
      </c>
      <c r="L948" t="s">
        <v>3779</v>
      </c>
      <c r="M948">
        <v>10367.456085</v>
      </c>
      <c r="N948">
        <v>41.46982434</v>
      </c>
      <c r="O948">
        <v>10367.456085</v>
      </c>
      <c r="P948">
        <v>10367.456085</v>
      </c>
      <c r="Q948">
        <v>1</v>
      </c>
      <c r="R948">
        <v>3209.54701901</v>
      </c>
      <c r="S948" t="s">
        <v>594</v>
      </c>
      <c r="T948" t="s">
        <v>93</v>
      </c>
      <c r="U948">
        <v>2.5</v>
      </c>
      <c r="V948" t="s">
        <v>105</v>
      </c>
      <c r="W948" t="s">
        <v>95</v>
      </c>
      <c r="X948" t="s">
        <v>106</v>
      </c>
      <c r="Y948" s="23" t="s">
        <v>107</v>
      </c>
      <c r="AA948">
        <v>77</v>
      </c>
      <c r="AB948" t="s">
        <v>3780</v>
      </c>
      <c r="AC948" t="s">
        <v>3781</v>
      </c>
      <c r="AE948" s="2"/>
      <c r="AF948" t="str">
        <f>_xlfn.CONCAT(FINI_grouping_for_wheel[[#This Row],[SEFI/Plant]],"/",IF(FINI_grouping_for_wheel[[#This Row],[RESET recipe combination]]&lt;&gt;"",FINI_grouping_for_wheel[[#This Row],[RESET recipe combination]],FINI_grouping_for_wheel[[#This Row],[Recipe Combination]]),"/",FINI_grouping_for_wheel[[#This Row],[Subgroup]])</f>
        <v>4953832/THDP/x/</v>
      </c>
      <c r="AG94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48">
        <f>_xlfn.LET(_xlpm.pct, FINI_grouping_for_wheel[[#This Row],[% forecast within subgroup]], _xlpm.lote, FINI_grouping_for_wheel[[#This Row],[Lot size considered]], _xlpm.pct*_xlpm.lote)</f>
        <v>3209.54701901</v>
      </c>
      <c r="AI948" cm="1" t="str">
        <f t="array" aca="1" ref="AI948" ca="1">IFERROR(INDIRECT("FINI_grouping_for_wheel[@["&amp;FINI_grouping_for_wheel[[#This Row],[Selected PV]]&amp;"]]"),"")</f>
        <v/>
      </c>
      <c r="AJ94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3371.76144</v>
      </c>
      <c r="AK94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48" s="4"/>
      <c r="AM94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69</v>
      </c>
      <c r="AN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4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4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48" t="str">
        <f>_xlfn.CONCAT(FINI_grouping_for_wheel[[#This Row],[Recipe Combination]],FINI_grouping_for_wheel[[#This Row],[Subgroup]])</f>
        <v>4</v>
      </c>
    </row>
    <row r="949" spans="1:55" hidden="1">
      <c r="A949" t="s">
        <v>17</v>
      </c>
      <c r="B949">
        <v>4243790</v>
      </c>
      <c r="C949" t="s">
        <v>3782</v>
      </c>
      <c r="D949">
        <v>8748.66509607</v>
      </c>
      <c r="E949">
        <v>4</v>
      </c>
      <c r="F949">
        <v>0.08</v>
      </c>
      <c r="G949" t="s">
        <v>3783</v>
      </c>
      <c r="H949" t="s">
        <v>3784</v>
      </c>
      <c r="I949">
        <v>300</v>
      </c>
      <c r="J949" t="s">
        <v>90</v>
      </c>
      <c r="K949" t="s">
        <v>3785</v>
      </c>
      <c r="L949" t="s">
        <v>3786</v>
      </c>
      <c r="M949">
        <v>27674.96328</v>
      </c>
      <c r="N949">
        <v>110.69985312</v>
      </c>
      <c r="O949">
        <v>27674.96328</v>
      </c>
      <c r="P949">
        <v>27674.96328</v>
      </c>
      <c r="Q949">
        <v>1</v>
      </c>
      <c r="R949">
        <v>8748.66509607</v>
      </c>
      <c r="S949" t="s">
        <v>294</v>
      </c>
      <c r="T949" t="s">
        <v>93</v>
      </c>
      <c r="U949">
        <v>12.5</v>
      </c>
      <c r="V949" t="s">
        <v>295</v>
      </c>
      <c r="W949" t="s">
        <v>95</v>
      </c>
      <c r="X949" t="s">
        <v>128</v>
      </c>
      <c r="Y949" s="23" t="s">
        <v>120</v>
      </c>
      <c r="AA949">
        <v>79</v>
      </c>
      <c r="AB949" t="s">
        <v>3787</v>
      </c>
      <c r="AC949" t="s">
        <v>3788</v>
      </c>
      <c r="AE949" s="2"/>
      <c r="AF949" t="str">
        <f>_xlfn.CONCAT(FINI_grouping_for_wheel[[#This Row],[SEFI/Plant]],"/",IF(FINI_grouping_for_wheel[[#This Row],[RESET recipe combination]]&lt;&gt;"",FINI_grouping_for_wheel[[#This Row],[RESET recipe combination]],FINI_grouping_for_wheel[[#This Row],[Recipe Combination]]),"/",FINI_grouping_for_wheel[[#This Row],[Subgroup]])</f>
        <v>4243790/THDP/x/</v>
      </c>
      <c r="AG9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49">
        <f>_xlfn.LET(_xlpm.pct, FINI_grouping_for_wheel[[#This Row],[% forecast within subgroup]], _xlpm.lote, FINI_grouping_for_wheel[[#This Row],[Lot size considered]], _xlpm.pct*_xlpm.lote)</f>
        <v>8748.66509607</v>
      </c>
      <c r="AI949" cm="1" t="str">
        <f t="array" aca="1" ref="AI949" ca="1">IFERROR(INDIRECT("FINI_grouping_for_wheel[@["&amp;FINI_grouping_for_wheel[[#This Row],[Selected PV]]&amp;"]]"),"")</f>
        <v/>
      </c>
      <c r="AJ94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8900.59779</v>
      </c>
      <c r="AK94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29.7</v>
      </c>
      <c r="AL949" s="4"/>
      <c r="AM94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68</v>
      </c>
      <c r="AN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4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4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49" t="str">
        <f>_xlfn.CONCAT(FINI_grouping_for_wheel[[#This Row],[Recipe Combination]],FINI_grouping_for_wheel[[#This Row],[Subgroup]])</f>
        <v>C</v>
      </c>
    </row>
    <row r="950" spans="1:55" hidden="1">
      <c r="A950" t="s">
        <v>17</v>
      </c>
      <c r="B950">
        <v>4823953</v>
      </c>
      <c r="C950" t="s">
        <v>3789</v>
      </c>
      <c r="D950">
        <v>8600.13007845</v>
      </c>
      <c r="E950">
        <v>4</v>
      </c>
      <c r="F950">
        <v>0.08</v>
      </c>
      <c r="G950" t="s">
        <v>3790</v>
      </c>
      <c r="H950" t="s">
        <v>3791</v>
      </c>
      <c r="I950">
        <v>300</v>
      </c>
      <c r="J950" t="s">
        <v>90</v>
      </c>
      <c r="K950" t="s">
        <v>292</v>
      </c>
      <c r="L950" t="s">
        <v>293</v>
      </c>
      <c r="M950">
        <v>31899.13632</v>
      </c>
      <c r="N950">
        <v>127.59654528</v>
      </c>
      <c r="O950">
        <v>31899.13632</v>
      </c>
      <c r="P950">
        <v>31899.13632</v>
      </c>
      <c r="Q950">
        <v>1</v>
      </c>
      <c r="R950">
        <v>8600.13007845</v>
      </c>
      <c r="S950" t="s">
        <v>471</v>
      </c>
      <c r="T950" t="s">
        <v>93</v>
      </c>
      <c r="U950">
        <v>12.5</v>
      </c>
      <c r="V950" t="s">
        <v>295</v>
      </c>
      <c r="W950" t="s">
        <v>142</v>
      </c>
      <c r="X950" t="s">
        <v>128</v>
      </c>
      <c r="Y950" s="23" t="s">
        <v>120</v>
      </c>
      <c r="AA950">
        <v>67</v>
      </c>
      <c r="AB950" t="s">
        <v>3792</v>
      </c>
      <c r="AC950" t="s">
        <v>3793</v>
      </c>
      <c r="AE950" s="2"/>
      <c r="AF950" t="str">
        <f>_xlfn.CONCAT(FINI_grouping_for_wheel[[#This Row],[SEFI/Plant]],"/",IF(FINI_grouping_for_wheel[[#This Row],[RESET recipe combination]]&lt;&gt;"",FINI_grouping_for_wheel[[#This Row],[RESET recipe combination]],FINI_grouping_for_wheel[[#This Row],[Recipe Combination]]),"/",FINI_grouping_for_wheel[[#This Row],[Subgroup]])</f>
        <v>4823953/THDP/x/</v>
      </c>
      <c r="AG9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50">
        <f>_xlfn.LET(_xlpm.pct, FINI_grouping_for_wheel[[#This Row],[% forecast within subgroup]], _xlpm.lote, FINI_grouping_for_wheel[[#This Row],[Lot size considered]], _xlpm.pct*_xlpm.lote)</f>
        <v>8600.13007845</v>
      </c>
      <c r="AI950" cm="1" t="str">
        <f t="array" aca="1" ref="AI950" ca="1">IFERROR(INDIRECT("FINI_grouping_for_wheel[@["&amp;FINI_grouping_for_wheel[[#This Row],[Selected PV]]&amp;"]]"),"")</f>
        <v/>
      </c>
      <c r="AJ95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8837.850825</v>
      </c>
      <c r="AK95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29.5</v>
      </c>
      <c r="AL950" s="4"/>
      <c r="AM95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59</v>
      </c>
      <c r="AN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5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5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50" t="str">
        <f>_xlfn.CONCAT(FINI_grouping_for_wheel[[#This Row],[Recipe Combination]],FINI_grouping_for_wheel[[#This Row],[Subgroup]])</f>
        <v/>
      </c>
    </row>
    <row r="951" spans="1:55" hidden="1">
      <c r="A951" t="s">
        <v>17</v>
      </c>
      <c r="B951">
        <v>4456368</v>
      </c>
      <c r="C951" t="s">
        <v>3794</v>
      </c>
      <c r="D951">
        <v>769.8072553</v>
      </c>
      <c r="E951">
        <v>4</v>
      </c>
      <c r="F951">
        <v>0.08</v>
      </c>
      <c r="G951" t="s">
        <v>3795</v>
      </c>
      <c r="H951" t="s">
        <v>3796</v>
      </c>
      <c r="I951">
        <v>375</v>
      </c>
      <c r="J951" t="s">
        <v>3777</v>
      </c>
      <c r="K951" t="s">
        <v>1216</v>
      </c>
      <c r="L951" t="s">
        <v>1217</v>
      </c>
      <c r="M951">
        <v>2445.94773</v>
      </c>
      <c r="N951">
        <v>9.78379092</v>
      </c>
      <c r="O951">
        <v>2445.94773</v>
      </c>
      <c r="P951">
        <v>2445.94773</v>
      </c>
      <c r="Q951">
        <v>1</v>
      </c>
      <c r="R951">
        <v>769.8072553</v>
      </c>
      <c r="S951" t="s">
        <v>266</v>
      </c>
      <c r="T951" t="s">
        <v>93</v>
      </c>
      <c r="U951">
        <v>2.5</v>
      </c>
      <c r="V951" t="s">
        <v>105</v>
      </c>
      <c r="W951" t="s">
        <v>142</v>
      </c>
      <c r="X951" t="s">
        <v>106</v>
      </c>
      <c r="Y951" s="23" t="s">
        <v>107</v>
      </c>
      <c r="AA951">
        <v>79</v>
      </c>
      <c r="AB951" t="s">
        <v>3797</v>
      </c>
      <c r="AC951" t="s">
        <v>3798</v>
      </c>
      <c r="AE951" s="2"/>
      <c r="AF951" t="str">
        <f>_xlfn.CONCAT(FINI_grouping_for_wheel[[#This Row],[SEFI/Plant]],"/",IF(FINI_grouping_for_wheel[[#This Row],[RESET recipe combination]]&lt;&gt;"",FINI_grouping_for_wheel[[#This Row],[RESET recipe combination]],FINI_grouping_for_wheel[[#This Row],[Recipe Combination]]),"/",FINI_grouping_for_wheel[[#This Row],[Subgroup]])</f>
        <v>4456368/THDP/x/</v>
      </c>
      <c r="AG9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51">
        <f>_xlfn.LET(_xlpm.pct, FINI_grouping_for_wheel[[#This Row],[% forecast within subgroup]], _xlpm.lote, FINI_grouping_for_wheel[[#This Row],[Lot size considered]], _xlpm.pct*_xlpm.lote)</f>
        <v>769.8072553</v>
      </c>
      <c r="AI951" cm="1" t="str">
        <f t="array" aca="1" ref="AI951" ca="1">IFERROR(INDIRECT("FINI_grouping_for_wheel[@["&amp;FINI_grouping_for_wheel[[#This Row],[Selected PV]]&amp;"]]"),"")</f>
        <v/>
      </c>
      <c r="AJ95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3378.86487</v>
      </c>
      <c r="AK95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9</v>
      </c>
      <c r="AL951" s="4"/>
      <c r="AM95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294</v>
      </c>
      <c r="AN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5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5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51" t="str">
        <f>_xlfn.CONCAT(FINI_grouping_for_wheel[[#This Row],[Recipe Combination]],FINI_grouping_for_wheel[[#This Row],[Subgroup]])</f>
        <v>1</v>
      </c>
    </row>
    <row r="952" spans="1:55" hidden="1">
      <c r="A952" t="s">
        <v>18</v>
      </c>
      <c r="B952">
        <v>4148652</v>
      </c>
      <c r="C952" t="s">
        <v>3799</v>
      </c>
      <c r="D952">
        <v>8632.5812408</v>
      </c>
      <c r="E952">
        <v>3</v>
      </c>
      <c r="F952">
        <v>0.06</v>
      </c>
      <c r="G952" t="s">
        <v>3800</v>
      </c>
      <c r="H952" t="s">
        <v>3801</v>
      </c>
      <c r="I952">
        <v>300</v>
      </c>
      <c r="J952" t="s">
        <v>90</v>
      </c>
      <c r="K952" t="s">
        <v>552</v>
      </c>
      <c r="L952" t="s">
        <v>553</v>
      </c>
      <c r="M952">
        <v>5074.21683</v>
      </c>
      <c r="N952">
        <v>20.29686732</v>
      </c>
      <c r="O952">
        <v>23385.675465</v>
      </c>
      <c r="P952">
        <v>23385.675465</v>
      </c>
      <c r="Q952">
        <v>0.21697969928618438</v>
      </c>
      <c r="R952">
        <v>1873.09488169</v>
      </c>
      <c r="S952" t="s">
        <v>294</v>
      </c>
      <c r="T952" t="s">
        <v>93</v>
      </c>
      <c r="U952">
        <v>12.5</v>
      </c>
      <c r="V952" t="s">
        <v>295</v>
      </c>
      <c r="W952" t="s">
        <v>142</v>
      </c>
      <c r="X952" t="s">
        <v>128</v>
      </c>
      <c r="Y952" s="23" t="s">
        <v>120</v>
      </c>
      <c r="AA952">
        <v>425</v>
      </c>
      <c r="AB952" t="s">
        <v>3802</v>
      </c>
      <c r="AC952" t="s">
        <v>3803</v>
      </c>
      <c r="AE952" s="2"/>
      <c r="AF952" t="str">
        <f>_xlfn.CONCAT(FINI_grouping_for_wheel[[#This Row],[SEFI/Plant]],"/",IF(FINI_grouping_for_wheel[[#This Row],[RESET recipe combination]]&lt;&gt;"",FINI_grouping_for_wheel[[#This Row],[RESET recipe combination]],FINI_grouping_for_wheel[[#This Row],[Recipe Combination]]),"/",FINI_grouping_for_wheel[[#This Row],[Subgroup]])</f>
        <v>4148652/THDP/x/</v>
      </c>
      <c r="AG9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0.21697969928618438</v>
      </c>
      <c r="AH952">
        <f>_xlfn.LET(_xlpm.pct, FINI_grouping_for_wheel[[#This Row],[% forecast within subgroup]], _xlpm.lote, FINI_grouping_for_wheel[[#This Row],[Lot size considered]], _xlpm.pct*_xlpm.lote)</f>
        <v>1873.0948816923406</v>
      </c>
      <c r="AI952" cm="1" t="str">
        <f t="array" aca="1" ref="AI952" ca="1">IFERROR(INDIRECT("FINI_grouping_for_wheel[@["&amp;FINI_grouping_for_wheel[[#This Row],[Selected PV]]&amp;"]]"),"")</f>
        <v/>
      </c>
      <c r="AJ95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8927.827605</v>
      </c>
      <c r="AK95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6.5</v>
      </c>
      <c r="AL952" s="4"/>
      <c r="AM95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81</v>
      </c>
      <c r="AN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5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5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52" t="str">
        <f>_xlfn.CONCAT(FINI_grouping_for_wheel[[#This Row],[Recipe Combination]],FINI_grouping_for_wheel[[#This Row],[Subgroup]])</f>
        <v>C</v>
      </c>
    </row>
    <row r="953" spans="1:55" hidden="1">
      <c r="A953" t="s">
        <v>18</v>
      </c>
      <c r="B953">
        <v>4148652</v>
      </c>
      <c r="C953" t="s">
        <v>3799</v>
      </c>
      <c r="D953">
        <v>8632.5812408</v>
      </c>
      <c r="E953">
        <v>3</v>
      </c>
      <c r="F953">
        <v>0.06</v>
      </c>
      <c r="G953" t="s">
        <v>3804</v>
      </c>
      <c r="H953" t="s">
        <v>3805</v>
      </c>
      <c r="I953">
        <v>300</v>
      </c>
      <c r="J953" t="s">
        <v>90</v>
      </c>
      <c r="K953" t="s">
        <v>552</v>
      </c>
      <c r="L953" t="s">
        <v>553</v>
      </c>
      <c r="M953">
        <v>2605.774905</v>
      </c>
      <c r="N953">
        <v>10.42309962</v>
      </c>
      <c r="O953">
        <v>23385.675465</v>
      </c>
      <c r="P953">
        <v>23385.675465</v>
      </c>
      <c r="Q953">
        <v>0.11142611248924214</v>
      </c>
      <c r="R953">
        <v>961.89496841</v>
      </c>
      <c r="S953" t="s">
        <v>294</v>
      </c>
      <c r="T953" t="s">
        <v>93</v>
      </c>
      <c r="U953">
        <v>12.5</v>
      </c>
      <c r="V953" t="s">
        <v>295</v>
      </c>
      <c r="W953" t="s">
        <v>142</v>
      </c>
      <c r="X953" t="s">
        <v>128</v>
      </c>
      <c r="Y953" s="23" t="s">
        <v>120</v>
      </c>
      <c r="AA953">
        <v>828</v>
      </c>
      <c r="AB953" t="s">
        <v>3806</v>
      </c>
      <c r="AC953" t="s">
        <v>3803</v>
      </c>
      <c r="AE953" s="2"/>
      <c r="AF953" t="str">
        <f>_xlfn.CONCAT(FINI_grouping_for_wheel[[#This Row],[SEFI/Plant]],"/",IF(FINI_grouping_for_wheel[[#This Row],[RESET recipe combination]]&lt;&gt;"",FINI_grouping_for_wheel[[#This Row],[RESET recipe combination]],FINI_grouping_for_wheel[[#This Row],[Recipe Combination]]),"/",FINI_grouping_for_wheel[[#This Row],[Subgroup]])</f>
        <v>4148652/THDP/x/</v>
      </c>
      <c r="AG9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0.11142611248924215</v>
      </c>
      <c r="AH953">
        <f>_xlfn.LET(_xlpm.pct, FINI_grouping_for_wheel[[#This Row],[% forecast within subgroup]], _xlpm.lote, FINI_grouping_for_wheel[[#This Row],[Lot size considered]], _xlpm.pct*_xlpm.lote)</f>
        <v>961.8949684099024</v>
      </c>
      <c r="AI953" cm="1" t="str">
        <f t="array" aca="1" ref="AI953" ca="1">IFERROR(INDIRECT("FINI_grouping_for_wheel[@["&amp;FINI_grouping_for_wheel[[#This Row],[Selected PV]]&amp;"]]"),"")</f>
        <v/>
      </c>
      <c r="AJ95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8927.827605</v>
      </c>
      <c r="AK95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3.3</v>
      </c>
      <c r="AL953" s="4"/>
      <c r="AM95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81</v>
      </c>
      <c r="AN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5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5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53" t="str">
        <f>_xlfn.CONCAT(FINI_grouping_for_wheel[[#This Row],[Recipe Combination]],FINI_grouping_for_wheel[[#This Row],[Subgroup]])</f>
        <v>C</v>
      </c>
    </row>
    <row r="954" spans="1:55" hidden="1">
      <c r="A954" t="s">
        <v>18</v>
      </c>
      <c r="B954">
        <v>4148652</v>
      </c>
      <c r="C954" t="s">
        <v>3799</v>
      </c>
      <c r="D954">
        <v>8632.5812408</v>
      </c>
      <c r="E954">
        <v>3</v>
      </c>
      <c r="F954">
        <v>0.06</v>
      </c>
      <c r="G954" t="s">
        <v>3807</v>
      </c>
      <c r="H954" t="s">
        <v>3808</v>
      </c>
      <c r="I954">
        <v>300</v>
      </c>
      <c r="J954" t="s">
        <v>90</v>
      </c>
      <c r="K954" t="s">
        <v>292</v>
      </c>
      <c r="L954" t="s">
        <v>293</v>
      </c>
      <c r="M954">
        <v>10241.962155</v>
      </c>
      <c r="N954">
        <v>40.96784862</v>
      </c>
      <c r="O954">
        <v>23385.675465</v>
      </c>
      <c r="P954">
        <v>23385.675465</v>
      </c>
      <c r="Q954">
        <v>0.43795879106971092</v>
      </c>
      <c r="R954">
        <v>3780.71484403</v>
      </c>
      <c r="S954" t="s">
        <v>294</v>
      </c>
      <c r="T954" t="s">
        <v>93</v>
      </c>
      <c r="U954">
        <v>12.5</v>
      </c>
      <c r="V954" t="s">
        <v>295</v>
      </c>
      <c r="W954" t="s">
        <v>142</v>
      </c>
      <c r="X954" t="s">
        <v>128</v>
      </c>
      <c r="Y954" s="23" t="s">
        <v>120</v>
      </c>
      <c r="AA954">
        <v>211</v>
      </c>
      <c r="AB954" t="s">
        <v>3809</v>
      </c>
      <c r="AC954" t="s">
        <v>3803</v>
      </c>
      <c r="AE954" s="2"/>
      <c r="AF954" t="str">
        <f>_xlfn.CONCAT(FINI_grouping_for_wheel[[#This Row],[SEFI/Plant]],"/",IF(FINI_grouping_for_wheel[[#This Row],[RESET recipe combination]]&lt;&gt;"",FINI_grouping_for_wheel[[#This Row],[RESET recipe combination]],FINI_grouping_for_wheel[[#This Row],[Recipe Combination]]),"/",FINI_grouping_for_wheel[[#This Row],[Subgroup]])</f>
        <v>4148652/THDP/x/</v>
      </c>
      <c r="AG9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0.4379587910697109</v>
      </c>
      <c r="AH954">
        <f>_xlfn.LET(_xlpm.pct, FINI_grouping_for_wheel[[#This Row],[% forecast within subgroup]], _xlpm.lote, FINI_grouping_for_wheel[[#This Row],[Lot size considered]], _xlpm.pct*_xlpm.lote)</f>
        <v>3780.7148440318333</v>
      </c>
      <c r="AI954" cm="1" t="str">
        <f t="array" aca="1" ref="AI954" ca="1">IFERROR(INDIRECT("FINI_grouping_for_wheel[@["&amp;FINI_grouping_for_wheel[[#This Row],[Selected PV]]&amp;"]]"),"")</f>
        <v/>
      </c>
      <c r="AJ95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8927.827605</v>
      </c>
      <c r="AK95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13</v>
      </c>
      <c r="AL954" s="4"/>
      <c r="AM95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81</v>
      </c>
      <c r="AN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5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5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54" t="str">
        <f>_xlfn.CONCAT(FINI_grouping_for_wheel[[#This Row],[Recipe Combination]],FINI_grouping_for_wheel[[#This Row],[Subgroup]])</f>
        <v>C</v>
      </c>
    </row>
    <row r="955" spans="1:55" hidden="1">
      <c r="A955" t="s">
        <v>18</v>
      </c>
      <c r="B955">
        <v>4148652</v>
      </c>
      <c r="C955" t="s">
        <v>3799</v>
      </c>
      <c r="D955">
        <v>8632.5812408</v>
      </c>
      <c r="E955">
        <v>3</v>
      </c>
      <c r="F955">
        <v>0.06</v>
      </c>
      <c r="G955" t="s">
        <v>3810</v>
      </c>
      <c r="H955" t="s">
        <v>3811</v>
      </c>
      <c r="I955">
        <v>300</v>
      </c>
      <c r="J955" t="s">
        <v>90</v>
      </c>
      <c r="K955" t="s">
        <v>292</v>
      </c>
      <c r="L955" t="s">
        <v>293</v>
      </c>
      <c r="M955">
        <v>5463.721575</v>
      </c>
      <c r="N955">
        <v>21.8548863</v>
      </c>
      <c r="O955">
        <v>23385.675465</v>
      </c>
      <c r="P955">
        <v>23385.675465</v>
      </c>
      <c r="Q955">
        <v>0.23363539715486256</v>
      </c>
      <c r="R955">
        <v>2016.87654667</v>
      </c>
      <c r="S955" t="s">
        <v>294</v>
      </c>
      <c r="T955" t="s">
        <v>93</v>
      </c>
      <c r="U955">
        <v>12.5</v>
      </c>
      <c r="V955" t="s">
        <v>295</v>
      </c>
      <c r="W955" t="s">
        <v>142</v>
      </c>
      <c r="X955" t="s">
        <v>128</v>
      </c>
      <c r="Y955" s="23" t="s">
        <v>120</v>
      </c>
      <c r="AA955">
        <v>395</v>
      </c>
      <c r="AB955" t="s">
        <v>3812</v>
      </c>
      <c r="AC955" t="s">
        <v>3803</v>
      </c>
      <c r="AE955" s="2"/>
      <c r="AF955" t="str">
        <f>_xlfn.CONCAT(FINI_grouping_for_wheel[[#This Row],[SEFI/Plant]],"/",IF(FINI_grouping_for_wheel[[#This Row],[RESET recipe combination]]&lt;&gt;"",FINI_grouping_for_wheel[[#This Row],[RESET recipe combination]],FINI_grouping_for_wheel[[#This Row],[Recipe Combination]]),"/",FINI_grouping_for_wheel[[#This Row],[Subgroup]])</f>
        <v>4148652/THDP/x/</v>
      </c>
      <c r="AG9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0.23363539715486253</v>
      </c>
      <c r="AH955">
        <f>_xlfn.LET(_xlpm.pct, FINI_grouping_for_wheel[[#This Row],[% forecast within subgroup]], _xlpm.lote, FINI_grouping_for_wheel[[#This Row],[Lot size considered]], _xlpm.pct*_xlpm.lote)</f>
        <v>2016.876546665924</v>
      </c>
      <c r="AI955" cm="1" t="str">
        <f t="array" aca="1" ref="AI955" ca="1">IFERROR(INDIRECT("FINI_grouping_for_wheel[@["&amp;FINI_grouping_for_wheel[[#This Row],[Selected PV]]&amp;"]]"),"")</f>
        <v/>
      </c>
      <c r="AJ95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8927.827605</v>
      </c>
      <c r="AK95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7</v>
      </c>
      <c r="AL955" s="4"/>
      <c r="AM95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81</v>
      </c>
      <c r="AN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5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5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55" t="str">
        <f>_xlfn.CONCAT(FINI_grouping_for_wheel[[#This Row],[Recipe Combination]],FINI_grouping_for_wheel[[#This Row],[Subgroup]])</f>
        <v>C</v>
      </c>
    </row>
    <row r="956" spans="1:55" hidden="1">
      <c r="A956" t="s">
        <v>18</v>
      </c>
      <c r="B956">
        <v>4765694</v>
      </c>
      <c r="C956" t="s">
        <v>3813</v>
      </c>
      <c r="D956">
        <v>8621.34409189</v>
      </c>
      <c r="E956">
        <v>3</v>
      </c>
      <c r="F956">
        <v>0.06</v>
      </c>
      <c r="G956" t="s">
        <v>3814</v>
      </c>
      <c r="H956" t="s">
        <v>3815</v>
      </c>
      <c r="J956" t="s">
        <v>90</v>
      </c>
      <c r="K956" t="s">
        <v>3816</v>
      </c>
      <c r="L956" t="s">
        <v>3817</v>
      </c>
      <c r="M956">
        <v>4816.12554</v>
      </c>
      <c r="N956">
        <v>19.26450216</v>
      </c>
      <c r="O956">
        <v>25175.739825</v>
      </c>
      <c r="P956">
        <v>25175.739825</v>
      </c>
      <c r="Q956">
        <v>0.19130025864095931</v>
      </c>
      <c r="R956">
        <v>1649.26535461</v>
      </c>
      <c r="S956" t="s">
        <v>471</v>
      </c>
      <c r="T956" t="s">
        <v>93</v>
      </c>
      <c r="U956">
        <v>12</v>
      </c>
      <c r="V956" t="s">
        <v>238</v>
      </c>
      <c r="W956" t="s">
        <v>95</v>
      </c>
      <c r="X956" t="s">
        <v>96</v>
      </c>
      <c r="Y956" s="23" t="s">
        <v>97</v>
      </c>
      <c r="AA956">
        <v>448</v>
      </c>
      <c r="AB956" t="s">
        <v>3818</v>
      </c>
      <c r="AC956" t="s">
        <v>3819</v>
      </c>
      <c r="AE956" s="2"/>
      <c r="AF956" t="str">
        <f>_xlfn.CONCAT(FINI_grouping_for_wheel[[#This Row],[SEFI/Plant]],"/",IF(FINI_grouping_for_wheel[[#This Row],[RESET recipe combination]]&lt;&gt;"",FINI_grouping_for_wheel[[#This Row],[RESET recipe combination]],FINI_grouping_for_wheel[[#This Row],[Recipe Combination]]),"/",FINI_grouping_for_wheel[[#This Row],[Subgroup]])</f>
        <v>4765694/THDP/x/</v>
      </c>
      <c r="AG95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0.19130025864095931</v>
      </c>
      <c r="AH956">
        <f>_xlfn.LET(_xlpm.pct, FINI_grouping_for_wheel[[#This Row],[% forecast within subgroup]], _xlpm.lote, FINI_grouping_for_wheel[[#This Row],[Lot size considered]], _xlpm.pct*_xlpm.lote)</f>
        <v>1649.2653546112633</v>
      </c>
      <c r="AI956" cm="1" t="str">
        <f t="array" aca="1" ref="AI956" ca="1">IFERROR(INDIRECT("FINI_grouping_for_wheel[@["&amp;FINI_grouping_for_wheel[[#This Row],[Selected PV]]&amp;"]]"),"")</f>
        <v/>
      </c>
      <c r="AJ95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8623.56402</v>
      </c>
      <c r="AK95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56" s="4"/>
      <c r="AM95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73</v>
      </c>
      <c r="AN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5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5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56" t="str">
        <f>_xlfn.CONCAT(FINI_grouping_for_wheel[[#This Row],[Recipe Combination]],FINI_grouping_for_wheel[[#This Row],[Subgroup]])</f>
        <v/>
      </c>
    </row>
    <row r="957" spans="1:55" hidden="1">
      <c r="A957" t="s">
        <v>18</v>
      </c>
      <c r="B957">
        <v>4765694</v>
      </c>
      <c r="C957" t="s">
        <v>3813</v>
      </c>
      <c r="D957">
        <v>8621.34409189</v>
      </c>
      <c r="E957">
        <v>3</v>
      </c>
      <c r="F957">
        <v>0.06</v>
      </c>
      <c r="G957" t="s">
        <v>3820</v>
      </c>
      <c r="H957" t="s">
        <v>3821</v>
      </c>
      <c r="I957">
        <v>440</v>
      </c>
      <c r="J957" t="s">
        <v>90</v>
      </c>
      <c r="K957" t="s">
        <v>666</v>
      </c>
      <c r="L957" t="s">
        <v>667</v>
      </c>
      <c r="M957">
        <v>1266.77835</v>
      </c>
      <c r="N957">
        <v>5.0671134</v>
      </c>
      <c r="O957">
        <v>25175.739825</v>
      </c>
      <c r="P957">
        <v>25175.739825</v>
      </c>
      <c r="Q957">
        <v>5.0317422995532567E-2</v>
      </c>
      <c r="R957">
        <v>433.803817462</v>
      </c>
      <c r="S957" t="s">
        <v>471</v>
      </c>
      <c r="T957" t="s">
        <v>93</v>
      </c>
      <c r="U957">
        <v>10</v>
      </c>
      <c r="V957" t="s">
        <v>94</v>
      </c>
      <c r="W957" t="s">
        <v>95</v>
      </c>
      <c r="X957" t="s">
        <v>96</v>
      </c>
      <c r="Y957" s="23" t="s">
        <v>97</v>
      </c>
      <c r="AA957">
        <v>1701</v>
      </c>
      <c r="AB957" t="s">
        <v>3822</v>
      </c>
      <c r="AC957" t="s">
        <v>3819</v>
      </c>
      <c r="AE957" s="2"/>
      <c r="AF957" t="str">
        <f>_xlfn.CONCAT(FINI_grouping_for_wheel[[#This Row],[SEFI/Plant]],"/",IF(FINI_grouping_for_wheel[[#This Row],[RESET recipe combination]]&lt;&gt;"",FINI_grouping_for_wheel[[#This Row],[RESET recipe combination]],FINI_grouping_for_wheel[[#This Row],[Recipe Combination]]),"/",FINI_grouping_for_wheel[[#This Row],[Subgroup]])</f>
        <v>4765694/THDP/x/</v>
      </c>
      <c r="AG9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0.05031742299553257</v>
      </c>
      <c r="AH957">
        <f>_xlfn.LET(_xlpm.pct, FINI_grouping_for_wheel[[#This Row],[% forecast within subgroup]], _xlpm.lote, FINI_grouping_for_wheel[[#This Row],[Lot size considered]], _xlpm.pct*_xlpm.lote)</f>
        <v>433.8038174616647</v>
      </c>
      <c r="AI957" cm="1" t="str">
        <f t="array" aca="1" ref="AI957" ca="1">IFERROR(INDIRECT("FINI_grouping_for_wheel[@["&amp;FINI_grouping_for_wheel[[#This Row],[Selected PV]]&amp;"]]"),"")</f>
        <v/>
      </c>
      <c r="AJ95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8623.56402</v>
      </c>
      <c r="AK95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v>
      </c>
      <c r="AL957" s="4"/>
      <c r="AM95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73</v>
      </c>
      <c r="AN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5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5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57" t="str">
        <f>_xlfn.CONCAT(FINI_grouping_for_wheel[[#This Row],[Recipe Combination]],FINI_grouping_for_wheel[[#This Row],[Subgroup]])</f>
        <v/>
      </c>
    </row>
    <row r="958" spans="1:55" hidden="1">
      <c r="A958" t="s">
        <v>18</v>
      </c>
      <c r="B958">
        <v>4765694</v>
      </c>
      <c r="C958" t="s">
        <v>3813</v>
      </c>
      <c r="D958">
        <v>8621.34409189</v>
      </c>
      <c r="E958">
        <v>3</v>
      </c>
      <c r="F958">
        <v>0.06</v>
      </c>
      <c r="G958" t="s">
        <v>3823</v>
      </c>
      <c r="H958" t="s">
        <v>3824</v>
      </c>
      <c r="J958" t="s">
        <v>90</v>
      </c>
      <c r="K958" t="s">
        <v>666</v>
      </c>
      <c r="L958" t="s">
        <v>667</v>
      </c>
      <c r="M958">
        <v>11472.03945</v>
      </c>
      <c r="N958">
        <v>45.8881578</v>
      </c>
      <c r="O958">
        <v>25175.739825</v>
      </c>
      <c r="P958">
        <v>25175.739825</v>
      </c>
      <c r="Q958">
        <v>0.45567834469786034</v>
      </c>
      <c r="R958">
        <v>3928.55980486</v>
      </c>
      <c r="S958" t="s">
        <v>471</v>
      </c>
      <c r="T958" t="s">
        <v>93</v>
      </c>
      <c r="U958">
        <v>10</v>
      </c>
      <c r="V958" t="s">
        <v>94</v>
      </c>
      <c r="W958" t="s">
        <v>95</v>
      </c>
      <c r="X958" t="s">
        <v>96</v>
      </c>
      <c r="Y958" s="23" t="s">
        <v>97</v>
      </c>
      <c r="AA958">
        <v>188</v>
      </c>
      <c r="AB958" t="s">
        <v>3825</v>
      </c>
      <c r="AC958" t="s">
        <v>3819</v>
      </c>
      <c r="AE958" s="2"/>
      <c r="AF958" t="str">
        <f>_xlfn.CONCAT(FINI_grouping_for_wheel[[#This Row],[SEFI/Plant]],"/",IF(FINI_grouping_for_wheel[[#This Row],[RESET recipe combination]]&lt;&gt;"",FINI_grouping_for_wheel[[#This Row],[RESET recipe combination]],FINI_grouping_for_wheel[[#This Row],[Recipe Combination]]),"/",FINI_grouping_for_wheel[[#This Row],[Subgroup]])</f>
        <v>4765694/THDP/x/</v>
      </c>
      <c r="AG95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0.45567834469786034</v>
      </c>
      <c r="AH958">
        <f>_xlfn.LET(_xlpm.pct, FINI_grouping_for_wheel[[#This Row],[% forecast within subgroup]], _xlpm.lote, FINI_grouping_for_wheel[[#This Row],[Lot size considered]], _xlpm.pct*_xlpm.lote)</f>
        <v>3928.5598048631127</v>
      </c>
      <c r="AI958" cm="1" t="str">
        <f t="array" aca="1" ref="AI958" ca="1">IFERROR(INDIRECT("FINI_grouping_for_wheel[@["&amp;FINI_grouping_for_wheel[[#This Row],[Selected PV]]&amp;"]]"),"")</f>
        <v/>
      </c>
      <c r="AJ95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8623.56402</v>
      </c>
      <c r="AK95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58" s="4"/>
      <c r="AM95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73</v>
      </c>
      <c r="AN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5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5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58" t="str">
        <f>_xlfn.CONCAT(FINI_grouping_for_wheel[[#This Row],[Recipe Combination]],FINI_grouping_for_wheel[[#This Row],[Subgroup]])</f>
        <v/>
      </c>
    </row>
    <row r="959" spans="1:55" hidden="1">
      <c r="A959" t="s">
        <v>18</v>
      </c>
      <c r="B959">
        <v>4765694</v>
      </c>
      <c r="C959" t="s">
        <v>3813</v>
      </c>
      <c r="D959">
        <v>8621.34409189</v>
      </c>
      <c r="E959">
        <v>3</v>
      </c>
      <c r="F959">
        <v>0.06</v>
      </c>
      <c r="G959" t="s">
        <v>3826</v>
      </c>
      <c r="H959" t="s">
        <v>3827</v>
      </c>
      <c r="I959">
        <v>450</v>
      </c>
      <c r="J959" t="s">
        <v>90</v>
      </c>
      <c r="K959" t="s">
        <v>264</v>
      </c>
      <c r="L959" t="s">
        <v>265</v>
      </c>
      <c r="M959">
        <v>696.13614</v>
      </c>
      <c r="N959">
        <v>2.78454456</v>
      </c>
      <c r="O959">
        <v>25175.739825</v>
      </c>
      <c r="P959">
        <v>25175.739825</v>
      </c>
      <c r="Q959">
        <v>2.7651069833059018E-2</v>
      </c>
      <c r="R959">
        <v>238.38938754</v>
      </c>
      <c r="S959" t="s">
        <v>471</v>
      </c>
      <c r="T959" t="s">
        <v>93</v>
      </c>
      <c r="U959">
        <v>2.5</v>
      </c>
      <c r="V959" t="s">
        <v>267</v>
      </c>
      <c r="W959" t="s">
        <v>142</v>
      </c>
      <c r="X959" t="s">
        <v>150</v>
      </c>
      <c r="Y959" s="23" t="s">
        <v>151</v>
      </c>
      <c r="AA959">
        <v>3096</v>
      </c>
      <c r="AB959" t="s">
        <v>3828</v>
      </c>
      <c r="AC959" t="s">
        <v>3819</v>
      </c>
      <c r="AE959" s="2"/>
      <c r="AF959" t="str">
        <f>_xlfn.CONCAT(FINI_grouping_for_wheel[[#This Row],[SEFI/Plant]],"/",IF(FINI_grouping_for_wheel[[#This Row],[RESET recipe combination]]&lt;&gt;"",FINI_grouping_for_wheel[[#This Row],[RESET recipe combination]],FINI_grouping_for_wheel[[#This Row],[Recipe Combination]]),"/",FINI_grouping_for_wheel[[#This Row],[Subgroup]])</f>
        <v>4765694/THDP/x/</v>
      </c>
      <c r="AG9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0.027651069833059014</v>
      </c>
      <c r="AH959">
        <f>_xlfn.LET(_xlpm.pct, FINI_grouping_for_wheel[[#This Row],[% forecast within subgroup]], _xlpm.lote, FINI_grouping_for_wheel[[#This Row],[Lot size considered]], _xlpm.pct*_xlpm.lote)</f>
        <v>238.38938753968114</v>
      </c>
      <c r="AI959" cm="1" t="str">
        <f t="array" aca="1" ref="AI959" ca="1">IFERROR(INDIRECT("FINI_grouping_for_wheel[@["&amp;FINI_grouping_for_wheel[[#This Row],[Selected PV]]&amp;"]]"),"")</f>
        <v/>
      </c>
      <c r="AJ95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8623.56402</v>
      </c>
      <c r="AK95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0.5</v>
      </c>
      <c r="AL959" s="4"/>
      <c r="AM95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73</v>
      </c>
      <c r="AN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5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5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59" t="str">
        <f>_xlfn.CONCAT(FINI_grouping_for_wheel[[#This Row],[Recipe Combination]],FINI_grouping_for_wheel[[#This Row],[Subgroup]])</f>
        <v/>
      </c>
    </row>
    <row r="960" spans="1:55" hidden="1">
      <c r="A960" t="s">
        <v>18</v>
      </c>
      <c r="B960">
        <v>4765694</v>
      </c>
      <c r="C960" t="s">
        <v>3813</v>
      </c>
      <c r="D960">
        <v>8621.34409189</v>
      </c>
      <c r="E960">
        <v>3</v>
      </c>
      <c r="F960">
        <v>0.06</v>
      </c>
      <c r="G960" t="s">
        <v>3829</v>
      </c>
      <c r="H960" t="s">
        <v>3830</v>
      </c>
      <c r="J960" t="s">
        <v>90</v>
      </c>
      <c r="K960" t="s">
        <v>440</v>
      </c>
      <c r="L960" t="s">
        <v>441</v>
      </c>
      <c r="M960">
        <v>2172.465675</v>
      </c>
      <c r="N960">
        <v>8.6898627</v>
      </c>
      <c r="O960">
        <v>25175.739825</v>
      </c>
      <c r="P960">
        <v>25175.739825</v>
      </c>
      <c r="Q960">
        <v>8.629202915588996E-2</v>
      </c>
      <c r="R960">
        <v>743.95327574</v>
      </c>
      <c r="S960" t="s">
        <v>471</v>
      </c>
      <c r="T960" t="s">
        <v>93</v>
      </c>
      <c r="U960">
        <v>5</v>
      </c>
      <c r="V960" t="s">
        <v>119</v>
      </c>
      <c r="W960" t="s">
        <v>95</v>
      </c>
      <c r="X960" t="s">
        <v>96</v>
      </c>
      <c r="Y960" s="23" t="s">
        <v>120</v>
      </c>
      <c r="AA960">
        <v>992</v>
      </c>
      <c r="AB960" t="s">
        <v>3831</v>
      </c>
      <c r="AC960" t="s">
        <v>3819</v>
      </c>
      <c r="AE960" s="2"/>
      <c r="AF960" t="str">
        <f>_xlfn.CONCAT(FINI_grouping_for_wheel[[#This Row],[SEFI/Plant]],"/",IF(FINI_grouping_for_wheel[[#This Row],[RESET recipe combination]]&lt;&gt;"",FINI_grouping_for_wheel[[#This Row],[RESET recipe combination]],FINI_grouping_for_wheel[[#This Row],[Recipe Combination]]),"/",FINI_grouping_for_wheel[[#This Row],[Subgroup]])</f>
        <v>4765694/THDP/x/</v>
      </c>
      <c r="AG96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0.08629202915588996</v>
      </c>
      <c r="AH960">
        <f>_xlfn.LET(_xlpm.pct, FINI_grouping_for_wheel[[#This Row],[% forecast within subgroup]], _xlpm.lote, FINI_grouping_for_wheel[[#This Row],[Lot size considered]], _xlpm.pct*_xlpm.lote)</f>
        <v>743.9532757403315</v>
      </c>
      <c r="AI960" cm="1" t="str">
        <f t="array" aca="1" ref="AI960" ca="1">IFERROR(INDIRECT("FINI_grouping_for_wheel[@["&amp;FINI_grouping_for_wheel[[#This Row],[Selected PV]]&amp;"]]"),"")</f>
        <v/>
      </c>
      <c r="AJ96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8623.56402</v>
      </c>
      <c r="AK96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60" s="4"/>
      <c r="AM96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73</v>
      </c>
      <c r="AN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6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6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60" t="str">
        <f>_xlfn.CONCAT(FINI_grouping_for_wheel[[#This Row],[Recipe Combination]],FINI_grouping_for_wheel[[#This Row],[Subgroup]])</f>
        <v/>
      </c>
    </row>
    <row r="961" spans="1:55" hidden="1">
      <c r="A961" t="s">
        <v>18</v>
      </c>
      <c r="B961">
        <v>4765694</v>
      </c>
      <c r="C961" t="s">
        <v>3813</v>
      </c>
      <c r="D961">
        <v>8621.34409189</v>
      </c>
      <c r="E961">
        <v>3</v>
      </c>
      <c r="F961">
        <v>0.06</v>
      </c>
      <c r="G961" t="s">
        <v>3832</v>
      </c>
      <c r="H961" t="s">
        <v>3833</v>
      </c>
      <c r="I961">
        <v>384</v>
      </c>
      <c r="J961" t="s">
        <v>90</v>
      </c>
      <c r="K961" t="s">
        <v>3834</v>
      </c>
      <c r="L961" t="s">
        <v>3835</v>
      </c>
      <c r="M961">
        <v>4752.19467</v>
      </c>
      <c r="N961">
        <v>19.00877868</v>
      </c>
      <c r="O961">
        <v>25175.739825</v>
      </c>
      <c r="P961">
        <v>25175.739825</v>
      </c>
      <c r="Q961">
        <v>0.1887608746766988</v>
      </c>
      <c r="R961">
        <v>1627.37245167</v>
      </c>
      <c r="S961" t="s">
        <v>471</v>
      </c>
      <c r="T961" t="s">
        <v>93</v>
      </c>
      <c r="U961">
        <v>6</v>
      </c>
      <c r="V961" t="s">
        <v>657</v>
      </c>
      <c r="W961" t="s">
        <v>95</v>
      </c>
      <c r="X961" t="s">
        <v>106</v>
      </c>
      <c r="Y961" s="23" t="s">
        <v>107</v>
      </c>
      <c r="AA961">
        <v>454</v>
      </c>
      <c r="AB961" t="s">
        <v>3836</v>
      </c>
      <c r="AC961" t="s">
        <v>3819</v>
      </c>
      <c r="AE961" s="2"/>
      <c r="AF961" t="str">
        <f>_xlfn.CONCAT(FINI_grouping_for_wheel[[#This Row],[SEFI/Plant]],"/",IF(FINI_grouping_for_wheel[[#This Row],[RESET recipe combination]]&lt;&gt;"",FINI_grouping_for_wheel[[#This Row],[RESET recipe combination]],FINI_grouping_for_wheel[[#This Row],[Recipe Combination]]),"/",FINI_grouping_for_wheel[[#This Row],[Subgroup]])</f>
        <v>4765694/THDP/x/</v>
      </c>
      <c r="AG9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0.1887608746766988</v>
      </c>
      <c r="AH961">
        <f>_xlfn.LET(_xlpm.pct, FINI_grouping_for_wheel[[#This Row],[% forecast within subgroup]], _xlpm.lote, FINI_grouping_for_wheel[[#This Row],[Lot size considered]], _xlpm.pct*_xlpm.lote)</f>
        <v>1627.3724516739458</v>
      </c>
      <c r="AI961" cm="1" t="str">
        <f t="array" aca="1" ref="AI961" ca="1">IFERROR(INDIRECT("FINI_grouping_for_wheel[@["&amp;FINI_grouping_for_wheel[[#This Row],[Selected PV]]&amp;"]]"),"")</f>
        <v/>
      </c>
      <c r="AJ96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8623.56402</v>
      </c>
      <c r="AK96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4.2</v>
      </c>
      <c r="AL961" s="4"/>
      <c r="AM96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73</v>
      </c>
      <c r="AN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6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6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61" t="str">
        <f>_xlfn.CONCAT(FINI_grouping_for_wheel[[#This Row],[Recipe Combination]],FINI_grouping_for_wheel[[#This Row],[Subgroup]])</f>
        <v/>
      </c>
    </row>
    <row r="962" spans="1:55" hidden="1">
      <c r="A962" t="s">
        <v>18</v>
      </c>
      <c r="B962">
        <v>4950332</v>
      </c>
      <c r="C962" t="s">
        <v>3837</v>
      </c>
      <c r="D962">
        <v>8174.21446638</v>
      </c>
      <c r="E962">
        <v>3</v>
      </c>
      <c r="F962">
        <v>0.06</v>
      </c>
      <c r="G962" t="s">
        <v>3838</v>
      </c>
      <c r="H962" t="s">
        <v>3839</v>
      </c>
      <c r="I962">
        <v>330</v>
      </c>
      <c r="J962" t="s">
        <v>90</v>
      </c>
      <c r="K962" t="s">
        <v>3840</v>
      </c>
      <c r="L962" t="s">
        <v>3841</v>
      </c>
      <c r="M962">
        <v>23654.4219</v>
      </c>
      <c r="N962">
        <v>94.6176876</v>
      </c>
      <c r="O962">
        <v>23654.4219</v>
      </c>
      <c r="P962">
        <v>23654.4219</v>
      </c>
      <c r="Q962">
        <v>1</v>
      </c>
      <c r="R962">
        <v>8174.21446638</v>
      </c>
      <c r="S962" t="s">
        <v>387</v>
      </c>
      <c r="T962" t="s">
        <v>93</v>
      </c>
      <c r="U962">
        <v>10</v>
      </c>
      <c r="V962" t="s">
        <v>94</v>
      </c>
      <c r="W962" t="s">
        <v>95</v>
      </c>
      <c r="X962" t="s">
        <v>96</v>
      </c>
      <c r="Y962" s="23" t="s">
        <v>97</v>
      </c>
      <c r="AA962">
        <v>86</v>
      </c>
      <c r="AB962" t="s">
        <v>3842</v>
      </c>
      <c r="AC962" t="s">
        <v>3843</v>
      </c>
      <c r="AE962" s="2"/>
      <c r="AF962" t="str">
        <f>_xlfn.CONCAT(FINI_grouping_for_wheel[[#This Row],[SEFI/Plant]],"/",IF(FINI_grouping_for_wheel[[#This Row],[RESET recipe combination]]&lt;&gt;"",FINI_grouping_for_wheel[[#This Row],[RESET recipe combination]],FINI_grouping_for_wheel[[#This Row],[Recipe Combination]]),"/",FINI_grouping_for_wheel[[#This Row],[Subgroup]])</f>
        <v>4950332/THDP/x/</v>
      </c>
      <c r="AG9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62">
        <f>_xlfn.LET(_xlpm.pct, FINI_grouping_for_wheel[[#This Row],[% forecast within subgroup]], _xlpm.lote, FINI_grouping_for_wheel[[#This Row],[Lot size considered]], _xlpm.pct*_xlpm.lote)</f>
        <v>8174.21446638</v>
      </c>
      <c r="AI962" cm="1" t="str">
        <f t="array" aca="1" ref="AI962" ca="1">IFERROR(INDIRECT("FINI_grouping_for_wheel[@["&amp;FINI_grouping_for_wheel[[#This Row],[Selected PV]]&amp;"]]"),"")</f>
        <v/>
      </c>
      <c r="AJ96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8880.471405</v>
      </c>
      <c r="AK96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26.9</v>
      </c>
      <c r="AL962" s="4"/>
      <c r="AM96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80</v>
      </c>
      <c r="AN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6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6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62" t="str">
        <f>_xlfn.CONCAT(FINI_grouping_for_wheel[[#This Row],[Recipe Combination]],FINI_grouping_for_wheel[[#This Row],[Subgroup]])</f>
        <v>X</v>
      </c>
    </row>
    <row r="963" spans="1:55" hidden="1">
      <c r="A963" t="s">
        <v>18</v>
      </c>
      <c r="B963">
        <v>4851062</v>
      </c>
      <c r="C963" t="s">
        <v>3844</v>
      </c>
      <c r="D963">
        <v>8711.17146435</v>
      </c>
      <c r="E963">
        <v>3</v>
      </c>
      <c r="F963">
        <v>0.06</v>
      </c>
      <c r="G963" t="s">
        <v>3845</v>
      </c>
      <c r="H963" t="s">
        <v>3846</v>
      </c>
      <c r="I963">
        <v>310.08</v>
      </c>
      <c r="J963" t="s">
        <v>90</v>
      </c>
      <c r="K963" t="s">
        <v>299</v>
      </c>
      <c r="L963" t="s">
        <v>300</v>
      </c>
      <c r="M963">
        <v>18095.987925</v>
      </c>
      <c r="N963">
        <v>72.3839517</v>
      </c>
      <c r="O963">
        <v>18095.987925</v>
      </c>
      <c r="P963">
        <v>18095.987925</v>
      </c>
      <c r="Q963">
        <v>1</v>
      </c>
      <c r="R963">
        <v>8711.17146435</v>
      </c>
      <c r="S963" t="s">
        <v>294</v>
      </c>
      <c r="T963" t="s">
        <v>93</v>
      </c>
      <c r="U963">
        <v>12.92</v>
      </c>
      <c r="V963" t="s">
        <v>301</v>
      </c>
      <c r="W963" t="s">
        <v>142</v>
      </c>
      <c r="X963" t="s">
        <v>128</v>
      </c>
      <c r="Y963" s="23" t="s">
        <v>129</v>
      </c>
      <c r="AA963">
        <v>120</v>
      </c>
      <c r="AB963" t="s">
        <v>3847</v>
      </c>
      <c r="AC963" t="s">
        <v>3848</v>
      </c>
      <c r="AE963" s="2"/>
      <c r="AF963" t="str">
        <f>_xlfn.CONCAT(FINI_grouping_for_wheel[[#This Row],[SEFI/Plant]],"/",IF(FINI_grouping_for_wheel[[#This Row],[RESET recipe combination]]&lt;&gt;"",FINI_grouping_for_wheel[[#This Row],[RESET recipe combination]],FINI_grouping_for_wheel[[#This Row],[Recipe Combination]]),"/",FINI_grouping_for_wheel[[#This Row],[Subgroup]])</f>
        <v>4851062/THDP/x/</v>
      </c>
      <c r="AG9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63">
        <f>_xlfn.LET(_xlpm.pct, FINI_grouping_for_wheel[[#This Row],[% forecast within subgroup]], _xlpm.lote, FINI_grouping_for_wheel[[#This Row],[Lot size considered]], _xlpm.pct*_xlpm.lote)</f>
        <v>8711.17146435</v>
      </c>
      <c r="AI963" cm="1" t="str">
        <f t="array" aca="1" ref="AI963" ca="1">IFERROR(INDIRECT("FINI_grouping_for_wheel[@["&amp;FINI_grouping_for_wheel[[#This Row],[Selected PV]]&amp;"]]"),"")</f>
        <v/>
      </c>
      <c r="AJ963">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8900.59779</v>
      </c>
      <c r="AK96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28.7</v>
      </c>
      <c r="AL963" s="4"/>
      <c r="AM963"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105</v>
      </c>
      <c r="AN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6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6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63" t="str">
        <f>_xlfn.CONCAT(FINI_grouping_for_wheel[[#This Row],[Recipe Combination]],FINI_grouping_for_wheel[[#This Row],[Subgroup]])</f>
        <v>C</v>
      </c>
    </row>
    <row r="964" spans="1:55" hidden="1">
      <c r="A964" t="s">
        <v>19</v>
      </c>
      <c r="B964">
        <v>4060643</v>
      </c>
      <c r="C964" t="s">
        <v>3849</v>
      </c>
      <c r="D964">
        <v>8452.13473998</v>
      </c>
      <c r="E964">
        <v>2</v>
      </c>
      <c r="F964">
        <v>0.04</v>
      </c>
      <c r="G964" t="s">
        <v>3850</v>
      </c>
      <c r="H964" t="s">
        <v>3851</v>
      </c>
      <c r="J964" t="s">
        <v>90</v>
      </c>
      <c r="K964" t="s">
        <v>254</v>
      </c>
      <c r="L964" t="s">
        <v>255</v>
      </c>
      <c r="M964">
        <v>5185.5039</v>
      </c>
      <c r="N964">
        <v>20.7420156</v>
      </c>
      <c r="O964">
        <v>5185.5039</v>
      </c>
      <c r="P964">
        <v>14344.19298</v>
      </c>
      <c r="Q964">
        <v>1</v>
      </c>
      <c r="R964">
        <v>8452.13473998</v>
      </c>
      <c r="S964" t="s">
        <v>905</v>
      </c>
      <c r="T964" t="s">
        <v>93</v>
      </c>
      <c r="U964">
        <v>5</v>
      </c>
      <c r="V964" t="s">
        <v>119</v>
      </c>
      <c r="W964" t="s">
        <v>95</v>
      </c>
      <c r="X964" t="s">
        <v>96</v>
      </c>
      <c r="Y964" s="23" t="s">
        <v>120</v>
      </c>
      <c r="AA964">
        <v>407</v>
      </c>
      <c r="AB964" t="s">
        <v>3852</v>
      </c>
      <c r="AC964" t="s">
        <v>3853</v>
      </c>
      <c r="AE964" s="2"/>
      <c r="AF964" t="str">
        <f>_xlfn.CONCAT(FINI_grouping_for_wheel[[#This Row],[SEFI/Plant]],"/",IF(FINI_grouping_for_wheel[[#This Row],[RESET recipe combination]]&lt;&gt;"",FINI_grouping_for_wheel[[#This Row],[RESET recipe combination]],FINI_grouping_for_wheel[[#This Row],[Recipe Combination]]),"/",FINI_grouping_for_wheel[[#This Row],[Subgroup]])</f>
        <v>4060643/THDP/x/</v>
      </c>
      <c r="AG96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0.3615054473423572</v>
      </c>
      <c r="AH964">
        <f>_xlfn.LET(_xlpm.pct, FINI_grouping_for_wheel[[#This Row],[% forecast within subgroup]], _xlpm.lote, FINI_grouping_for_wheel[[#This Row],[Lot size considered]], _xlpm.pct*_xlpm.lote)</f>
        <v>3055.4927501743477</v>
      </c>
      <c r="AI964" cm="1" t="str">
        <f t="array" aca="1" ref="AI964" ca="1">IFERROR(INDIRECT("FINI_grouping_for_wheel[@["&amp;FINI_grouping_for_wheel[[#This Row],[Selected PV]]&amp;"]]"),"")</f>
        <v/>
      </c>
      <c r="AJ96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8867.44845</v>
      </c>
      <c r="AK96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64" s="4"/>
      <c r="AM96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131</v>
      </c>
      <c r="AN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6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6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64" t="str">
        <f>_xlfn.CONCAT(FINI_grouping_for_wheel[[#This Row],[Recipe Combination]],FINI_grouping_for_wheel[[#This Row],[Subgroup]])</f>
        <v>F</v>
      </c>
    </row>
    <row r="965" spans="1:55" hidden="1">
      <c r="A965" t="s">
        <v>19</v>
      </c>
      <c r="B965">
        <v>4060643</v>
      </c>
      <c r="C965" t="s">
        <v>3849</v>
      </c>
      <c r="D965">
        <v>8452.13473998</v>
      </c>
      <c r="E965">
        <v>2</v>
      </c>
      <c r="F965">
        <v>0.04</v>
      </c>
      <c r="G965" t="s">
        <v>3854</v>
      </c>
      <c r="H965" t="s">
        <v>3855</v>
      </c>
      <c r="I965">
        <v>495</v>
      </c>
      <c r="J965" t="s">
        <v>90</v>
      </c>
      <c r="K965" t="s">
        <v>312</v>
      </c>
      <c r="L965" t="s">
        <v>313</v>
      </c>
      <c r="M965">
        <v>1386.352755</v>
      </c>
      <c r="N965">
        <v>5.54541102</v>
      </c>
      <c r="O965">
        <v>1386.352755</v>
      </c>
      <c r="P965">
        <v>14344.19298</v>
      </c>
      <c r="Q965">
        <v>1</v>
      </c>
      <c r="R965">
        <v>8452.13473998</v>
      </c>
      <c r="S965" t="s">
        <v>314</v>
      </c>
      <c r="T965" t="s">
        <v>93</v>
      </c>
      <c r="U965">
        <v>1</v>
      </c>
      <c r="V965" t="s">
        <v>315</v>
      </c>
      <c r="W965" t="s">
        <v>142</v>
      </c>
      <c r="X965" t="s">
        <v>150</v>
      </c>
      <c r="Y965" s="23" t="s">
        <v>151</v>
      </c>
      <c r="AA965">
        <v>1524</v>
      </c>
      <c r="AB965" t="s">
        <v>3856</v>
      </c>
      <c r="AC965" t="s">
        <v>3853</v>
      </c>
      <c r="AE965" s="2"/>
      <c r="AF965" t="str">
        <f>_xlfn.CONCAT(FINI_grouping_for_wheel[[#This Row],[SEFI/Plant]],"/",IF(FINI_grouping_for_wheel[[#This Row],[RESET recipe combination]]&lt;&gt;"",FINI_grouping_for_wheel[[#This Row],[RESET recipe combination]],FINI_grouping_for_wheel[[#This Row],[Recipe Combination]]),"/",FINI_grouping_for_wheel[[#This Row],[Subgroup]])</f>
        <v>4060643/THDP/x/</v>
      </c>
      <c r="AG9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0.09664905909541102</v>
      </c>
      <c r="AH965">
        <f>_xlfn.LET(_xlpm.pct, FINI_grouping_for_wheel[[#This Row],[% forecast within subgroup]], _xlpm.lote, FINI_grouping_for_wheel[[#This Row],[Lot size considered]], _xlpm.pct*_xlpm.lote)</f>
        <v>816.8908699667035</v>
      </c>
      <c r="AI965" cm="1" t="str">
        <f t="array" aca="1" ref="AI965" ca="1">IFERROR(INDIRECT("FINI_grouping_for_wheel[@["&amp;FINI_grouping_for_wheel[[#This Row],[Selected PV]]&amp;"]]"),"")</f>
        <v/>
      </c>
      <c r="AJ96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8867.44845</v>
      </c>
      <c r="AK96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1.7</v>
      </c>
      <c r="AL965" s="4"/>
      <c r="AM96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131</v>
      </c>
      <c r="AN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6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6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65" t="str">
        <f>_xlfn.CONCAT(FINI_grouping_for_wheel[[#This Row],[Recipe Combination]],FINI_grouping_for_wheel[[#This Row],[Subgroup]])</f>
        <v>K</v>
      </c>
    </row>
    <row r="966" spans="1:55" hidden="1">
      <c r="A966" t="s">
        <v>19</v>
      </c>
      <c r="B966">
        <v>4060643</v>
      </c>
      <c r="C966" t="s">
        <v>3849</v>
      </c>
      <c r="D966">
        <v>8452.13473998</v>
      </c>
      <c r="E966">
        <v>2</v>
      </c>
      <c r="F966">
        <v>0.04</v>
      </c>
      <c r="G966" t="s">
        <v>3857</v>
      </c>
      <c r="H966" t="s">
        <v>3858</v>
      </c>
      <c r="I966">
        <v>405</v>
      </c>
      <c r="J966" t="s">
        <v>90</v>
      </c>
      <c r="K966" t="s">
        <v>406</v>
      </c>
      <c r="L966" t="s">
        <v>407</v>
      </c>
      <c r="M966">
        <v>1385.16885</v>
      </c>
      <c r="N966">
        <v>5.5406754</v>
      </c>
      <c r="O966">
        <v>5860.32975</v>
      </c>
      <c r="P966">
        <v>14344.19298</v>
      </c>
      <c r="Q966">
        <v>0.23636363636363636</v>
      </c>
      <c r="R966">
        <v>1997.77730218</v>
      </c>
      <c r="S966" t="s">
        <v>157</v>
      </c>
      <c r="T966" t="s">
        <v>93</v>
      </c>
      <c r="U966">
        <v>15</v>
      </c>
      <c r="V966" t="s">
        <v>408</v>
      </c>
      <c r="W966" t="s">
        <v>142</v>
      </c>
      <c r="X966" t="s">
        <v>96</v>
      </c>
      <c r="Y966" s="23" t="s">
        <v>97</v>
      </c>
      <c r="AA966">
        <v>1525</v>
      </c>
      <c r="AB966" t="s">
        <v>3859</v>
      </c>
      <c r="AC966" t="s">
        <v>3853</v>
      </c>
      <c r="AE966" s="2"/>
      <c r="AF966" t="str">
        <f>_xlfn.CONCAT(FINI_grouping_for_wheel[[#This Row],[SEFI/Plant]],"/",IF(FINI_grouping_for_wheel[[#This Row],[RESET recipe combination]]&lt;&gt;"",FINI_grouping_for_wheel[[#This Row],[RESET recipe combination]],FINI_grouping_for_wheel[[#This Row],[Recipe Combination]]),"/",FINI_grouping_for_wheel[[#This Row],[Subgroup]])</f>
        <v>4060643/THDP/x/</v>
      </c>
      <c r="AG9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0.09656652360515022</v>
      </c>
      <c r="AH966">
        <f>_xlfn.LET(_xlpm.pct, FINI_grouping_for_wheel[[#This Row],[% forecast within subgroup]], _xlpm.lote, FINI_grouping_for_wheel[[#This Row],[Lot size considered]], _xlpm.pct*_xlpm.lote)</f>
        <v>816.1932688821889</v>
      </c>
      <c r="AI966" cm="1" t="str">
        <f t="array" aca="1" ref="AI966" ca="1">IFERROR(INDIRECT("FINI_grouping_for_wheel[@["&amp;FINI_grouping_for_wheel[[#This Row],[Selected PV]]&amp;"]]"),"")</f>
        <v/>
      </c>
      <c r="AJ966">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8867.44845</v>
      </c>
      <c r="AK96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2.1</v>
      </c>
      <c r="AL966" s="4"/>
      <c r="AM966"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131</v>
      </c>
      <c r="AN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6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6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66" t="str">
        <f>_xlfn.CONCAT(FINI_grouping_for_wheel[[#This Row],[Recipe Combination]],FINI_grouping_for_wheel[[#This Row],[Subgroup]])</f>
        <v>M</v>
      </c>
    </row>
    <row r="967" spans="1:55" hidden="1">
      <c r="A967" t="s">
        <v>19</v>
      </c>
      <c r="B967">
        <v>4060643</v>
      </c>
      <c r="C967" t="s">
        <v>3849</v>
      </c>
      <c r="D967">
        <v>8452.13473998</v>
      </c>
      <c r="E967">
        <v>2</v>
      </c>
      <c r="F967">
        <v>0.04</v>
      </c>
      <c r="G967" t="s">
        <v>3860</v>
      </c>
      <c r="H967" t="s">
        <v>3861</v>
      </c>
      <c r="J967" t="s">
        <v>90</v>
      </c>
      <c r="K967" t="s">
        <v>385</v>
      </c>
      <c r="L967" t="s">
        <v>386</v>
      </c>
      <c r="M967">
        <v>4475.1609</v>
      </c>
      <c r="N967">
        <v>17.9006436</v>
      </c>
      <c r="O967">
        <v>5860.32975</v>
      </c>
      <c r="P967">
        <v>14344.19298</v>
      </c>
      <c r="Q967">
        <v>0.76363636363636367</v>
      </c>
      <c r="R967">
        <v>6454.3574378</v>
      </c>
      <c r="S967" t="s">
        <v>157</v>
      </c>
      <c r="T967" t="s">
        <v>93</v>
      </c>
      <c r="U967">
        <v>10</v>
      </c>
      <c r="V967" t="s">
        <v>94</v>
      </c>
      <c r="W967" t="s">
        <v>95</v>
      </c>
      <c r="X967" t="s">
        <v>96</v>
      </c>
      <c r="Y967" s="23" t="s">
        <v>97</v>
      </c>
      <c r="AA967">
        <v>472</v>
      </c>
      <c r="AB967" t="s">
        <v>3862</v>
      </c>
      <c r="AC967" t="s">
        <v>3853</v>
      </c>
      <c r="AE967" s="2"/>
      <c r="AF967" t="str">
        <f>_xlfn.CONCAT(FINI_grouping_for_wheel[[#This Row],[SEFI/Plant]],"/",IF(FINI_grouping_for_wheel[[#This Row],[RESET recipe combination]]&lt;&gt;"",FINI_grouping_for_wheel[[#This Row],[RESET recipe combination]],FINI_grouping_for_wheel[[#This Row],[Recipe Combination]]),"/",FINI_grouping_for_wheel[[#This Row],[Subgroup]])</f>
        <v>4060643/THDP/x/</v>
      </c>
      <c r="AG96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0.3119841531858699</v>
      </c>
      <c r="AH967">
        <f>_xlfn.LET(_xlpm.pct, FINI_grouping_for_wheel[[#This Row],[% forecast within subgroup]], _xlpm.lote, FINI_grouping_for_wheel[[#This Row],[Lot size considered]], _xlpm.pct*_xlpm.lote)</f>
        <v>2636.932099465533</v>
      </c>
      <c r="AI967" cm="1" t="str">
        <f t="array" aca="1" ref="AI967" ca="1">IFERROR(INDIRECT("FINI_grouping_for_wheel[@["&amp;FINI_grouping_for_wheel[[#This Row],[Selected PV]]&amp;"]]"),"")</f>
        <v/>
      </c>
      <c r="AJ96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8867.44845</v>
      </c>
      <c r="AK96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67" s="4"/>
      <c r="AM96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131</v>
      </c>
      <c r="AN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6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6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67" t="str">
        <f>_xlfn.CONCAT(FINI_grouping_for_wheel[[#This Row],[Recipe Combination]],FINI_grouping_for_wheel[[#This Row],[Subgroup]])</f>
        <v>M</v>
      </c>
    </row>
    <row r="968" spans="1:55" hidden="1">
      <c r="A968" t="s">
        <v>19</v>
      </c>
      <c r="B968">
        <v>4060643</v>
      </c>
      <c r="C968" t="s">
        <v>3849</v>
      </c>
      <c r="D968">
        <v>8452.13473998</v>
      </c>
      <c r="E968">
        <v>2</v>
      </c>
      <c r="F968">
        <v>0.04</v>
      </c>
      <c r="G968" t="s">
        <v>3863</v>
      </c>
      <c r="H968" t="s">
        <v>3864</v>
      </c>
      <c r="I968">
        <v>300</v>
      </c>
      <c r="J968" t="s">
        <v>90</v>
      </c>
      <c r="K968" t="s">
        <v>188</v>
      </c>
      <c r="L968" t="s">
        <v>189</v>
      </c>
      <c r="M968">
        <v>1912.006575</v>
      </c>
      <c r="N968">
        <v>7.6480263</v>
      </c>
      <c r="O968">
        <v>1912.006575</v>
      </c>
      <c r="P968">
        <v>14344.19298</v>
      </c>
      <c r="Q968">
        <v>1</v>
      </c>
      <c r="R968">
        <v>8452.13473998</v>
      </c>
      <c r="S968" t="s">
        <v>173</v>
      </c>
      <c r="T968" t="s">
        <v>93</v>
      </c>
      <c r="U968">
        <v>5</v>
      </c>
      <c r="V968" t="s">
        <v>119</v>
      </c>
      <c r="W968" t="s">
        <v>142</v>
      </c>
      <c r="X968" t="s">
        <v>96</v>
      </c>
      <c r="Y968" s="23" t="s">
        <v>120</v>
      </c>
      <c r="AA968">
        <v>1105</v>
      </c>
      <c r="AB968" t="s">
        <v>3865</v>
      </c>
      <c r="AC968" t="s">
        <v>3853</v>
      </c>
      <c r="AE968" s="2"/>
      <c r="AF968" t="str">
        <f>_xlfn.CONCAT(FINI_grouping_for_wheel[[#This Row],[SEFI/Plant]],"/",IF(FINI_grouping_for_wheel[[#This Row],[RESET recipe combination]]&lt;&gt;"",FINI_grouping_for_wheel[[#This Row],[RESET recipe combination]],FINI_grouping_for_wheel[[#This Row],[Recipe Combination]]),"/",FINI_grouping_for_wheel[[#This Row],[Subgroup]])</f>
        <v>4060643/THDP/x/</v>
      </c>
      <c r="AG9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0.13329481677121163</v>
      </c>
      <c r="AH968">
        <f>_xlfn.LET(_xlpm.pct, FINI_grouping_for_wheel[[#This Row],[% forecast within subgroup]], _xlpm.lote, FINI_grouping_for_wheel[[#This Row],[Lot size considered]], _xlpm.pct*_xlpm.lote)</f>
        <v>1126.6257514912265</v>
      </c>
      <c r="AI968" cm="1" t="str">
        <f t="array" aca="1" ref="AI968" ca="1">IFERROR(INDIRECT("FINI_grouping_for_wheel[@["&amp;FINI_grouping_for_wheel[[#This Row],[Selected PV]]&amp;"]]"),"")</f>
        <v/>
      </c>
      <c r="AJ96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8867.44845</v>
      </c>
      <c r="AK96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3.9</v>
      </c>
      <c r="AL968" s="4"/>
      <c r="AM96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131</v>
      </c>
      <c r="AN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6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6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68" t="str">
        <f>_xlfn.CONCAT(FINI_grouping_for_wheel[[#This Row],[Recipe Combination]],FINI_grouping_for_wheel[[#This Row],[Subgroup]])</f>
        <v>P</v>
      </c>
    </row>
    <row r="969" spans="1:55" hidden="1">
      <c r="A969" t="s">
        <v>19</v>
      </c>
      <c r="B969">
        <v>4207941</v>
      </c>
      <c r="C969" t="s">
        <v>3866</v>
      </c>
      <c r="D969">
        <v>8779.96924393</v>
      </c>
      <c r="E969">
        <v>2</v>
      </c>
      <c r="F969">
        <v>0.04</v>
      </c>
      <c r="G969" t="s">
        <v>3867</v>
      </c>
      <c r="H969" t="s">
        <v>3868</v>
      </c>
      <c r="I969">
        <v>310.08</v>
      </c>
      <c r="J969" t="s">
        <v>90</v>
      </c>
      <c r="K969" t="s">
        <v>299</v>
      </c>
      <c r="L969" t="s">
        <v>300</v>
      </c>
      <c r="M969">
        <v>14784.60564</v>
      </c>
      <c r="N969">
        <v>59.13842256</v>
      </c>
      <c r="O969">
        <v>14784.60564</v>
      </c>
      <c r="P969">
        <v>14784.60564</v>
      </c>
      <c r="Q969">
        <v>1</v>
      </c>
      <c r="R969">
        <v>8779.96924393</v>
      </c>
      <c r="S969" t="s">
        <v>294</v>
      </c>
      <c r="T969" t="s">
        <v>93</v>
      </c>
      <c r="U969">
        <v>12.92</v>
      </c>
      <c r="V969" t="s">
        <v>301</v>
      </c>
      <c r="W969" t="s">
        <v>142</v>
      </c>
      <c r="X969" t="s">
        <v>128</v>
      </c>
      <c r="Y969" s="23" t="s">
        <v>129</v>
      </c>
      <c r="AA969">
        <v>148</v>
      </c>
      <c r="AB969" t="s">
        <v>3869</v>
      </c>
      <c r="AC969" t="s">
        <v>3870</v>
      </c>
      <c r="AE969" s="2"/>
      <c r="AF969" t="str">
        <f>_xlfn.CONCAT(FINI_grouping_for_wheel[[#This Row],[SEFI/Plant]],"/",IF(FINI_grouping_for_wheel[[#This Row],[RESET recipe combination]]&lt;&gt;"",FINI_grouping_for_wheel[[#This Row],[RESET recipe combination]],FINI_grouping_for_wheel[[#This Row],[Recipe Combination]]),"/",FINI_grouping_for_wheel[[#This Row],[Subgroup]])</f>
        <v>4207941/THDP/x/</v>
      </c>
      <c r="AG9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69">
        <f>_xlfn.LET(_xlpm.pct, FINI_grouping_for_wheel[[#This Row],[% forecast within subgroup]], _xlpm.lote, FINI_grouping_for_wheel[[#This Row],[Lot size considered]], _xlpm.pct*_xlpm.lote)</f>
        <v>8779.96924393</v>
      </c>
      <c r="AI969" cm="1" t="str">
        <f t="array" aca="1" ref="AI969" ca="1">IFERROR(INDIRECT("FINI_grouping_for_wheel[@["&amp;FINI_grouping_for_wheel[[#This Row],[Selected PV]]&amp;"]]"),"")</f>
        <v/>
      </c>
      <c r="AJ96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8900.59779</v>
      </c>
      <c r="AK96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28.7</v>
      </c>
      <c r="AL969" s="4"/>
      <c r="AM96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128</v>
      </c>
      <c r="AN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6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6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69" t="str">
        <f>_xlfn.CONCAT(FINI_grouping_for_wheel[[#This Row],[Recipe Combination]],FINI_grouping_for_wheel[[#This Row],[Subgroup]])</f>
        <v>C</v>
      </c>
    </row>
    <row r="970" spans="1:55" hidden="1">
      <c r="A970" t="s">
        <v>19</v>
      </c>
      <c r="B970">
        <v>4931299</v>
      </c>
      <c r="C970" t="s">
        <v>3871</v>
      </c>
      <c r="D970">
        <v>2767.68716642</v>
      </c>
      <c r="E970">
        <v>2</v>
      </c>
      <c r="F970">
        <v>0.04</v>
      </c>
      <c r="G970" t="s">
        <v>3872</v>
      </c>
      <c r="H970" t="s">
        <v>3873</v>
      </c>
      <c r="I970">
        <v>300</v>
      </c>
      <c r="J970" t="s">
        <v>3777</v>
      </c>
      <c r="K970" t="s">
        <v>292</v>
      </c>
      <c r="L970" t="s">
        <v>293</v>
      </c>
      <c r="M970">
        <v>4199.311035</v>
      </c>
      <c r="N970">
        <v>16.79724414</v>
      </c>
      <c r="O970">
        <v>4199.311035</v>
      </c>
      <c r="P970">
        <v>4199.311035</v>
      </c>
      <c r="Q970">
        <v>1</v>
      </c>
      <c r="R970">
        <v>2767.68716642</v>
      </c>
      <c r="S970" t="s">
        <v>3550</v>
      </c>
      <c r="T970" t="s">
        <v>93</v>
      </c>
      <c r="U970">
        <v>12.5</v>
      </c>
      <c r="V970" t="s">
        <v>295</v>
      </c>
      <c r="W970" t="s">
        <v>142</v>
      </c>
      <c r="X970" t="s">
        <v>128</v>
      </c>
      <c r="Y970" s="23" t="s">
        <v>120</v>
      </c>
      <c r="AA970">
        <v>165</v>
      </c>
      <c r="AB970" t="s">
        <v>3874</v>
      </c>
      <c r="AC970" t="s">
        <v>3875</v>
      </c>
      <c r="AE970" s="2"/>
      <c r="AF970" t="str">
        <f>_xlfn.CONCAT(FINI_grouping_for_wheel[[#This Row],[SEFI/Plant]],"/",IF(FINI_grouping_for_wheel[[#This Row],[RESET recipe combination]]&lt;&gt;"",FINI_grouping_for_wheel[[#This Row],[RESET recipe combination]],FINI_grouping_for_wheel[[#This Row],[Recipe Combination]]),"/",FINI_grouping_for_wheel[[#This Row],[Subgroup]])</f>
        <v>4931299/THDP/x/</v>
      </c>
      <c r="AG9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70">
        <f>_xlfn.LET(_xlpm.pct, FINI_grouping_for_wheel[[#This Row],[% forecast within subgroup]], _xlpm.lote, FINI_grouping_for_wheel[[#This Row],[Lot size considered]], _xlpm.pct*_xlpm.lote)</f>
        <v>2767.68716642</v>
      </c>
      <c r="AI970" cm="1" t="str">
        <f t="array" aca="1" ref="AI970" ca="1">IFERROR(INDIRECT("FINI_grouping_for_wheel[@["&amp;FINI_grouping_for_wheel[[#This Row],[Selected PV]]&amp;"]]"),"")</f>
        <v/>
      </c>
      <c r="AJ97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8596.334205</v>
      </c>
      <c r="AK97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28.7</v>
      </c>
      <c r="AL970" s="4"/>
      <c r="AM97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435</v>
      </c>
      <c r="AN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7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7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70" t="str">
        <f>_xlfn.CONCAT(FINI_grouping_for_wheel[[#This Row],[Recipe Combination]],FINI_grouping_for_wheel[[#This Row],[Subgroup]])</f>
        <v>7</v>
      </c>
    </row>
    <row r="971" spans="1:55" hidden="1">
      <c r="A971" t="s">
        <v>19</v>
      </c>
      <c r="B971">
        <v>4311315</v>
      </c>
      <c r="C971" t="s">
        <v>3876</v>
      </c>
      <c r="D971">
        <v>8680.20061418</v>
      </c>
      <c r="E971">
        <v>2</v>
      </c>
      <c r="F971">
        <v>0.04</v>
      </c>
      <c r="G971" t="s">
        <v>3877</v>
      </c>
      <c r="H971" t="s">
        <v>3878</v>
      </c>
      <c r="I971">
        <v>440</v>
      </c>
      <c r="J971" t="s">
        <v>90</v>
      </c>
      <c r="K971" t="s">
        <v>3879</v>
      </c>
      <c r="L971" t="s">
        <v>3880</v>
      </c>
      <c r="M971">
        <v>10915.6041</v>
      </c>
      <c r="N971">
        <v>43.6624164</v>
      </c>
      <c r="O971">
        <v>10915.6041</v>
      </c>
      <c r="P971">
        <v>10915.6041</v>
      </c>
      <c r="Q971">
        <v>1</v>
      </c>
      <c r="R971">
        <v>8680.20061418</v>
      </c>
      <c r="S971" t="s">
        <v>471</v>
      </c>
      <c r="T971" t="s">
        <v>93</v>
      </c>
      <c r="U971">
        <v>10</v>
      </c>
      <c r="V971" t="s">
        <v>94</v>
      </c>
      <c r="W971" t="s">
        <v>95</v>
      </c>
      <c r="X971" t="s">
        <v>96</v>
      </c>
      <c r="Y971" s="23" t="s">
        <v>97</v>
      </c>
      <c r="AA971">
        <v>199</v>
      </c>
      <c r="AB971" t="s">
        <v>3881</v>
      </c>
      <c r="AC971" t="s">
        <v>3882</v>
      </c>
      <c r="AE971" s="2"/>
      <c r="AF971" t="str">
        <f>_xlfn.CONCAT(FINI_grouping_for_wheel[[#This Row],[SEFI/Plant]],"/",IF(FINI_grouping_for_wheel[[#This Row],[RESET recipe combination]]&lt;&gt;"",FINI_grouping_for_wheel[[#This Row],[RESET recipe combination]],FINI_grouping_for_wheel[[#This Row],[Recipe Combination]]),"/",FINI_grouping_for_wheel[[#This Row],[Subgroup]])</f>
        <v>4311315/THDP/x/</v>
      </c>
      <c r="AG9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71">
        <f>_xlfn.LET(_xlpm.pct, FINI_grouping_for_wheel[[#This Row],[% forecast within subgroup]], _xlpm.lote, FINI_grouping_for_wheel[[#This Row],[Lot size considered]], _xlpm.pct*_xlpm.lote)</f>
        <v>8680.20061418</v>
      </c>
      <c r="AI971" cm="1" t="str">
        <f t="array" aca="1" ref="AI971" ca="1">IFERROR(INDIRECT("FINI_grouping_for_wheel[@["&amp;FINI_grouping_for_wheel[[#This Row],[Selected PV]]&amp;"]]"),"")</f>
        <v/>
      </c>
      <c r="AJ97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8784.5751</v>
      </c>
      <c r="AK97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20</v>
      </c>
      <c r="AL971" s="4"/>
      <c r="AM97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171</v>
      </c>
      <c r="AN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7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7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71" t="str">
        <f>_xlfn.CONCAT(FINI_grouping_for_wheel[[#This Row],[Recipe Combination]],FINI_grouping_for_wheel[[#This Row],[Subgroup]])</f>
        <v/>
      </c>
    </row>
    <row r="972" spans="1:55" hidden="1">
      <c r="A972" t="s">
        <v>20</v>
      </c>
      <c r="B972">
        <v>4133719</v>
      </c>
      <c r="C972" t="s">
        <v>3883</v>
      </c>
      <c r="D972">
        <v>8904.43163067</v>
      </c>
      <c r="E972">
        <v>1</v>
      </c>
      <c r="F972">
        <v>0.02</v>
      </c>
      <c r="G972" t="s">
        <v>3884</v>
      </c>
      <c r="H972" t="s">
        <v>3885</v>
      </c>
      <c r="J972" t="s">
        <v>90</v>
      </c>
      <c r="M972">
        <v>737.572815</v>
      </c>
      <c r="N972">
        <v>2.95029126</v>
      </c>
      <c r="O972">
        <v>737.572815</v>
      </c>
      <c r="P972">
        <v>737.572815</v>
      </c>
      <c r="Q972">
        <v>1</v>
      </c>
      <c r="R972">
        <v>8904.43163067</v>
      </c>
      <c r="T972" t="s">
        <v>93</v>
      </c>
      <c r="U972">
        <v>12.5</v>
      </c>
      <c r="AA972">
        <v>3018</v>
      </c>
      <c r="AB972" t="s">
        <v>3886</v>
      </c>
      <c r="AC972" t="s">
        <v>3887</v>
      </c>
      <c r="AE972" s="2"/>
      <c r="AF972" t="str">
        <f>_xlfn.CONCAT(FINI_grouping_for_wheel[[#This Row],[SEFI/Plant]],"/",IF(FINI_grouping_for_wheel[[#This Row],[RESET recipe combination]]&lt;&gt;"",FINI_grouping_for_wheel[[#This Row],[RESET recipe combination]],FINI_grouping_for_wheel[[#This Row],[Recipe Combination]]),"/",FINI_grouping_for_wheel[[#This Row],[Subgroup]])</f>
        <v>4133719/THDP/x/</v>
      </c>
      <c r="AG97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72">
        <f>_xlfn.LET(_xlpm.pct, FINI_grouping_for_wheel[[#This Row],[% forecast within subgroup]], _xlpm.lote, FINI_grouping_for_wheel[[#This Row],[Lot size considered]], _xlpm.pct*_xlpm.lote)</f>
        <v>8904.43163067</v>
      </c>
      <c r="AI972" cm="1" t="str">
        <f t="array" aca="1" ref="AI972" ca="1">IFERROR(INDIRECT("FINI_grouping_for_wheel[@["&amp;FINI_grouping_for_wheel[[#This Row],[Selected PV]]&amp;"]]"),"")</f>
        <v/>
      </c>
      <c r="AJ97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8907.70122</v>
      </c>
      <c r="AK972"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#DIV/0!</v>
      </c>
      <c r="AL972" s="4"/>
      <c r="AM97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2566</v>
      </c>
      <c r="AN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7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7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72" t="str">
        <f>_xlfn.CONCAT(FINI_grouping_for_wheel[[#This Row],[Recipe Combination]],FINI_grouping_for_wheel[[#This Row],[Subgroup]])</f>
        <v/>
      </c>
    </row>
    <row r="973" spans="1:55" hidden="1">
      <c r="A973" t="s">
        <v>20</v>
      </c>
      <c r="B973">
        <v>4430246</v>
      </c>
      <c r="C973" t="s">
        <v>3888</v>
      </c>
      <c r="D973">
        <v>9165.18406347</v>
      </c>
      <c r="E973">
        <v>1</v>
      </c>
      <c r="F973">
        <v>0.02</v>
      </c>
      <c r="G973" t="s">
        <v>3889</v>
      </c>
      <c r="H973" t="s">
        <v>3890</v>
      </c>
      <c r="I973">
        <v>375</v>
      </c>
      <c r="J973" t="s">
        <v>3777</v>
      </c>
      <c r="K973" t="s">
        <v>3891</v>
      </c>
      <c r="L973" t="s">
        <v>3892</v>
      </c>
      <c r="M973">
        <v>8251.81785</v>
      </c>
      <c r="N973">
        <v>33.0072714</v>
      </c>
      <c r="O973">
        <v>8251.81785</v>
      </c>
      <c r="P973">
        <v>8251.81785</v>
      </c>
      <c r="Q973">
        <v>1</v>
      </c>
      <c r="R973">
        <v>9165.18406347</v>
      </c>
      <c r="S973" t="s">
        <v>104</v>
      </c>
      <c r="T973" t="s">
        <v>93</v>
      </c>
      <c r="U973">
        <v>2.5</v>
      </c>
      <c r="V973" t="s">
        <v>105</v>
      </c>
      <c r="W973" t="s">
        <v>95</v>
      </c>
      <c r="X973" t="s">
        <v>106</v>
      </c>
      <c r="Y973" s="23" t="s">
        <v>107</v>
      </c>
      <c r="AA973">
        <v>278</v>
      </c>
      <c r="AB973" t="s">
        <v>3893</v>
      </c>
      <c r="AC973" t="s">
        <v>3894</v>
      </c>
      <c r="AE973" s="2"/>
      <c r="AF973" t="str">
        <f>_xlfn.CONCAT(FINI_grouping_for_wheel[[#This Row],[SEFI/Plant]],"/",IF(FINI_grouping_for_wheel[[#This Row],[RESET recipe combination]]&lt;&gt;"",FINI_grouping_for_wheel[[#This Row],[RESET recipe combination]],FINI_grouping_for_wheel[[#This Row],[Recipe Combination]]),"/",FINI_grouping_for_wheel[[#This Row],[Subgroup]])</f>
        <v>4430246/THDP/x/</v>
      </c>
      <c r="AG97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73">
        <f>_xlfn.LET(_xlpm.pct, FINI_grouping_for_wheel[[#This Row],[% forecast within subgroup]], _xlpm.lote, FINI_grouping_for_wheel[[#This Row],[Lot size considered]], _xlpm.pct*_xlpm.lote)</f>
        <v>9165.18406347</v>
      </c>
      <c r="AI973" cm="1" t="str">
        <f t="array" aca="1" ref="AI973" ca="1">IFERROR(INDIRECT("FINI_grouping_for_wheel[@["&amp;FINI_grouping_for_wheel[[#This Row],[Selected PV]]&amp;"]]"),"")</f>
        <v/>
      </c>
      <c r="AJ973"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7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73" s="4"/>
      <c r="AM973"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7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7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73" t="str">
        <f>_xlfn.CONCAT(FINI_grouping_for_wheel[[#This Row],[Recipe Combination]],FINI_grouping_for_wheel[[#This Row],[Subgroup]])</f>
        <v>0</v>
      </c>
    </row>
    <row r="974" spans="1:55" hidden="1">
      <c r="A974" t="s">
        <v>20</v>
      </c>
      <c r="B974">
        <v>4025136</v>
      </c>
      <c r="C974" t="s">
        <v>3895</v>
      </c>
      <c r="D974">
        <v>8681.47130439</v>
      </c>
      <c r="E974">
        <v>1</v>
      </c>
      <c r="F974">
        <v>0.02</v>
      </c>
      <c r="G974" t="s">
        <v>3896</v>
      </c>
      <c r="H974" t="s">
        <v>3897</v>
      </c>
      <c r="I974">
        <v>360</v>
      </c>
      <c r="J974" t="s">
        <v>90</v>
      </c>
      <c r="K974" t="s">
        <v>3898</v>
      </c>
      <c r="L974" t="s">
        <v>3899</v>
      </c>
      <c r="M974">
        <v>8441.24265</v>
      </c>
      <c r="N974">
        <v>33.7649706</v>
      </c>
      <c r="O974">
        <v>8441.24265</v>
      </c>
      <c r="P974">
        <v>8441.24265</v>
      </c>
      <c r="Q974">
        <v>1</v>
      </c>
      <c r="R974">
        <v>8681.47130439</v>
      </c>
      <c r="S974" t="s">
        <v>1156</v>
      </c>
      <c r="T974" t="s">
        <v>93</v>
      </c>
      <c r="U974">
        <v>10</v>
      </c>
      <c r="V974" t="s">
        <v>158</v>
      </c>
      <c r="W974" t="s">
        <v>159</v>
      </c>
      <c r="X974" t="s">
        <v>96</v>
      </c>
      <c r="Y974" s="23" t="s">
        <v>97</v>
      </c>
      <c r="AA974">
        <v>257</v>
      </c>
      <c r="AB974" t="s">
        <v>3900</v>
      </c>
      <c r="AC974" t="s">
        <v>3901</v>
      </c>
      <c r="AE974" s="2"/>
      <c r="AF974" t="str">
        <f>_xlfn.CONCAT(FINI_grouping_for_wheel[[#This Row],[SEFI/Plant]],"/",IF(FINI_grouping_for_wheel[[#This Row],[RESET recipe combination]]&lt;&gt;"",FINI_grouping_for_wheel[[#This Row],[RESET recipe combination]],FINI_grouping_for_wheel[[#This Row],[Recipe Combination]]),"/",FINI_grouping_for_wheel[[#This Row],[Subgroup]])</f>
        <v>4025136/THDP/x/</v>
      </c>
      <c r="AG9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74">
        <f>_xlfn.LET(_xlpm.pct, FINI_grouping_for_wheel[[#This Row],[% forecast within subgroup]], _xlpm.lote, FINI_grouping_for_wheel[[#This Row],[Lot size considered]], _xlpm.pct*_xlpm.lote)</f>
        <v>8681.47130439</v>
      </c>
      <c r="AI974" cm="1" t="str">
        <f t="array" aca="1" ref="AI974" ca="1">IFERROR(INDIRECT("FINI_grouping_for_wheel[@["&amp;FINI_grouping_for_wheel[[#This Row],[Selected PV]]&amp;"]]"),"")</f>
        <v/>
      </c>
      <c r="AJ974">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8803.51758</v>
      </c>
      <c r="AK97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24.5</v>
      </c>
      <c r="AL974" s="4"/>
      <c r="AM974"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222</v>
      </c>
      <c r="AN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7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7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74" t="str">
        <f>_xlfn.CONCAT(FINI_grouping_for_wheel[[#This Row],[Recipe Combination]],FINI_grouping_for_wheel[[#This Row],[Subgroup]])</f>
        <v>B</v>
      </c>
    </row>
    <row r="975" spans="1:55" hidden="1">
      <c r="A975" t="s">
        <v>20</v>
      </c>
      <c r="B975">
        <v>4588900</v>
      </c>
      <c r="C975" t="s">
        <v>3902</v>
      </c>
      <c r="D975">
        <v>1654.59385439</v>
      </c>
      <c r="E975">
        <v>1</v>
      </c>
      <c r="F975">
        <v>0.02</v>
      </c>
      <c r="G975" t="s">
        <v>3903</v>
      </c>
      <c r="H975" t="s">
        <v>3904</v>
      </c>
      <c r="I975">
        <v>375</v>
      </c>
      <c r="J975" t="s">
        <v>3777</v>
      </c>
      <c r="K975" t="s">
        <v>1216</v>
      </c>
      <c r="L975" t="s">
        <v>1217</v>
      </c>
      <c r="M975">
        <v>1310.582835</v>
      </c>
      <c r="N975">
        <v>5.24233134</v>
      </c>
      <c r="O975">
        <v>1310.582835</v>
      </c>
      <c r="P975">
        <v>1310.582835</v>
      </c>
      <c r="Q975">
        <v>1</v>
      </c>
      <c r="R975">
        <v>1654.59385439</v>
      </c>
      <c r="S975" t="s">
        <v>266</v>
      </c>
      <c r="T975" t="s">
        <v>93</v>
      </c>
      <c r="U975">
        <v>2.5</v>
      </c>
      <c r="V975" t="s">
        <v>105</v>
      </c>
      <c r="W975" t="s">
        <v>142</v>
      </c>
      <c r="X975" t="s">
        <v>106</v>
      </c>
      <c r="Y975" s="23" t="s">
        <v>107</v>
      </c>
      <c r="AA975">
        <v>316</v>
      </c>
      <c r="AB975" t="s">
        <v>3905</v>
      </c>
      <c r="AC975" t="s">
        <v>3906</v>
      </c>
      <c r="AE975" s="2"/>
      <c r="AF975" t="str">
        <f>_xlfn.CONCAT(FINI_grouping_for_wheel[[#This Row],[SEFI/Plant]],"/",IF(FINI_grouping_for_wheel[[#This Row],[RESET recipe combination]]&lt;&gt;"",FINI_grouping_for_wheel[[#This Row],[RESET recipe combination]],FINI_grouping_for_wheel[[#This Row],[Recipe Combination]]),"/",FINI_grouping_for_wheel[[#This Row],[Subgroup]])</f>
        <v>4588900/THDP/x/</v>
      </c>
      <c r="AG9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75">
        <f>_xlfn.LET(_xlpm.pct, FINI_grouping_for_wheel[[#This Row],[% forecast within subgroup]], _xlpm.lote, FINI_grouping_for_wheel[[#This Row],[Lot size considered]], _xlpm.pct*_xlpm.lote)</f>
        <v>1654.59385439</v>
      </c>
      <c r="AI975" cm="1" t="str">
        <f t="array" aca="1" ref="AI975" ca="1">IFERROR(INDIRECT("FINI_grouping_for_wheel[@["&amp;FINI_grouping_for_wheel[[#This Row],[Selected PV]]&amp;"]]"),"")</f>
        <v/>
      </c>
      <c r="AJ975">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3313.750095</v>
      </c>
      <c r="AK97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8.8</v>
      </c>
      <c r="AL975" s="4"/>
      <c r="AM975"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537</v>
      </c>
      <c r="AN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7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7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75" t="str">
        <f>_xlfn.CONCAT(FINI_grouping_for_wheel[[#This Row],[Recipe Combination]],FINI_grouping_for_wheel[[#This Row],[Subgroup]])</f>
        <v>1</v>
      </c>
    </row>
    <row r="976" spans="1:55" hidden="1">
      <c r="A976" t="s">
        <v>20</v>
      </c>
      <c r="B976">
        <v>4045252</v>
      </c>
      <c r="C976" t="s">
        <v>3907</v>
      </c>
      <c r="D976">
        <v>3140.636875</v>
      </c>
      <c r="E976">
        <v>1</v>
      </c>
      <c r="F976">
        <v>0.02</v>
      </c>
      <c r="G976" t="s">
        <v>3908</v>
      </c>
      <c r="H976" t="s">
        <v>3909</v>
      </c>
      <c r="I976">
        <v>375</v>
      </c>
      <c r="J976" t="s">
        <v>3777</v>
      </c>
      <c r="K976" t="s">
        <v>1216</v>
      </c>
      <c r="L976" t="s">
        <v>1217</v>
      </c>
      <c r="M976">
        <v>1541.44431</v>
      </c>
      <c r="N976">
        <v>6.16577724</v>
      </c>
      <c r="O976">
        <v>1541.44431</v>
      </c>
      <c r="P976">
        <v>1541.44431</v>
      </c>
      <c r="Q976">
        <v>1</v>
      </c>
      <c r="R976">
        <v>3140.636875</v>
      </c>
      <c r="S976" t="s">
        <v>266</v>
      </c>
      <c r="T976" t="s">
        <v>93</v>
      </c>
      <c r="U976">
        <v>2.5</v>
      </c>
      <c r="V976" t="s">
        <v>105</v>
      </c>
      <c r="W976" t="s">
        <v>142</v>
      </c>
      <c r="X976" t="s">
        <v>106</v>
      </c>
      <c r="Y976" s="23" t="s">
        <v>107</v>
      </c>
      <c r="AA976">
        <v>509</v>
      </c>
      <c r="AB976" t="s">
        <v>3910</v>
      </c>
      <c r="AC976" t="s">
        <v>3911</v>
      </c>
      <c r="AE976" s="2"/>
      <c r="AF976" t="str">
        <f>_xlfn.CONCAT(FINI_grouping_for_wheel[[#This Row],[SEFI/Plant]],"/",IF(FINI_grouping_for_wheel[[#This Row],[RESET recipe combination]]&lt;&gt;"",FINI_grouping_for_wheel[[#This Row],[RESET recipe combination]],FINI_grouping_for_wheel[[#This Row],[Recipe Combination]]),"/",FINI_grouping_for_wheel[[#This Row],[Subgroup]])</f>
        <v>4045252/THDP/x/</v>
      </c>
      <c r="AG97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76">
        <f>_xlfn.LET(_xlpm.pct, FINI_grouping_for_wheel[[#This Row],[% forecast within subgroup]], _xlpm.lote, FINI_grouping_for_wheel[[#This Row],[Lot size considered]], _xlpm.pct*_xlpm.lote)</f>
        <v>3140.636875</v>
      </c>
      <c r="AI976" cm="1" t="str">
        <f t="array" aca="1" ref="AI976" ca="1">IFERROR(INDIRECT("FINI_grouping_for_wheel[@["&amp;FINI_grouping_for_wheel[[#This Row],[Selected PV]]&amp;"]]"),"")</f>
        <v/>
      </c>
      <c r="AJ976"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7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76" s="4"/>
      <c r="AM976"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7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7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76" t="str">
        <f>_xlfn.CONCAT(FINI_grouping_for_wheel[[#This Row],[Recipe Combination]],FINI_grouping_for_wheel[[#This Row],[Subgroup]])</f>
        <v>1</v>
      </c>
    </row>
    <row r="977" spans="1:55" hidden="1">
      <c r="A977" t="s">
        <v>20</v>
      </c>
      <c r="B977">
        <v>4352395</v>
      </c>
      <c r="C977" t="s">
        <v>3912</v>
      </c>
      <c r="D977">
        <v>8307.56412709</v>
      </c>
      <c r="E977">
        <v>1</v>
      </c>
      <c r="F977">
        <v>0.02</v>
      </c>
      <c r="G977" t="s">
        <v>3913</v>
      </c>
      <c r="H977" t="s">
        <v>3914</v>
      </c>
      <c r="I977">
        <v>303.98400000000004</v>
      </c>
      <c r="J977" t="s">
        <v>90</v>
      </c>
      <c r="K977" t="s">
        <v>299</v>
      </c>
      <c r="L977" t="s">
        <v>300</v>
      </c>
      <c r="M977">
        <v>4432.54032</v>
      </c>
      <c r="N977">
        <v>17.73016128</v>
      </c>
      <c r="O977">
        <v>4432.54032</v>
      </c>
      <c r="P977">
        <v>4432.54032</v>
      </c>
      <c r="Q977">
        <v>1</v>
      </c>
      <c r="R977">
        <v>8307.56412709</v>
      </c>
      <c r="S977" t="s">
        <v>118</v>
      </c>
      <c r="T977" t="s">
        <v>93</v>
      </c>
      <c r="U977">
        <v>12.666</v>
      </c>
      <c r="V977" t="s">
        <v>301</v>
      </c>
      <c r="W977" t="s">
        <v>142</v>
      </c>
      <c r="X977" t="s">
        <v>128</v>
      </c>
      <c r="Y977" s="23" t="s">
        <v>129</v>
      </c>
      <c r="AA977">
        <v>469</v>
      </c>
      <c r="AB977" t="s">
        <v>3915</v>
      </c>
      <c r="AC977" t="s">
        <v>3916</v>
      </c>
      <c r="AE977" s="2"/>
      <c r="AF977" t="str">
        <f>_xlfn.CONCAT(FINI_grouping_for_wheel[[#This Row],[SEFI/Plant]],"/",IF(FINI_grouping_for_wheel[[#This Row],[RESET recipe combination]]&lt;&gt;"",FINI_grouping_for_wheel[[#This Row],[RESET recipe combination]],FINI_grouping_for_wheel[[#This Row],[Recipe Combination]]),"/",FINI_grouping_for_wheel[[#This Row],[Subgroup]])</f>
        <v>4352395/THDP/x/</v>
      </c>
      <c r="AG9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77">
        <f>_xlfn.LET(_xlpm.pct, FINI_grouping_for_wheel[[#This Row],[% forecast within subgroup]], _xlpm.lote, FINI_grouping_for_wheel[[#This Row],[Lot size considered]], _xlpm.pct*_xlpm.lote)</f>
        <v>8307.56412709</v>
      </c>
      <c r="AI977" cm="1" t="str">
        <f t="array" aca="1" ref="AI977" ca="1">IFERROR(INDIRECT("FINI_grouping_for_wheel[@["&amp;FINI_grouping_for_wheel[[#This Row],[Selected PV]]&amp;"]]"),"")</f>
        <v/>
      </c>
      <c r="AJ977">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8878.103595</v>
      </c>
      <c r="AK97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29.2</v>
      </c>
      <c r="AL977" s="4"/>
      <c r="AM977"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426</v>
      </c>
      <c r="AN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7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7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77" t="str">
        <f>_xlfn.CONCAT(FINI_grouping_for_wheel[[#This Row],[Recipe Combination]],FINI_grouping_for_wheel[[#This Row],[Subgroup]])</f>
        <v>A</v>
      </c>
    </row>
    <row r="978" spans="1:55" hidden="1">
      <c r="A978" t="s">
        <v>20</v>
      </c>
      <c r="B978">
        <v>4018606</v>
      </c>
      <c r="C978" t="s">
        <v>3917</v>
      </c>
      <c r="D978">
        <v>8833.15002574</v>
      </c>
      <c r="E978">
        <v>1</v>
      </c>
      <c r="F978">
        <v>0.02</v>
      </c>
      <c r="G978" t="s">
        <v>3918</v>
      </c>
      <c r="H978" t="s">
        <v>3919</v>
      </c>
      <c r="I978">
        <v>300</v>
      </c>
      <c r="J978" t="s">
        <v>90</v>
      </c>
      <c r="K978" t="s">
        <v>292</v>
      </c>
      <c r="L978" t="s">
        <v>293</v>
      </c>
      <c r="M978">
        <v>3653.53083</v>
      </c>
      <c r="N978">
        <v>14.61412332</v>
      </c>
      <c r="O978">
        <v>3653.53083</v>
      </c>
      <c r="P978">
        <v>3653.53083</v>
      </c>
      <c r="Q978">
        <v>1</v>
      </c>
      <c r="R978">
        <v>8833.15002574</v>
      </c>
      <c r="S978" t="s">
        <v>471</v>
      </c>
      <c r="T978" t="s">
        <v>93</v>
      </c>
      <c r="U978">
        <v>12.5</v>
      </c>
      <c r="V978" t="s">
        <v>295</v>
      </c>
      <c r="W978" t="s">
        <v>142</v>
      </c>
      <c r="X978" t="s">
        <v>128</v>
      </c>
      <c r="Y978" s="23" t="s">
        <v>120</v>
      </c>
      <c r="AA978">
        <v>604</v>
      </c>
      <c r="AB978" t="s">
        <v>3920</v>
      </c>
      <c r="AC978" t="s">
        <v>3921</v>
      </c>
      <c r="AE978" s="2"/>
      <c r="AF978" t="str">
        <f>_xlfn.CONCAT(FINI_grouping_for_wheel[[#This Row],[SEFI/Plant]],"/",IF(FINI_grouping_for_wheel[[#This Row],[RESET recipe combination]]&lt;&gt;"",FINI_grouping_for_wheel[[#This Row],[RESET recipe combination]],FINI_grouping_for_wheel[[#This Row],[Recipe Combination]]),"/",FINI_grouping_for_wheel[[#This Row],[Subgroup]])</f>
        <v>4018606/THDP/x/</v>
      </c>
      <c r="AG9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78">
        <f>_xlfn.LET(_xlpm.pct, FINI_grouping_for_wheel[[#This Row],[% forecast within subgroup]], _xlpm.lote, FINI_grouping_for_wheel[[#This Row],[Lot size considered]], _xlpm.pct*_xlpm.lote)</f>
        <v>8833.15002574</v>
      </c>
      <c r="AI978" cm="1" t="str">
        <f t="array" aca="1" ref="AI978" ca="1">IFERROR(INDIRECT("FINI_grouping_for_wheel[@["&amp;FINI_grouping_for_wheel[[#This Row],[Selected PV]]&amp;"]]"),"")</f>
        <v/>
      </c>
      <c r="AJ978">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8834.29911</v>
      </c>
      <c r="AK97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29.4</v>
      </c>
      <c r="AL978" s="4"/>
      <c r="AM978"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514</v>
      </c>
      <c r="AN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7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7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78" t="str">
        <f>_xlfn.CONCAT(FINI_grouping_for_wheel[[#This Row],[Recipe Combination]],FINI_grouping_for_wheel[[#This Row],[Subgroup]])</f>
        <v/>
      </c>
    </row>
    <row r="979" spans="1:55" hidden="1">
      <c r="A979" t="s">
        <v>20</v>
      </c>
      <c r="B979">
        <v>4824309</v>
      </c>
      <c r="C979" t="s">
        <v>3922</v>
      </c>
      <c r="D979">
        <v>8715.72167763</v>
      </c>
      <c r="E979">
        <v>1</v>
      </c>
      <c r="F979">
        <v>0.02</v>
      </c>
      <c r="G979" t="s">
        <v>3923</v>
      </c>
      <c r="H979" t="s">
        <v>3924</v>
      </c>
      <c r="I979">
        <v>450</v>
      </c>
      <c r="J979" t="s">
        <v>90</v>
      </c>
      <c r="K979" t="s">
        <v>264</v>
      </c>
      <c r="L979" t="s">
        <v>265</v>
      </c>
      <c r="M979">
        <v>1312.950645</v>
      </c>
      <c r="N979">
        <v>5.25180258</v>
      </c>
      <c r="O979">
        <v>4798.366965</v>
      </c>
      <c r="P979">
        <v>4798.366965</v>
      </c>
      <c r="Q979">
        <v>0.27362447569701454</v>
      </c>
      <c r="R979">
        <v>2384.83477436</v>
      </c>
      <c r="S979" t="s">
        <v>471</v>
      </c>
      <c r="T979" t="s">
        <v>93</v>
      </c>
      <c r="U979">
        <v>2.5</v>
      </c>
      <c r="V979" t="s">
        <v>267</v>
      </c>
      <c r="W979" t="s">
        <v>142</v>
      </c>
      <c r="X979" t="s">
        <v>150</v>
      </c>
      <c r="Y979" s="23" t="s">
        <v>151</v>
      </c>
      <c r="AA979">
        <v>1660</v>
      </c>
      <c r="AB979" t="s">
        <v>3925</v>
      </c>
      <c r="AC979" t="s">
        <v>3926</v>
      </c>
      <c r="AE979" s="2"/>
      <c r="AF979" t="str">
        <f>_xlfn.CONCAT(FINI_grouping_for_wheel[[#This Row],[SEFI/Plant]],"/",IF(FINI_grouping_for_wheel[[#This Row],[RESET recipe combination]]&lt;&gt;"",FINI_grouping_for_wheel[[#This Row],[RESET recipe combination]],FINI_grouping_for_wheel[[#This Row],[Recipe Combination]]),"/",FINI_grouping_for_wheel[[#This Row],[Subgroup]])</f>
        <v>4824309/THDP/x/</v>
      </c>
      <c r="AG9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0.2736244756970146</v>
      </c>
      <c r="AH979">
        <f>_xlfn.LET(_xlpm.pct, FINI_grouping_for_wheel[[#This Row],[% forecast within subgroup]], _xlpm.lote, FINI_grouping_for_wheel[[#This Row],[Lot size considered]], _xlpm.pct*_xlpm.lote)</f>
        <v>2384.834774362613</v>
      </c>
      <c r="AI979" cm="1" t="str">
        <f t="array" aca="1" ref="AI979" ca="1">IFERROR(INDIRECT("FINI_grouping_for_wheel[@["&amp;FINI_grouping_for_wheel[[#This Row],[Selected PV]]&amp;"]]"),"")</f>
        <v/>
      </c>
      <c r="AJ979">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8717.092515</v>
      </c>
      <c r="AK97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5.3</v>
      </c>
      <c r="AL979" s="4"/>
      <c r="AM979"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386</v>
      </c>
      <c r="AN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7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7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79" t="str">
        <f>_xlfn.CONCAT(FINI_grouping_for_wheel[[#This Row],[Recipe Combination]],FINI_grouping_for_wheel[[#This Row],[Subgroup]])</f>
        <v/>
      </c>
    </row>
    <row r="980" spans="1:55" hidden="1">
      <c r="A980" t="s">
        <v>20</v>
      </c>
      <c r="B980">
        <v>4824309</v>
      </c>
      <c r="C980" t="s">
        <v>3922</v>
      </c>
      <c r="D980">
        <v>8715.72167763</v>
      </c>
      <c r="E980">
        <v>1</v>
      </c>
      <c r="F980">
        <v>0.02</v>
      </c>
      <c r="G980" t="s">
        <v>3927</v>
      </c>
      <c r="H980" t="s">
        <v>3928</v>
      </c>
      <c r="I980">
        <v>420</v>
      </c>
      <c r="J980" t="s">
        <v>90</v>
      </c>
      <c r="K980" t="s">
        <v>3929</v>
      </c>
      <c r="L980" t="s">
        <v>3930</v>
      </c>
      <c r="M980">
        <v>3485.41632</v>
      </c>
      <c r="N980">
        <v>13.94166528</v>
      </c>
      <c r="O980">
        <v>4798.366965</v>
      </c>
      <c r="P980">
        <v>4798.366965</v>
      </c>
      <c r="Q980">
        <v>0.72637552430298546</v>
      </c>
      <c r="R980">
        <v>6330.88690327</v>
      </c>
      <c r="S980" t="s">
        <v>471</v>
      </c>
      <c r="T980" t="s">
        <v>93</v>
      </c>
      <c r="U980">
        <v>2.5</v>
      </c>
      <c r="V980" t="s">
        <v>166</v>
      </c>
      <c r="W980" t="s">
        <v>95</v>
      </c>
      <c r="X980" t="s">
        <v>96</v>
      </c>
      <c r="Y980" s="23" t="s">
        <v>167</v>
      </c>
      <c r="AA980">
        <v>625</v>
      </c>
      <c r="AB980" t="s">
        <v>3931</v>
      </c>
      <c r="AC980" t="s">
        <v>3926</v>
      </c>
      <c r="AE980" s="2"/>
      <c r="AF980" t="str">
        <f>_xlfn.CONCAT(FINI_grouping_for_wheel[[#This Row],[SEFI/Plant]],"/",IF(FINI_grouping_for_wheel[[#This Row],[RESET recipe combination]]&lt;&gt;"",FINI_grouping_for_wheel[[#This Row],[RESET recipe combination]],FINI_grouping_for_wheel[[#This Row],[Recipe Combination]]),"/",FINI_grouping_for_wheel[[#This Row],[Subgroup]])</f>
        <v>4824309/THDP/x/</v>
      </c>
      <c r="AG9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0.7263755243029855</v>
      </c>
      <c r="AH980">
        <f>_xlfn.LET(_xlpm.pct, FINI_grouping_for_wheel[[#This Row],[% forecast within subgroup]], _xlpm.lote, FINI_grouping_for_wheel[[#This Row],[Lot size considered]], _xlpm.pct*_xlpm.lote)</f>
        <v>6330.8869032673865</v>
      </c>
      <c r="AI980" cm="1" t="str">
        <f t="array" aca="1" ref="AI980" ca="1">IFERROR(INDIRECT("FINI_grouping_for_wheel[@["&amp;FINI_grouping_for_wheel[[#This Row],[Selected PV]]&amp;"]]"),"")</f>
        <v/>
      </c>
      <c r="AJ980">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8717.092515</v>
      </c>
      <c r="AK98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15.1</v>
      </c>
      <c r="AL980" s="4"/>
      <c r="AM980"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386</v>
      </c>
      <c r="AN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8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8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80" t="str">
        <f>_xlfn.CONCAT(FINI_grouping_for_wheel[[#This Row],[Recipe Combination]],FINI_grouping_for_wheel[[#This Row],[Subgroup]])</f>
        <v/>
      </c>
    </row>
    <row r="981" spans="1:55" hidden="1">
      <c r="A981" t="s">
        <v>20</v>
      </c>
      <c r="B981">
        <v>4100584</v>
      </c>
      <c r="C981" t="s">
        <v>3932</v>
      </c>
      <c r="D981">
        <v>8901.04204062</v>
      </c>
      <c r="E981">
        <v>1</v>
      </c>
      <c r="F981">
        <v>0.02</v>
      </c>
      <c r="G981" t="s">
        <v>3933</v>
      </c>
      <c r="H981" t="s">
        <v>3934</v>
      </c>
      <c r="I981">
        <v>310.08</v>
      </c>
      <c r="J981" t="s">
        <v>90</v>
      </c>
      <c r="K981" t="s">
        <v>299</v>
      </c>
      <c r="L981" t="s">
        <v>300</v>
      </c>
      <c r="M981">
        <v>5369.009175</v>
      </c>
      <c r="N981">
        <v>21.4760367</v>
      </c>
      <c r="O981">
        <v>5369.009175</v>
      </c>
      <c r="P981">
        <v>5369.009175</v>
      </c>
      <c r="Q981">
        <v>1</v>
      </c>
      <c r="R981">
        <v>8901.04204062</v>
      </c>
      <c r="S981" t="s">
        <v>294</v>
      </c>
      <c r="T981" t="s">
        <v>93</v>
      </c>
      <c r="U981">
        <v>12.92</v>
      </c>
      <c r="V981" t="s">
        <v>301</v>
      </c>
      <c r="W981" t="s">
        <v>142</v>
      </c>
      <c r="X981" t="s">
        <v>128</v>
      </c>
      <c r="Y981" s="23" t="s">
        <v>129</v>
      </c>
      <c r="AA981">
        <v>414</v>
      </c>
      <c r="AB981" t="s">
        <v>3935</v>
      </c>
      <c r="AC981" t="s">
        <v>3936</v>
      </c>
      <c r="AE981" s="2"/>
      <c r="AF981" t="str">
        <f>_xlfn.CONCAT(FINI_grouping_for_wheel[[#This Row],[SEFI/Plant]],"/",IF(FINI_grouping_for_wheel[[#This Row],[RESET recipe combination]]&lt;&gt;"",FINI_grouping_for_wheel[[#This Row],[RESET recipe combination]],FINI_grouping_for_wheel[[#This Row],[Recipe Combination]]),"/",FINI_grouping_for_wheel[[#This Row],[Subgroup]])</f>
        <v>4100584/THDP/x/</v>
      </c>
      <c r="AG9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81">
        <f>_xlfn.LET(_xlpm.pct, FINI_grouping_for_wheel[[#This Row],[% forecast within subgroup]], _xlpm.lote, FINI_grouping_for_wheel[[#This Row],[Lot size considered]], _xlpm.pct*_xlpm.lote)</f>
        <v>8901.04204062</v>
      </c>
      <c r="AI981" cm="1" t="str">
        <f t="array" aca="1" ref="AI981" ca="1">IFERROR(INDIRECT("FINI_grouping_for_wheel[@["&amp;FINI_grouping_for_wheel[[#This Row],[Selected PV]]&amp;"]]"),"")</f>
        <v/>
      </c>
      <c r="AJ981">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8902.9656</v>
      </c>
      <c r="AK98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28.7</v>
      </c>
      <c r="AL981" s="4"/>
      <c r="AM981"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352</v>
      </c>
      <c r="AN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8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8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81" t="str">
        <f>_xlfn.CONCAT(FINI_grouping_for_wheel[[#This Row],[Recipe Combination]],FINI_grouping_for_wheel[[#This Row],[Subgroup]])</f>
        <v>C</v>
      </c>
    </row>
    <row r="982" spans="1:55" hidden="1">
      <c r="A982" t="s">
        <v>20</v>
      </c>
      <c r="B982">
        <v>4581100</v>
      </c>
      <c r="C982" t="s">
        <v>3937</v>
      </c>
      <c r="D982">
        <v>8811.99683556</v>
      </c>
      <c r="E982">
        <v>1</v>
      </c>
      <c r="F982">
        <v>0.02</v>
      </c>
      <c r="G982" t="s">
        <v>3938</v>
      </c>
      <c r="H982" t="s">
        <v>3939</v>
      </c>
      <c r="I982">
        <v>300</v>
      </c>
      <c r="J982" t="s">
        <v>90</v>
      </c>
      <c r="K982" t="s">
        <v>552</v>
      </c>
      <c r="L982" t="s">
        <v>553</v>
      </c>
      <c r="M982">
        <v>5251.80258</v>
      </c>
      <c r="N982">
        <v>21.00721032</v>
      </c>
      <c r="O982">
        <v>5251.80258</v>
      </c>
      <c r="P982">
        <v>5251.80258</v>
      </c>
      <c r="Q982">
        <v>1</v>
      </c>
      <c r="R982">
        <v>8811.99683556</v>
      </c>
      <c r="S982" t="s">
        <v>126</v>
      </c>
      <c r="T982" t="s">
        <v>93</v>
      </c>
      <c r="U982">
        <v>12.5</v>
      </c>
      <c r="V982" t="s">
        <v>295</v>
      </c>
      <c r="W982" t="s">
        <v>142</v>
      </c>
      <c r="X982" t="s">
        <v>128</v>
      </c>
      <c r="Y982" s="23" t="s">
        <v>120</v>
      </c>
      <c r="AA982">
        <v>419</v>
      </c>
      <c r="AB982" t="s">
        <v>3940</v>
      </c>
      <c r="AC982" t="s">
        <v>3941</v>
      </c>
      <c r="AE982" s="2"/>
      <c r="AF982" t="str">
        <f>_xlfn.CONCAT(FINI_grouping_for_wheel[[#This Row],[SEFI/Plant]],"/",IF(FINI_grouping_for_wheel[[#This Row],[RESET recipe combination]]&lt;&gt;"",FINI_grouping_for_wheel[[#This Row],[RESET recipe combination]],FINI_grouping_for_wheel[[#This Row],[Recipe Combination]]),"/",FINI_grouping_for_wheel[[#This Row],[Subgroup]])</f>
        <v>4581100/THDP/x/</v>
      </c>
      <c r="AG9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982">
        <f>_xlfn.LET(_xlpm.pct, FINI_grouping_for_wheel[[#This Row],[% forecast within subgroup]], _xlpm.lote, FINI_grouping_for_wheel[[#This Row],[Lot size considered]], _xlpm.pct*_xlpm.lote)</f>
        <v>8811.99683556</v>
      </c>
      <c r="AI982" cm="1" t="str">
        <f t="array" aca="1" ref="AI982" ca="1">IFERROR(INDIRECT("FINI_grouping_for_wheel[@["&amp;FINI_grouping_for_wheel[[#This Row],[Selected PV]]&amp;"]]"),"")</f>
        <v/>
      </c>
      <c r="AJ982">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9209.596995</v>
      </c>
      <c r="AK98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30.7</v>
      </c>
      <c r="AL982" s="4"/>
      <c r="AM982" s="5">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373</v>
      </c>
      <c r="AN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8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8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82" t="str">
        <f>_xlfn.CONCAT(FINI_grouping_for_wheel[[#This Row],[Recipe Combination]],FINI_grouping_for_wheel[[#This Row],[Subgroup]])</f>
        <v>E</v>
      </c>
    </row>
    <row r="983" spans="1:55" hidden="1">
      <c r="A983" t="s">
        <v>21</v>
      </c>
      <c r="G983" t="s">
        <v>3942</v>
      </c>
      <c r="H983" t="s">
        <v>3943</v>
      </c>
      <c r="M983">
        <v>484.217145</v>
      </c>
      <c r="N983">
        <v>1.93686858</v>
      </c>
      <c r="T983" t="s">
        <v>93</v>
      </c>
      <c r="U983">
        <v>0.75</v>
      </c>
      <c r="AB983" t="s">
        <v>3944</v>
      </c>
      <c r="AE983" s="2"/>
      <c r="AF983" t="str">
        <f>_xlfn.CONCAT(FINI_grouping_for_wheel[[#This Row],[SEFI/Plant]],"/",IF(FINI_grouping_for_wheel[[#This Row],[RESET recipe combination]]&lt;&gt;"",FINI_grouping_for_wheel[[#This Row],[RESET recipe combination]],FINI_grouping_for_wheel[[#This Row],[Recipe Combination]]),"/",FINI_grouping_for_wheel[[#This Row],[Subgroup]])</f>
        <v>/x/</v>
      </c>
      <c r="AG98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0.0037060529177238132</v>
      </c>
      <c r="AH983">
        <f>_xlfn.LET(_xlpm.pct, FINI_grouping_for_wheel[[#This Row],[% forecast within subgroup]], _xlpm.lote, FINI_grouping_for_wheel[[#This Row],[Lot size considered]], _xlpm.pct*_xlpm.lote)</f>
        <v>0</v>
      </c>
      <c r="AI983" cm="1" t="str">
        <f t="array" aca="1" ref="AI983" ca="1">IFERROR(INDIRECT("FINI_grouping_for_wheel[@["&amp;FINI_grouping_for_wheel[[#This Row],[Selected PV]]&amp;"]]"),"")</f>
        <v/>
      </c>
      <c r="AJ983"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8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83" s="4"/>
      <c r="AM983"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8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8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83" t="str">
        <f>_xlfn.CONCAT(FINI_grouping_for_wheel[[#This Row],[Recipe Combination]],FINI_grouping_for_wheel[[#This Row],[Subgroup]])</f>
        <v/>
      </c>
    </row>
    <row r="984" spans="1:55" hidden="1">
      <c r="A984" t="s">
        <v>21</v>
      </c>
      <c r="G984" t="s">
        <v>3945</v>
      </c>
      <c r="H984" t="s">
        <v>3946</v>
      </c>
      <c r="M984">
        <v>175.21794</v>
      </c>
      <c r="N984">
        <v>0.70087176</v>
      </c>
      <c r="T984" t="s">
        <v>93</v>
      </c>
      <c r="U984">
        <v>0.75</v>
      </c>
      <c r="AB984" t="s">
        <v>3947</v>
      </c>
      <c r="AE984" s="2"/>
      <c r="AF984" t="str">
        <f>_xlfn.CONCAT(FINI_grouping_for_wheel[[#This Row],[SEFI/Plant]],"/",IF(FINI_grouping_for_wheel[[#This Row],[RESET recipe combination]]&lt;&gt;"",FINI_grouping_for_wheel[[#This Row],[RESET recipe combination]],FINI_grouping_for_wheel[[#This Row],[Recipe Combination]]),"/",FINI_grouping_for_wheel[[#This Row],[Subgroup]])</f>
        <v>/x/</v>
      </c>
      <c r="AG98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0.0013410656034795216</v>
      </c>
      <c r="AH984">
        <f>_xlfn.LET(_xlpm.pct, FINI_grouping_for_wheel[[#This Row],[% forecast within subgroup]], _xlpm.lote, FINI_grouping_for_wheel[[#This Row],[Lot size considered]], _xlpm.pct*_xlpm.lote)</f>
        <v>0</v>
      </c>
      <c r="AI984" cm="1" t="str">
        <f t="array" aca="1" ref="AI984" ca="1">IFERROR(INDIRECT("FINI_grouping_for_wheel[@["&amp;FINI_grouping_for_wheel[[#This Row],[Selected PV]]&amp;"]]"),"")</f>
        <v/>
      </c>
      <c r="AJ984"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8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84" s="4"/>
      <c r="AM984"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8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8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84" t="str">
        <f>_xlfn.CONCAT(FINI_grouping_for_wheel[[#This Row],[Recipe Combination]],FINI_grouping_for_wheel[[#This Row],[Subgroup]])</f>
        <v/>
      </c>
    </row>
    <row r="985" spans="1:55" hidden="1">
      <c r="A985" t="s">
        <v>21</v>
      </c>
      <c r="G985" t="s">
        <v>3948</v>
      </c>
      <c r="H985" t="s">
        <v>3949</v>
      </c>
      <c r="M985">
        <v>237.964905</v>
      </c>
      <c r="N985">
        <v>0.95185962</v>
      </c>
      <c r="T985" t="s">
        <v>93</v>
      </c>
      <c r="U985">
        <v>1</v>
      </c>
      <c r="AB985" t="s">
        <v>3950</v>
      </c>
      <c r="AE985" s="2"/>
      <c r="AF985" t="str">
        <f>_xlfn.CONCAT(FINI_grouping_for_wheel[[#This Row],[SEFI/Plant]],"/",IF(FINI_grouping_for_wheel[[#This Row],[RESET recipe combination]]&lt;&gt;"",FINI_grouping_for_wheel[[#This Row],[RESET recipe combination]],FINI_grouping_for_wheel[[#This Row],[Recipe Combination]]),"/",FINI_grouping_for_wheel[[#This Row],[Subgroup]])</f>
        <v>/x/</v>
      </c>
      <c r="AG98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0.0018213120695904311</v>
      </c>
      <c r="AH985">
        <f>_xlfn.LET(_xlpm.pct, FINI_grouping_for_wheel[[#This Row],[% forecast within subgroup]], _xlpm.lote, FINI_grouping_for_wheel[[#This Row],[Lot size considered]], _xlpm.pct*_xlpm.lote)</f>
        <v>0</v>
      </c>
      <c r="AI985" cm="1" t="str">
        <f t="array" aca="1" ref="AI985" ca="1">IFERROR(INDIRECT("FINI_grouping_for_wheel[@["&amp;FINI_grouping_for_wheel[[#This Row],[Selected PV]]&amp;"]]"),"")</f>
        <v/>
      </c>
      <c r="AJ985"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8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85" s="4"/>
      <c r="AM985"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8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8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85" t="str">
        <f>_xlfn.CONCAT(FINI_grouping_for_wheel[[#This Row],[Recipe Combination]],FINI_grouping_for_wheel[[#This Row],[Subgroup]])</f>
        <v/>
      </c>
    </row>
    <row r="986" spans="1:55" hidden="1">
      <c r="A986" t="s">
        <v>21</v>
      </c>
      <c r="G986" t="s">
        <v>3951</v>
      </c>
      <c r="H986" t="s">
        <v>3952</v>
      </c>
      <c r="M986">
        <v>3326.77305</v>
      </c>
      <c r="N986">
        <v>13.3070922</v>
      </c>
      <c r="T986" t="s">
        <v>93</v>
      </c>
      <c r="U986">
        <v>9.3000000000000007</v>
      </c>
      <c r="AB986" t="s">
        <v>3953</v>
      </c>
      <c r="AE986" s="2"/>
      <c r="AF986" t="str">
        <f>_xlfn.CONCAT(FINI_grouping_for_wheel[[#This Row],[SEFI/Plant]],"/",IF(FINI_grouping_for_wheel[[#This Row],[RESET recipe combination]]&lt;&gt;"",FINI_grouping_for_wheel[[#This Row],[RESET recipe combination]],FINI_grouping_for_wheel[[#This Row],[Recipe Combination]]),"/",FINI_grouping_for_wheel[[#This Row],[Subgroup]])</f>
        <v>/x/</v>
      </c>
      <c r="AG98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0.02546212395795578</v>
      </c>
      <c r="AH986">
        <f>_xlfn.LET(_xlpm.pct, FINI_grouping_for_wheel[[#This Row],[% forecast within subgroup]], _xlpm.lote, FINI_grouping_for_wheel[[#This Row],[Lot size considered]], _xlpm.pct*_xlpm.lote)</f>
        <v>0</v>
      </c>
      <c r="AI986" cm="1" t="str">
        <f t="array" aca="1" ref="AI986" ca="1">IFERROR(INDIRECT("FINI_grouping_for_wheel[@["&amp;FINI_grouping_for_wheel[[#This Row],[Selected PV]]&amp;"]]"),"")</f>
        <v/>
      </c>
      <c r="AJ986"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8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86" s="4"/>
      <c r="AM986"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8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8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86" t="str">
        <f>_xlfn.CONCAT(FINI_grouping_for_wheel[[#This Row],[Recipe Combination]],FINI_grouping_for_wheel[[#This Row],[Subgroup]])</f>
        <v/>
      </c>
    </row>
    <row r="987" spans="1:55" hidden="1">
      <c r="A987" t="s">
        <v>21</v>
      </c>
      <c r="G987" t="s">
        <v>3954</v>
      </c>
      <c r="H987" t="s">
        <v>3955</v>
      </c>
      <c r="M987">
        <v>1213.502625</v>
      </c>
      <c r="N987">
        <v>4.8540105</v>
      </c>
      <c r="T987" t="s">
        <v>93</v>
      </c>
      <c r="U987">
        <v>4.6500000000000004</v>
      </c>
      <c r="AB987" t="s">
        <v>3956</v>
      </c>
      <c r="AE987" s="2"/>
      <c r="AF987" t="str">
        <f>_xlfn.CONCAT(FINI_grouping_for_wheel[[#This Row],[SEFI/Plant]],"/",IF(FINI_grouping_for_wheel[[#This Row],[RESET recipe combination]]&lt;&gt;"",FINI_grouping_for_wheel[[#This Row],[RESET recipe combination]],FINI_grouping_for_wheel[[#This Row],[Recipe Combination]]),"/",FINI_grouping_for_wheel[[#This Row],[Subgroup]])</f>
        <v>/x/</v>
      </c>
      <c r="AG98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0.009287785429503445</v>
      </c>
      <c r="AH987">
        <f>_xlfn.LET(_xlpm.pct, FINI_grouping_for_wheel[[#This Row],[% forecast within subgroup]], _xlpm.lote, FINI_grouping_for_wheel[[#This Row],[Lot size considered]], _xlpm.pct*_xlpm.lote)</f>
        <v>0</v>
      </c>
      <c r="AI987" cm="1" t="str">
        <f t="array" aca="1" ref="AI987" ca="1">IFERROR(INDIRECT("FINI_grouping_for_wheel[@["&amp;FINI_grouping_for_wheel[[#This Row],[Selected PV]]&amp;"]]"),"")</f>
        <v/>
      </c>
      <c r="AJ987"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8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87" s="4"/>
      <c r="AM987"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8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8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87" t="str">
        <f>_xlfn.CONCAT(FINI_grouping_for_wheel[[#This Row],[Recipe Combination]],FINI_grouping_for_wheel[[#This Row],[Subgroup]])</f>
        <v/>
      </c>
    </row>
    <row r="988" spans="1:55" hidden="1">
      <c r="A988" t="s">
        <v>21</v>
      </c>
      <c r="G988" t="s">
        <v>3957</v>
      </c>
      <c r="H988" t="s">
        <v>3958</v>
      </c>
      <c r="M988">
        <v>782.561205</v>
      </c>
      <c r="N988">
        <v>3.13024482</v>
      </c>
      <c r="T988" t="s">
        <v>93</v>
      </c>
      <c r="U988">
        <v>2.3250000000000002</v>
      </c>
      <c r="AB988" t="s">
        <v>3959</v>
      </c>
      <c r="AE988" s="2"/>
      <c r="AF988" t="str">
        <f>_xlfn.CONCAT(FINI_grouping_for_wheel[[#This Row],[SEFI/Plant]],"/",IF(FINI_grouping_for_wheel[[#This Row],[RESET recipe combination]]&lt;&gt;"",FINI_grouping_for_wheel[[#This Row],[RESET recipe combination]],FINI_grouping_for_wheel[[#This Row],[Recipe Combination]]),"/",FINI_grouping_for_wheel[[#This Row],[Subgroup]])</f>
        <v>/x/</v>
      </c>
      <c r="AG98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0.005989488945270025</v>
      </c>
      <c r="AH988">
        <f>_xlfn.LET(_xlpm.pct, FINI_grouping_for_wheel[[#This Row],[% forecast within subgroup]], _xlpm.lote, FINI_grouping_for_wheel[[#This Row],[Lot size considered]], _xlpm.pct*_xlpm.lote)</f>
        <v>0</v>
      </c>
      <c r="AI988" cm="1" t="str">
        <f t="array" aca="1" ref="AI988" ca="1">IFERROR(INDIRECT("FINI_grouping_for_wheel[@["&amp;FINI_grouping_for_wheel[[#This Row],[Selected PV]]&amp;"]]"),"")</f>
        <v/>
      </c>
      <c r="AJ988"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8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88" s="4"/>
      <c r="AM988"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8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8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88" t="str">
        <f>_xlfn.CONCAT(FINI_grouping_for_wheel[[#This Row],[Recipe Combination]],FINI_grouping_for_wheel[[#This Row],[Subgroup]])</f>
        <v/>
      </c>
    </row>
    <row r="989" spans="1:55" hidden="1">
      <c r="A989" t="s">
        <v>21</v>
      </c>
      <c r="G989" t="s">
        <v>3960</v>
      </c>
      <c r="H989" t="s">
        <v>3961</v>
      </c>
      <c r="M989">
        <v>232.04538</v>
      </c>
      <c r="N989">
        <v>0.92818152</v>
      </c>
      <c r="T989" t="s">
        <v>93</v>
      </c>
      <c r="U989">
        <v>0.75</v>
      </c>
      <c r="AB989" t="s">
        <v>3962</v>
      </c>
      <c r="AE989" s="2"/>
      <c r="AF989" t="str">
        <f>_xlfn.CONCAT(FINI_grouping_for_wheel[[#This Row],[SEFI/Plant]],"/",IF(FINI_grouping_for_wheel[[#This Row],[RESET recipe combination]]&lt;&gt;"",FINI_grouping_for_wheel[[#This Row],[RESET recipe combination]],FINI_grouping_for_wheel[[#This Row],[Recipe Combination]]),"/",FINI_grouping_for_wheel[[#This Row],[Subgroup]])</f>
        <v>/x/</v>
      </c>
      <c r="AG98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0.0017760057992026097</v>
      </c>
      <c r="AH989">
        <f>_xlfn.LET(_xlpm.pct, FINI_grouping_for_wheel[[#This Row],[% forecast within subgroup]], _xlpm.lote, FINI_grouping_for_wheel[[#This Row],[Lot size considered]], _xlpm.pct*_xlpm.lote)</f>
        <v>0</v>
      </c>
      <c r="AI989" cm="1" t="str">
        <f t="array" aca="1" ref="AI989" ca="1">IFERROR(INDIRECT("FINI_grouping_for_wheel[@["&amp;FINI_grouping_for_wheel[[#This Row],[Selected PV]]&amp;"]]"),"")</f>
        <v/>
      </c>
      <c r="AJ989"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8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89" s="4"/>
      <c r="AM989"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8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8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89" t="str">
        <f>_xlfn.CONCAT(FINI_grouping_for_wheel[[#This Row],[Recipe Combination]],FINI_grouping_for_wheel[[#This Row],[Subgroup]])</f>
        <v/>
      </c>
    </row>
    <row r="990" spans="1:55" hidden="1">
      <c r="A990" t="s">
        <v>21</v>
      </c>
      <c r="G990" t="s">
        <v>3963</v>
      </c>
      <c r="H990" t="s">
        <v>3964</v>
      </c>
      <c r="M990">
        <v>211.918995</v>
      </c>
      <c r="N990">
        <v>0.84767598</v>
      </c>
      <c r="T990" t="s">
        <v>93</v>
      </c>
      <c r="U990">
        <v>0.75</v>
      </c>
      <c r="AB990" t="s">
        <v>3965</v>
      </c>
      <c r="AE990" s="2"/>
      <c r="AF990" t="str">
        <f>_xlfn.CONCAT(FINI_grouping_for_wheel[[#This Row],[SEFI/Plant]],"/",IF(FINI_grouping_for_wheel[[#This Row],[RESET recipe combination]]&lt;&gt;"",FINI_grouping_for_wheel[[#This Row],[RESET recipe combination]],FINI_grouping_for_wheel[[#This Row],[Recipe Combination]]),"/",FINI_grouping_for_wheel[[#This Row],[Subgroup]])</f>
        <v>/x/</v>
      </c>
      <c r="AG99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0.001621964479884016</v>
      </c>
      <c r="AH990">
        <f>_xlfn.LET(_xlpm.pct, FINI_grouping_for_wheel[[#This Row],[% forecast within subgroup]], _xlpm.lote, FINI_grouping_for_wheel[[#This Row],[Lot size considered]], _xlpm.pct*_xlpm.lote)</f>
        <v>0</v>
      </c>
      <c r="AI990" cm="1" t="str">
        <f t="array" aca="1" ref="AI990" ca="1">IFERROR(INDIRECT("FINI_grouping_for_wheel[@["&amp;FINI_grouping_for_wheel[[#This Row],[Selected PV]]&amp;"]]"),"")</f>
        <v/>
      </c>
      <c r="AJ990"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9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90" s="4"/>
      <c r="AM990"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9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9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90" t="str">
        <f>_xlfn.CONCAT(FINI_grouping_for_wheel[[#This Row],[Recipe Combination]],FINI_grouping_for_wheel[[#This Row],[Subgroup]])</f>
        <v/>
      </c>
    </row>
    <row r="991" spans="1:55" hidden="1">
      <c r="A991" t="s">
        <v>21</v>
      </c>
      <c r="G991" t="s">
        <v>3966</v>
      </c>
      <c r="H991" t="s">
        <v>3967</v>
      </c>
      <c r="M991">
        <v>338.59683</v>
      </c>
      <c r="N991">
        <v>1.35438732</v>
      </c>
      <c r="T991" t="s">
        <v>93</v>
      </c>
      <c r="U991">
        <v>0.75</v>
      </c>
      <c r="AB991" t="s">
        <v>3968</v>
      </c>
      <c r="AE991" s="2"/>
      <c r="AF991" t="str">
        <f>_xlfn.CONCAT(FINI_grouping_for_wheel[[#This Row],[SEFI/Plant]],"/",IF(FINI_grouping_for_wheel[[#This Row],[RESET recipe combination]]&lt;&gt;"",FINI_grouping_for_wheel[[#This Row],[RESET recipe combination]],FINI_grouping_for_wheel[[#This Row],[Recipe Combination]]),"/",FINI_grouping_for_wheel[[#This Row],[Subgroup]])</f>
        <v>/x/</v>
      </c>
      <c r="AG99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0.0025915186661834</v>
      </c>
      <c r="AH991">
        <f>_xlfn.LET(_xlpm.pct, FINI_grouping_for_wheel[[#This Row],[% forecast within subgroup]], _xlpm.lote, FINI_grouping_for_wheel[[#This Row],[Lot size considered]], _xlpm.pct*_xlpm.lote)</f>
        <v>0</v>
      </c>
      <c r="AI991" cm="1" t="str">
        <f t="array" aca="1" ref="AI991" ca="1">IFERROR(INDIRECT("FINI_grouping_for_wheel[@["&amp;FINI_grouping_for_wheel[[#This Row],[Selected PV]]&amp;"]]"),"")</f>
        <v/>
      </c>
      <c r="AJ991"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9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91" s="4"/>
      <c r="AM991"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9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9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91" t="str">
        <f>_xlfn.CONCAT(FINI_grouping_for_wheel[[#This Row],[Recipe Combination]],FINI_grouping_for_wheel[[#This Row],[Subgroup]])</f>
        <v/>
      </c>
    </row>
    <row r="992" spans="1:55" hidden="1">
      <c r="A992" t="s">
        <v>21</v>
      </c>
      <c r="G992" t="s">
        <v>3969</v>
      </c>
      <c r="H992" t="s">
        <v>3970</v>
      </c>
      <c r="M992">
        <v>439.228755</v>
      </c>
      <c r="N992">
        <v>1.75691502</v>
      </c>
      <c r="T992" t="s">
        <v>93</v>
      </c>
      <c r="U992">
        <v>1</v>
      </c>
      <c r="AB992" t="s">
        <v>3971</v>
      </c>
      <c r="AE992" s="2"/>
      <c r="AF992" t="str">
        <f>_xlfn.CONCAT(FINI_grouping_for_wheel[[#This Row],[SEFI/Plant]],"/",IF(FINI_grouping_for_wheel[[#This Row],[RESET recipe combination]]&lt;&gt;"",FINI_grouping_for_wheel[[#This Row],[RESET recipe combination]],FINI_grouping_for_wheel[[#This Row],[Recipe Combination]]),"/",FINI_grouping_for_wheel[[#This Row],[Subgroup]])</f>
        <v>/x/</v>
      </c>
      <c r="AG99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0.0033617252627763682</v>
      </c>
      <c r="AH992">
        <f>_xlfn.LET(_xlpm.pct, FINI_grouping_for_wheel[[#This Row],[% forecast within subgroup]], _xlpm.lote, FINI_grouping_for_wheel[[#This Row],[Lot size considered]], _xlpm.pct*_xlpm.lote)</f>
        <v>0</v>
      </c>
      <c r="AI992" cm="1" t="str">
        <f t="array" aca="1" ref="AI992" ca="1">IFERROR(INDIRECT("FINI_grouping_for_wheel[@["&amp;FINI_grouping_for_wheel[[#This Row],[Selected PV]]&amp;"]]"),"")</f>
        <v/>
      </c>
      <c r="AJ992"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92"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92" s="4"/>
      <c r="AM992"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9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9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92" t="str">
        <f>_xlfn.CONCAT(FINI_grouping_for_wheel[[#This Row],[Recipe Combination]],FINI_grouping_for_wheel[[#This Row],[Subgroup]])</f>
        <v/>
      </c>
    </row>
    <row r="993" spans="1:55" hidden="1">
      <c r="A993" t="s">
        <v>21</v>
      </c>
      <c r="G993" t="s">
        <v>3972</v>
      </c>
      <c r="H993" t="s">
        <v>3973</v>
      </c>
      <c r="M993">
        <v>1276.24959</v>
      </c>
      <c r="N993">
        <v>5.10499836</v>
      </c>
      <c r="T993" t="s">
        <v>93</v>
      </c>
      <c r="U993">
        <v>13.95</v>
      </c>
      <c r="AB993" t="s">
        <v>3974</v>
      </c>
      <c r="AE993" s="2"/>
      <c r="AF993" t="str">
        <f>_xlfn.CONCAT(FINI_grouping_for_wheel[[#This Row],[SEFI/Plant]],"/",IF(FINI_grouping_for_wheel[[#This Row],[RESET recipe combination]]&lt;&gt;"",FINI_grouping_for_wheel[[#This Row],[RESET recipe combination]],FINI_grouping_for_wheel[[#This Row],[Recipe Combination]]),"/",FINI_grouping_for_wheel[[#This Row],[Subgroup]])</f>
        <v>/x/</v>
      </c>
      <c r="AG99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0.009768031895614352</v>
      </c>
      <c r="AH993">
        <f>_xlfn.LET(_xlpm.pct, FINI_grouping_for_wheel[[#This Row],[% forecast within subgroup]], _xlpm.lote, FINI_grouping_for_wheel[[#This Row],[Lot size considered]], _xlpm.pct*_xlpm.lote)</f>
        <v>0</v>
      </c>
      <c r="AI993" cm="1" t="str">
        <f t="array" aca="1" ref="AI993" ca="1">IFERROR(INDIRECT("FINI_grouping_for_wheel[@["&amp;FINI_grouping_for_wheel[[#This Row],[Selected PV]]&amp;"]]"),"")</f>
        <v/>
      </c>
      <c r="AJ993"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9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93" s="4"/>
      <c r="AM993"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9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9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93" t="str">
        <f>_xlfn.CONCAT(FINI_grouping_for_wheel[[#This Row],[Recipe Combination]],FINI_grouping_for_wheel[[#This Row],[Subgroup]])</f>
        <v/>
      </c>
    </row>
    <row r="994" spans="1:55" hidden="1">
      <c r="A994" t="s">
        <v>21</v>
      </c>
      <c r="G994" t="s">
        <v>3975</v>
      </c>
      <c r="H994" t="s">
        <v>3976</v>
      </c>
      <c r="M994">
        <v>461.72295</v>
      </c>
      <c r="N994">
        <v>1.8468918</v>
      </c>
      <c r="T994" t="s">
        <v>93</v>
      </c>
      <c r="U994">
        <v>15</v>
      </c>
      <c r="AB994" t="s">
        <v>3977</v>
      </c>
      <c r="AE994" s="2"/>
      <c r="AF994" t="str">
        <f>_xlfn.CONCAT(FINI_grouping_for_wheel[[#This Row],[SEFI/Plant]],"/",IF(FINI_grouping_for_wheel[[#This Row],[RESET recipe combination]]&lt;&gt;"",FINI_grouping_for_wheel[[#This Row],[RESET recipe combination]],FINI_grouping_for_wheel[[#This Row],[Recipe Combination]]),"/",FINI_grouping_for_wheel[[#This Row],[Subgroup]])</f>
        <v>/x/</v>
      </c>
      <c r="AG99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0.003533889090250091</v>
      </c>
      <c r="AH994">
        <f>_xlfn.LET(_xlpm.pct, FINI_grouping_for_wheel[[#This Row],[% forecast within subgroup]], _xlpm.lote, FINI_grouping_for_wheel[[#This Row],[Lot size considered]], _xlpm.pct*_xlpm.lote)</f>
        <v>0</v>
      </c>
      <c r="AI994" cm="1" t="str">
        <f t="array" aca="1" ref="AI994" ca="1">IFERROR(INDIRECT("FINI_grouping_for_wheel[@["&amp;FINI_grouping_for_wheel[[#This Row],[Selected PV]]&amp;"]]"),"")</f>
        <v/>
      </c>
      <c r="AJ994"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9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94" s="4"/>
      <c r="AM994"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9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9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94" t="str">
        <f>_xlfn.CONCAT(FINI_grouping_for_wheel[[#This Row],[Recipe Combination]],FINI_grouping_for_wheel[[#This Row],[Subgroup]])</f>
        <v/>
      </c>
    </row>
    <row r="995" spans="1:55" hidden="1">
      <c r="A995" t="s">
        <v>21</v>
      </c>
      <c r="G995" t="s">
        <v>3978</v>
      </c>
      <c r="H995" t="s">
        <v>3979</v>
      </c>
      <c r="M995">
        <v>382.401315</v>
      </c>
      <c r="N995">
        <v>1.52960526</v>
      </c>
      <c r="T995" t="s">
        <v>93</v>
      </c>
      <c r="U995">
        <v>0.75</v>
      </c>
      <c r="AB995" t="s">
        <v>3980</v>
      </c>
      <c r="AE995" s="2"/>
      <c r="AF995" t="str">
        <f>_xlfn.CONCAT(FINI_grouping_for_wheel[[#This Row],[SEFI/Plant]],"/",IF(FINI_grouping_for_wheel[[#This Row],[RESET recipe combination]]&lt;&gt;"",FINI_grouping_for_wheel[[#This Row],[RESET recipe combination]],FINI_grouping_for_wheel[[#This Row],[Recipe Combination]]),"/",FINI_grouping_for_wheel[[#This Row],[Subgroup]])</f>
        <v>/x/</v>
      </c>
      <c r="AG99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0.0029267850670532804</v>
      </c>
      <c r="AH995">
        <f>_xlfn.LET(_xlpm.pct, FINI_grouping_for_wheel[[#This Row],[% forecast within subgroup]], _xlpm.lote, FINI_grouping_for_wheel[[#This Row],[Lot size considered]], _xlpm.pct*_xlpm.lote)</f>
        <v>0</v>
      </c>
      <c r="AI995" cm="1" t="str">
        <f t="array" aca="1" ref="AI995" ca="1">IFERROR(INDIRECT("FINI_grouping_for_wheel[@["&amp;FINI_grouping_for_wheel[[#This Row],[Selected PV]]&amp;"]]"),"")</f>
        <v/>
      </c>
      <c r="AJ995"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9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95" s="4"/>
      <c r="AM995"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9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9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95" t="str">
        <f>_xlfn.CONCAT(FINI_grouping_for_wheel[[#This Row],[Recipe Combination]],FINI_grouping_for_wheel[[#This Row],[Subgroup]])</f>
        <v/>
      </c>
    </row>
    <row r="996" spans="1:55" hidden="1">
      <c r="A996" t="s">
        <v>21</v>
      </c>
      <c r="G996" t="s">
        <v>3981</v>
      </c>
      <c r="H996" t="s">
        <v>3982</v>
      </c>
      <c r="M996">
        <v>319.65435</v>
      </c>
      <c r="N996">
        <v>1.2786174</v>
      </c>
      <c r="T996" t="s">
        <v>93</v>
      </c>
      <c r="U996">
        <v>5</v>
      </c>
      <c r="AB996" t="s">
        <v>3983</v>
      </c>
      <c r="AE996" s="2"/>
      <c r="AF996" t="str">
        <f>_xlfn.CONCAT(FINI_grouping_for_wheel[[#This Row],[SEFI/Plant]],"/",IF(FINI_grouping_for_wheel[[#This Row],[RESET recipe combination]]&lt;&gt;"",FINI_grouping_for_wheel[[#This Row],[RESET recipe combination]],FINI_grouping_for_wheel[[#This Row],[Recipe Combination]]),"/",FINI_grouping_for_wheel[[#This Row],[Subgroup]])</f>
        <v>/x/</v>
      </c>
      <c r="AG99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0.002446538600942371</v>
      </c>
      <c r="AH996">
        <f>_xlfn.LET(_xlpm.pct, FINI_grouping_for_wheel[[#This Row],[% forecast within subgroup]], _xlpm.lote, FINI_grouping_for_wheel[[#This Row],[Lot size considered]], _xlpm.pct*_xlpm.lote)</f>
        <v>0</v>
      </c>
      <c r="AI996" cm="1" t="str">
        <f t="array" aca="1" ref="AI996" ca="1">IFERROR(INDIRECT("FINI_grouping_for_wheel[@["&amp;FINI_grouping_for_wheel[[#This Row],[Selected PV]]&amp;"]]"),"")</f>
        <v/>
      </c>
      <c r="AJ996"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9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96" s="4"/>
      <c r="AM996"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9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9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96" t="str">
        <f>_xlfn.CONCAT(FINI_grouping_for_wheel[[#This Row],[Recipe Combination]],FINI_grouping_for_wheel[[#This Row],[Subgroup]])</f>
        <v/>
      </c>
    </row>
    <row r="997" spans="1:55" hidden="1">
      <c r="A997" t="s">
        <v>21</v>
      </c>
      <c r="G997" t="s">
        <v>3984</v>
      </c>
      <c r="H997" t="s">
        <v>3985</v>
      </c>
      <c r="M997">
        <v>240.332715</v>
      </c>
      <c r="N997">
        <v>0.96133086</v>
      </c>
      <c r="T997" t="s">
        <v>93</v>
      </c>
      <c r="U997">
        <v>0.75</v>
      </c>
      <c r="AB997" t="s">
        <v>3986</v>
      </c>
      <c r="AE997" s="2"/>
      <c r="AF997" t="str">
        <f>_xlfn.CONCAT(FINI_grouping_for_wheel[[#This Row],[SEFI/Plant]],"/",IF(FINI_grouping_for_wheel[[#This Row],[RESET recipe combination]]&lt;&gt;"",FINI_grouping_for_wheel[[#This Row],[RESET recipe combination]],FINI_grouping_for_wheel[[#This Row],[Recipe Combination]]),"/",FINI_grouping_for_wheel[[#This Row],[Subgroup]])</f>
        <v>/x/</v>
      </c>
      <c r="AG99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0.00183943457774556</v>
      </c>
      <c r="AH997">
        <f>_xlfn.LET(_xlpm.pct, FINI_grouping_for_wheel[[#This Row],[% forecast within subgroup]], _xlpm.lote, FINI_grouping_for_wheel[[#This Row],[Lot size considered]], _xlpm.pct*_xlpm.lote)</f>
        <v>0</v>
      </c>
      <c r="AI997" cm="1" t="str">
        <f t="array" aca="1" ref="AI997" ca="1">IFERROR(INDIRECT("FINI_grouping_for_wheel[@["&amp;FINI_grouping_for_wheel[[#This Row],[Selected PV]]&amp;"]]"),"")</f>
        <v/>
      </c>
      <c r="AJ997"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9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97" s="4"/>
      <c r="AM997"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9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9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97" t="str">
        <f>_xlfn.CONCAT(FINI_grouping_for_wheel[[#This Row],[Recipe Combination]],FINI_grouping_for_wheel[[#This Row],[Subgroup]])</f>
        <v/>
      </c>
    </row>
    <row r="998" spans="1:55" hidden="1">
      <c r="A998" t="s">
        <v>21</v>
      </c>
      <c r="G998" t="s">
        <v>3987</v>
      </c>
      <c r="H998" t="s">
        <v>3988</v>
      </c>
      <c r="I998">
        <v>279</v>
      </c>
      <c r="M998">
        <v>7554.497805</v>
      </c>
      <c r="N998">
        <v>30.21799122</v>
      </c>
      <c r="S998" t="s">
        <v>104</v>
      </c>
      <c r="T998" t="s">
        <v>93</v>
      </c>
      <c r="U998">
        <v>4.6500000000000004</v>
      </c>
      <c r="AB998" t="s">
        <v>3989</v>
      </c>
      <c r="AE998" s="2"/>
      <c r="AF998" t="str">
        <f>_xlfn.CONCAT(FINI_grouping_for_wheel[[#This Row],[SEFI/Plant]],"/",IF(FINI_grouping_for_wheel[[#This Row],[RESET recipe combination]]&lt;&gt;"",FINI_grouping_for_wheel[[#This Row],[RESET recipe combination]],FINI_grouping_for_wheel[[#This Row],[Recipe Combination]]),"/",FINI_grouping_for_wheel[[#This Row],[Subgroup]])</f>
        <v>/x/</v>
      </c>
      <c r="AG99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0.057819862268938024</v>
      </c>
      <c r="AH998">
        <f>_xlfn.LET(_xlpm.pct, FINI_grouping_for_wheel[[#This Row],[% forecast within subgroup]], _xlpm.lote, FINI_grouping_for_wheel[[#This Row],[Lot size considered]], _xlpm.pct*_xlpm.lote)</f>
        <v>0</v>
      </c>
      <c r="AI998" cm="1" t="str">
        <f t="array" aca="1" ref="AI998" ca="1">IFERROR(INDIRECT("FINI_grouping_for_wheel[@["&amp;FINI_grouping_for_wheel[[#This Row],[Selected PV]]&amp;"]]"),"")</f>
        <v/>
      </c>
      <c r="AJ998"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9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98" s="4"/>
      <c r="AM998"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9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9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98" t="str">
        <f>_xlfn.CONCAT(FINI_grouping_for_wheel[[#This Row],[Recipe Combination]],FINI_grouping_for_wheel[[#This Row],[Subgroup]])</f>
        <v>0</v>
      </c>
    </row>
    <row r="999" spans="1:55" hidden="1">
      <c r="A999" t="s">
        <v>21</v>
      </c>
      <c r="G999" t="s">
        <v>3990</v>
      </c>
      <c r="H999" t="s">
        <v>3991</v>
      </c>
      <c r="I999">
        <v>251.1</v>
      </c>
      <c r="M999">
        <v>1315.318455</v>
      </c>
      <c r="N999">
        <v>5.26127382</v>
      </c>
      <c r="S999" t="s">
        <v>1316</v>
      </c>
      <c r="T999" t="s">
        <v>93</v>
      </c>
      <c r="U999">
        <v>4.6500000000000004</v>
      </c>
      <c r="AB999" t="s">
        <v>3992</v>
      </c>
      <c r="AE999" s="2"/>
      <c r="AF999" t="str">
        <f>_xlfn.CONCAT(FINI_grouping_for_wheel[[#This Row],[SEFI/Plant]],"/",IF(FINI_grouping_for_wheel[[#This Row],[RESET recipe combination]]&lt;&gt;"",FINI_grouping_for_wheel[[#This Row],[RESET recipe combination]],FINI_grouping_for_wheel[[#This Row],[Recipe Combination]]),"/",FINI_grouping_for_wheel[[#This Row],[Subgroup]])</f>
        <v>/x/</v>
      </c>
      <c r="AG99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0.010067053280173977</v>
      </c>
      <c r="AH999">
        <f>_xlfn.LET(_xlpm.pct, FINI_grouping_for_wheel[[#This Row],[% forecast within subgroup]], _xlpm.lote, FINI_grouping_for_wheel[[#This Row],[Lot size considered]], _xlpm.pct*_xlpm.lote)</f>
        <v>0</v>
      </c>
      <c r="AI999" cm="1" t="str">
        <f t="array" aca="1" ref="AI999" ca="1">IFERROR(INDIRECT("FINI_grouping_for_wheel[@["&amp;FINI_grouping_for_wheel[[#This Row],[Selected PV]]&amp;"]]"),"")</f>
        <v/>
      </c>
      <c r="AJ999"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99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999" s="4"/>
      <c r="AM999"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99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99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999" t="str">
        <f>_xlfn.CONCAT(FINI_grouping_for_wheel[[#This Row],[Recipe Combination]],FINI_grouping_for_wheel[[#This Row],[Subgroup]])</f>
        <v>6</v>
      </c>
    </row>
    <row r="1000" spans="1:55" hidden="1">
      <c r="A1000" t="s">
        <v>21</v>
      </c>
      <c r="G1000" t="s">
        <v>3993</v>
      </c>
      <c r="H1000" t="s">
        <v>3994</v>
      </c>
      <c r="I1000">
        <v>223.2</v>
      </c>
      <c r="M1000">
        <v>10475.19144</v>
      </c>
      <c r="N1000">
        <v>41.90076576</v>
      </c>
      <c r="S1000" t="s">
        <v>1316</v>
      </c>
      <c r="T1000" t="s">
        <v>93</v>
      </c>
      <c r="U1000">
        <v>4.6500000000000004</v>
      </c>
      <c r="AB1000" t="s">
        <v>3995</v>
      </c>
      <c r="AE1000" s="2"/>
      <c r="AF1000" t="str">
        <f>_xlfn.CONCAT(FINI_grouping_for_wheel[[#This Row],[SEFI/Plant]],"/",IF(FINI_grouping_for_wheel[[#This Row],[RESET recipe combination]]&lt;&gt;"",FINI_grouping_for_wheel[[#This Row],[RESET recipe combination]],FINI_grouping_for_wheel[[#This Row],[Recipe Combination]]),"/",FINI_grouping_for_wheel[[#This Row],[Subgroup]])</f>
        <v>/x/</v>
      </c>
      <c r="AG100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0.08017397607828924</v>
      </c>
      <c r="AH1000">
        <f>_xlfn.LET(_xlpm.pct, FINI_grouping_for_wheel[[#This Row],[% forecast within subgroup]], _xlpm.lote, FINI_grouping_for_wheel[[#This Row],[Lot size considered]], _xlpm.pct*_xlpm.lote)</f>
        <v>0</v>
      </c>
      <c r="AI1000" cm="1" t="str">
        <f t="array" aca="1" ref="AI1000" ca="1">IFERROR(INDIRECT("FINI_grouping_for_wheel[@["&amp;FINI_grouping_for_wheel[[#This Row],[Selected PV]]&amp;"]]"),"")</f>
        <v/>
      </c>
      <c r="AJ1000"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0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00" s="4"/>
      <c r="AM1000"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0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0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00" t="str">
        <f>_xlfn.CONCAT(FINI_grouping_for_wheel[[#This Row],[Recipe Combination]],FINI_grouping_for_wheel[[#This Row],[Subgroup]])</f>
        <v>6</v>
      </c>
    </row>
    <row r="1001" spans="1:55" hidden="1">
      <c r="A1001" t="s">
        <v>21</v>
      </c>
      <c r="G1001" t="s">
        <v>3996</v>
      </c>
      <c r="H1001" t="s">
        <v>3997</v>
      </c>
      <c r="I1001">
        <v>358.05</v>
      </c>
      <c r="M1001">
        <v>7442.02683</v>
      </c>
      <c r="N1001">
        <v>29.76810732</v>
      </c>
      <c r="S1001" t="s">
        <v>1316</v>
      </c>
      <c r="T1001" t="s">
        <v>93</v>
      </c>
      <c r="U1001">
        <v>9.3000000000000007</v>
      </c>
      <c r="AB1001" t="s">
        <v>3998</v>
      </c>
      <c r="AE1001" s="2"/>
      <c r="AF1001" t="str">
        <f>_xlfn.CONCAT(FINI_grouping_for_wheel[[#This Row],[SEFI/Plant]],"/",IF(FINI_grouping_for_wheel[[#This Row],[RESET recipe combination]]&lt;&gt;"",FINI_grouping_for_wheel[[#This Row],[RESET recipe combination]],FINI_grouping_for_wheel[[#This Row],[Recipe Combination]]),"/",FINI_grouping_for_wheel[[#This Row],[Subgroup]])</f>
        <v>/x/</v>
      </c>
      <c r="AG100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0.05695904313156941</v>
      </c>
      <c r="AH1001">
        <f>_xlfn.LET(_xlpm.pct, FINI_grouping_for_wheel[[#This Row],[% forecast within subgroup]], _xlpm.lote, FINI_grouping_for_wheel[[#This Row],[Lot size considered]], _xlpm.pct*_xlpm.lote)</f>
        <v>0</v>
      </c>
      <c r="AI1001" cm="1" t="str">
        <f t="array" aca="1" ref="AI1001" ca="1">IFERROR(INDIRECT("FINI_grouping_for_wheel[@["&amp;FINI_grouping_for_wheel[[#This Row],[Selected PV]]&amp;"]]"),"")</f>
        <v/>
      </c>
      <c r="AJ1001"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0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01" s="4"/>
      <c r="AM1001"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0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0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01" t="str">
        <f>_xlfn.CONCAT(FINI_grouping_for_wheel[[#This Row],[Recipe Combination]],FINI_grouping_for_wheel[[#This Row],[Subgroup]])</f>
        <v>6</v>
      </c>
    </row>
    <row r="1002" spans="1:55" hidden="1">
      <c r="A1002" t="s">
        <v>21</v>
      </c>
      <c r="G1002" t="s">
        <v>3999</v>
      </c>
      <c r="H1002" t="s">
        <v>4000</v>
      </c>
      <c r="I1002">
        <v>427.5</v>
      </c>
      <c r="M1002">
        <v>2859.130575</v>
      </c>
      <c r="N1002">
        <v>11.4365223</v>
      </c>
      <c r="S1002" t="s">
        <v>3550</v>
      </c>
      <c r="T1002" t="s">
        <v>93</v>
      </c>
      <c r="U1002">
        <v>15</v>
      </c>
      <c r="AB1002" t="s">
        <v>4001</v>
      </c>
      <c r="AE1002" s="2"/>
      <c r="AF1002" t="str">
        <f>_xlfn.CONCAT(FINI_grouping_for_wheel[[#This Row],[SEFI/Plant]],"/",IF(FINI_grouping_for_wheel[[#This Row],[RESET recipe combination]]&lt;&gt;"",FINI_grouping_for_wheel[[#This Row],[RESET recipe combination]],FINI_grouping_for_wheel[[#This Row],[Recipe Combination]]),"/",FINI_grouping_for_wheel[[#This Row],[Subgroup]])</f>
        <v>/x/</v>
      </c>
      <c r="AG100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0.02188292859731787</v>
      </c>
      <c r="AH1002">
        <f>_xlfn.LET(_xlpm.pct, FINI_grouping_for_wheel[[#This Row],[% forecast within subgroup]], _xlpm.lote, FINI_grouping_for_wheel[[#This Row],[Lot size considered]], _xlpm.pct*_xlpm.lote)</f>
        <v>0</v>
      </c>
      <c r="AI1002" cm="1" t="str">
        <f t="array" aca="1" ref="AI1002" ca="1">IFERROR(INDIRECT("FINI_grouping_for_wheel[@["&amp;FINI_grouping_for_wheel[[#This Row],[Selected PV]]&amp;"]]"),"")</f>
        <v/>
      </c>
      <c r="AJ1002"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02"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02" s="4"/>
      <c r="AM1002"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0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0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02" t="str">
        <f>_xlfn.CONCAT(FINI_grouping_for_wheel[[#This Row],[Recipe Combination]],FINI_grouping_for_wheel[[#This Row],[Subgroup]])</f>
        <v>7</v>
      </c>
    </row>
    <row r="1003" spans="1:55" hidden="1">
      <c r="A1003" t="s">
        <v>21</v>
      </c>
      <c r="G1003" t="s">
        <v>4002</v>
      </c>
      <c r="H1003" t="s">
        <v>4003</v>
      </c>
      <c r="I1003">
        <v>390.6</v>
      </c>
      <c r="M1003">
        <v>5586.847695</v>
      </c>
      <c r="N1003">
        <v>22.34739078</v>
      </c>
      <c r="S1003" t="s">
        <v>3550</v>
      </c>
      <c r="T1003" t="s">
        <v>93</v>
      </c>
      <c r="U1003">
        <v>13.02</v>
      </c>
      <c r="AB1003" t="s">
        <v>4004</v>
      </c>
      <c r="AE1003" s="2"/>
      <c r="AF1003" t="str">
        <f>_xlfn.CONCAT(FINI_grouping_for_wheel[[#This Row],[SEFI/Plant]],"/",IF(FINI_grouping_for_wheel[[#This Row],[RESET recipe combination]]&lt;&gt;"",FINI_grouping_for_wheel[[#This Row],[RESET recipe combination]],FINI_grouping_for_wheel[[#This Row],[Recipe Combination]]),"/",FINI_grouping_for_wheel[[#This Row],[Subgroup]])</f>
        <v>/x/</v>
      </c>
      <c r="AG100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0.0427600579920261</v>
      </c>
      <c r="AH1003">
        <f>_xlfn.LET(_xlpm.pct, FINI_grouping_for_wheel[[#This Row],[% forecast within subgroup]], _xlpm.lote, FINI_grouping_for_wheel[[#This Row],[Lot size considered]], _xlpm.pct*_xlpm.lote)</f>
        <v>0</v>
      </c>
      <c r="AI1003" cm="1" t="str">
        <f t="array" aca="1" ref="AI1003" ca="1">IFERROR(INDIRECT("FINI_grouping_for_wheel[@["&amp;FINI_grouping_for_wheel[[#This Row],[Selected PV]]&amp;"]]"),"")</f>
        <v/>
      </c>
      <c r="AJ1003"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0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03" s="4"/>
      <c r="AM1003"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0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0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03" t="str">
        <f>_xlfn.CONCAT(FINI_grouping_for_wheel[[#This Row],[Recipe Combination]],FINI_grouping_for_wheel[[#This Row],[Subgroup]])</f>
        <v>7</v>
      </c>
    </row>
    <row r="1004" spans="1:55" hidden="1">
      <c r="A1004" t="s">
        <v>21</v>
      </c>
      <c r="G1004" t="s">
        <v>4005</v>
      </c>
      <c r="H1004" t="s">
        <v>4006</v>
      </c>
      <c r="I1004">
        <v>409.2000000000001</v>
      </c>
      <c r="M1004">
        <v>11131.07481</v>
      </c>
      <c r="N1004">
        <v>44.52429924</v>
      </c>
      <c r="S1004" t="s">
        <v>4007</v>
      </c>
      <c r="T1004" t="s">
        <v>93</v>
      </c>
      <c r="U1004">
        <v>9.3000000000000007</v>
      </c>
      <c r="AB1004" t="s">
        <v>4008</v>
      </c>
      <c r="AE1004" s="2"/>
      <c r="AF1004" t="str">
        <f>_xlfn.CONCAT(FINI_grouping_for_wheel[[#This Row],[SEFI/Plant]],"/",IF(FINI_grouping_for_wheel[[#This Row],[RESET recipe combination]]&lt;&gt;"",FINI_grouping_for_wheel[[#This Row],[RESET recipe combination]],FINI_grouping_for_wheel[[#This Row],[Recipe Combination]]),"/",FINI_grouping_for_wheel[[#This Row],[Subgroup]])</f>
        <v>/x/</v>
      </c>
      <c r="AG100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0.08519391083725988</v>
      </c>
      <c r="AH1004">
        <f>_xlfn.LET(_xlpm.pct, FINI_grouping_for_wheel[[#This Row],[% forecast within subgroup]], _xlpm.lote, FINI_grouping_for_wheel[[#This Row],[Lot size considered]], _xlpm.pct*_xlpm.lote)</f>
        <v>0</v>
      </c>
      <c r="AI1004" cm="1" t="str">
        <f t="array" aca="1" ref="AI1004" ca="1">IFERROR(INDIRECT("FINI_grouping_for_wheel[@["&amp;FINI_grouping_for_wheel[[#This Row],[Selected PV]]&amp;"]]"),"")</f>
        <v/>
      </c>
      <c r="AJ1004"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0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04" s="4"/>
      <c r="AM1004"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0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0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04" t="str">
        <f>_xlfn.CONCAT(FINI_grouping_for_wheel[[#This Row],[Recipe Combination]],FINI_grouping_for_wheel[[#This Row],[Subgroup]])</f>
        <v>8</v>
      </c>
    </row>
    <row r="1005" spans="1:55" hidden="1">
      <c r="A1005" t="s">
        <v>21</v>
      </c>
      <c r="G1005" t="s">
        <v>4009</v>
      </c>
      <c r="H1005" t="s">
        <v>4010</v>
      </c>
      <c r="I1005">
        <v>409.2000000000001</v>
      </c>
      <c r="M1005">
        <v>2590.38414</v>
      </c>
      <c r="N1005">
        <v>10.36153656</v>
      </c>
      <c r="S1005" t="s">
        <v>4007</v>
      </c>
      <c r="T1005" t="s">
        <v>93</v>
      </c>
      <c r="U1005">
        <v>9.3000000000000007</v>
      </c>
      <c r="AB1005" t="s">
        <v>4011</v>
      </c>
      <c r="AE1005" s="2"/>
      <c r="AF1005" t="str">
        <f>_xlfn.CONCAT(FINI_grouping_for_wheel[[#This Row],[SEFI/Plant]],"/",IF(FINI_grouping_for_wheel[[#This Row],[RESET recipe combination]]&lt;&gt;"",FINI_grouping_for_wheel[[#This Row],[RESET recipe combination]],FINI_grouping_for_wheel[[#This Row],[Recipe Combination]]),"/",FINI_grouping_for_wheel[[#This Row],[Subgroup]])</f>
        <v>/x/</v>
      </c>
      <c r="AG100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0.019826023921710765</v>
      </c>
      <c r="AH1005">
        <f>_xlfn.LET(_xlpm.pct, FINI_grouping_for_wheel[[#This Row],[% forecast within subgroup]], _xlpm.lote, FINI_grouping_for_wheel[[#This Row],[Lot size considered]], _xlpm.pct*_xlpm.lote)</f>
        <v>0</v>
      </c>
      <c r="AI1005" cm="1" t="str">
        <f t="array" aca="1" ref="AI1005" ca="1">IFERROR(INDIRECT("FINI_grouping_for_wheel[@["&amp;FINI_grouping_for_wheel[[#This Row],[Selected PV]]&amp;"]]"),"")</f>
        <v/>
      </c>
      <c r="AJ1005"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0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05" s="4"/>
      <c r="AM1005"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0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0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05" t="str">
        <f>_xlfn.CONCAT(FINI_grouping_for_wheel[[#This Row],[Recipe Combination]],FINI_grouping_for_wheel[[#This Row],[Subgroup]])</f>
        <v>8</v>
      </c>
    </row>
    <row r="1006" spans="1:55" hidden="1">
      <c r="A1006" t="s">
        <v>21</v>
      </c>
      <c r="G1006" t="s">
        <v>4012</v>
      </c>
      <c r="H1006" t="s">
        <v>4013</v>
      </c>
      <c r="I1006">
        <v>409.2000000000001</v>
      </c>
      <c r="M1006">
        <v>2076.56937</v>
      </c>
      <c r="N1006">
        <v>8.30627748</v>
      </c>
      <c r="S1006" t="s">
        <v>4007</v>
      </c>
      <c r="T1006" t="s">
        <v>93</v>
      </c>
      <c r="U1006">
        <v>9.3000000000000007</v>
      </c>
      <c r="AB1006" t="s">
        <v>4014</v>
      </c>
      <c r="AE1006" s="2"/>
      <c r="AF1006" t="str">
        <f>_xlfn.CONCAT(FINI_grouping_for_wheel[[#This Row],[SEFI/Plant]],"/",IF(FINI_grouping_for_wheel[[#This Row],[RESET recipe combination]]&lt;&gt;"",FINI_grouping_for_wheel[[#This Row],[RESET recipe combination]],FINI_grouping_for_wheel[[#This Row],[Recipe Combination]]),"/",FINI_grouping_for_wheel[[#This Row],[Subgroup]])</f>
        <v>/x/</v>
      </c>
      <c r="AG100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0.015893439652047845</v>
      </c>
      <c r="AH1006">
        <f>_xlfn.LET(_xlpm.pct, FINI_grouping_for_wheel[[#This Row],[% forecast within subgroup]], _xlpm.lote, FINI_grouping_for_wheel[[#This Row],[Lot size considered]], _xlpm.pct*_xlpm.lote)</f>
        <v>0</v>
      </c>
      <c r="AI1006" cm="1" t="str">
        <f t="array" aca="1" ref="AI1006" ca="1">IFERROR(INDIRECT("FINI_grouping_for_wheel[@["&amp;FINI_grouping_for_wheel[[#This Row],[Selected PV]]&amp;"]]"),"")</f>
        <v/>
      </c>
      <c r="AJ1006"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0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06" s="4"/>
      <c r="AM1006"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0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0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06" t="str">
        <f>_xlfn.CONCAT(FINI_grouping_for_wheel[[#This Row],[Recipe Combination]],FINI_grouping_for_wheel[[#This Row],[Subgroup]])</f>
        <v>8</v>
      </c>
    </row>
    <row r="1007" spans="1:55" hidden="1">
      <c r="A1007" t="s">
        <v>21</v>
      </c>
      <c r="G1007" t="s">
        <v>4015</v>
      </c>
      <c r="H1007" t="s">
        <v>4016</v>
      </c>
      <c r="I1007">
        <v>251.1</v>
      </c>
      <c r="M1007">
        <v>480.66543</v>
      </c>
      <c r="N1007">
        <v>1.92266172</v>
      </c>
      <c r="S1007" t="s">
        <v>4007</v>
      </c>
      <c r="T1007" t="s">
        <v>93</v>
      </c>
      <c r="U1007">
        <v>4.6500000000000004</v>
      </c>
      <c r="AB1007" t="s">
        <v>4017</v>
      </c>
      <c r="AE1007" s="2"/>
      <c r="AF1007" t="str">
        <f>_xlfn.CONCAT(FINI_grouping_for_wheel[[#This Row],[SEFI/Plant]],"/",IF(FINI_grouping_for_wheel[[#This Row],[RESET recipe combination]]&lt;&gt;"",FINI_grouping_for_wheel[[#This Row],[RESET recipe combination]],FINI_grouping_for_wheel[[#This Row],[Recipe Combination]]),"/",FINI_grouping_for_wheel[[#This Row],[Subgroup]])</f>
        <v>/x/</v>
      </c>
      <c r="AG100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0.00367886915549112</v>
      </c>
      <c r="AH1007">
        <f>_xlfn.LET(_xlpm.pct, FINI_grouping_for_wheel[[#This Row],[% forecast within subgroup]], _xlpm.lote, FINI_grouping_for_wheel[[#This Row],[Lot size considered]], _xlpm.pct*_xlpm.lote)</f>
        <v>0</v>
      </c>
      <c r="AI1007" cm="1" t="str">
        <f t="array" aca="1" ref="AI1007" ca="1">IFERROR(INDIRECT("FINI_grouping_for_wheel[@["&amp;FINI_grouping_for_wheel[[#This Row],[Selected PV]]&amp;"]]"),"")</f>
        <v/>
      </c>
      <c r="AJ1007"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0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07" s="4"/>
      <c r="AM1007"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0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0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07" t="str">
        <f>_xlfn.CONCAT(FINI_grouping_for_wheel[[#This Row],[Recipe Combination]],FINI_grouping_for_wheel[[#This Row],[Subgroup]])</f>
        <v>8</v>
      </c>
    </row>
    <row r="1008" spans="1:55" hidden="1">
      <c r="A1008" t="s">
        <v>21</v>
      </c>
      <c r="G1008" t="s">
        <v>4018</v>
      </c>
      <c r="H1008" t="s">
        <v>4019</v>
      </c>
      <c r="I1008">
        <v>413.6</v>
      </c>
      <c r="M1008">
        <v>3204.830835</v>
      </c>
      <c r="N1008">
        <v>12.81932334</v>
      </c>
      <c r="S1008" t="s">
        <v>4007</v>
      </c>
      <c r="T1008" t="s">
        <v>93</v>
      </c>
      <c r="U1008">
        <v>9.4</v>
      </c>
      <c r="AB1008" t="s">
        <v>4020</v>
      </c>
      <c r="AE1008" s="2"/>
      <c r="AF1008" t="str">
        <f>_xlfn.CONCAT(FINI_grouping_for_wheel[[#This Row],[SEFI/Plant]],"/",IF(FINI_grouping_for_wheel[[#This Row],[RESET recipe combination]]&lt;&gt;"",FINI_grouping_for_wheel[[#This Row],[RESET recipe combination]],FINI_grouping_for_wheel[[#This Row],[Recipe Combination]]),"/",FINI_grouping_for_wheel[[#This Row],[Subgroup]])</f>
        <v>/x/</v>
      </c>
      <c r="AG100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0.024528814787966657</v>
      </c>
      <c r="AH1008">
        <f>_xlfn.LET(_xlpm.pct, FINI_grouping_for_wheel[[#This Row],[% forecast within subgroup]], _xlpm.lote, FINI_grouping_for_wheel[[#This Row],[Lot size considered]], _xlpm.pct*_xlpm.lote)</f>
        <v>0</v>
      </c>
      <c r="AI1008" cm="1" t="str">
        <f t="array" aca="1" ref="AI1008" ca="1">IFERROR(INDIRECT("FINI_grouping_for_wheel[@["&amp;FINI_grouping_for_wheel[[#This Row],[Selected PV]]&amp;"]]"),"")</f>
        <v/>
      </c>
      <c r="AJ1008"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0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08" s="4"/>
      <c r="AM1008"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0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0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08" t="str">
        <f>_xlfn.CONCAT(FINI_grouping_for_wheel[[#This Row],[Recipe Combination]],FINI_grouping_for_wheel[[#This Row],[Subgroup]])</f>
        <v>8</v>
      </c>
    </row>
    <row r="1009" spans="1:55" hidden="1">
      <c r="A1009" t="s">
        <v>21</v>
      </c>
      <c r="G1009" t="s">
        <v>4021</v>
      </c>
      <c r="H1009" t="s">
        <v>4022</v>
      </c>
      <c r="I1009">
        <v>223.2</v>
      </c>
      <c r="M1009">
        <v>1567.49022</v>
      </c>
      <c r="N1009">
        <v>6.26996088</v>
      </c>
      <c r="S1009" t="s">
        <v>4007</v>
      </c>
      <c r="T1009" t="s">
        <v>93</v>
      </c>
      <c r="U1009">
        <v>4.6500000000000004</v>
      </c>
      <c r="AB1009" t="s">
        <v>4023</v>
      </c>
      <c r="AE1009" s="2"/>
      <c r="AF1009" t="str">
        <f>_xlfn.CONCAT(FINI_grouping_for_wheel[[#This Row],[SEFI/Plant]],"/",IF(FINI_grouping_for_wheel[[#This Row],[RESET recipe combination]]&lt;&gt;"",FINI_grouping_for_wheel[[#This Row],[RESET recipe combination]],FINI_grouping_for_wheel[[#This Row],[Recipe Combination]]),"/",FINI_grouping_for_wheel[[#This Row],[Subgroup]])</f>
        <v>/x/</v>
      </c>
      <c r="AG100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0.01199710039869518</v>
      </c>
      <c r="AH1009">
        <f>_xlfn.LET(_xlpm.pct, FINI_grouping_for_wheel[[#This Row],[% forecast within subgroup]], _xlpm.lote, FINI_grouping_for_wheel[[#This Row],[Lot size considered]], _xlpm.pct*_xlpm.lote)</f>
        <v>0</v>
      </c>
      <c r="AI1009" cm="1" t="str">
        <f t="array" aca="1" ref="AI1009" ca="1">IFERROR(INDIRECT("FINI_grouping_for_wheel[@["&amp;FINI_grouping_for_wheel[[#This Row],[Selected PV]]&amp;"]]"),"")</f>
        <v/>
      </c>
      <c r="AJ1009"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0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09" s="4"/>
      <c r="AM1009"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0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0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09" t="str">
        <f>_xlfn.CONCAT(FINI_grouping_for_wheel[[#This Row],[Recipe Combination]],FINI_grouping_for_wheel[[#This Row],[Subgroup]])</f>
        <v>8</v>
      </c>
    </row>
    <row r="1010" spans="1:55" hidden="1">
      <c r="A1010" t="s">
        <v>21</v>
      </c>
      <c r="G1010" t="s">
        <v>4024</v>
      </c>
      <c r="H1010" t="s">
        <v>4025</v>
      </c>
      <c r="I1010">
        <v>376.65</v>
      </c>
      <c r="M1010">
        <v>12629.89854</v>
      </c>
      <c r="N1010">
        <v>50.51959416</v>
      </c>
      <c r="S1010" t="s">
        <v>4007</v>
      </c>
      <c r="T1010" t="s">
        <v>93</v>
      </c>
      <c r="U1010">
        <v>13.95</v>
      </c>
      <c r="AB1010" t="s">
        <v>4026</v>
      </c>
      <c r="AE1010" s="2"/>
      <c r="AF1010" t="str">
        <f>_xlfn.CONCAT(FINI_grouping_for_wheel[[#This Row],[SEFI/Plant]],"/",IF(FINI_grouping_for_wheel[[#This Row],[RESET recipe combination]]&lt;&gt;"",FINI_grouping_for_wheel[[#This Row],[RESET recipe combination]],FINI_grouping_for_wheel[[#This Row],[Recipe Combination]]),"/",FINI_grouping_for_wheel[[#This Row],[Subgroup]])</f>
        <v>/x/</v>
      </c>
      <c r="AG101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0.09666545849945633</v>
      </c>
      <c r="AH1010">
        <f>_xlfn.LET(_xlpm.pct, FINI_grouping_for_wheel[[#This Row],[% forecast within subgroup]], _xlpm.lote, FINI_grouping_for_wheel[[#This Row],[Lot size considered]], _xlpm.pct*_xlpm.lote)</f>
        <v>0</v>
      </c>
      <c r="AI1010" cm="1" t="str">
        <f t="array" aca="1" ref="AI1010" ca="1">IFERROR(INDIRECT("FINI_grouping_for_wheel[@["&amp;FINI_grouping_for_wheel[[#This Row],[Selected PV]]&amp;"]]"),"")</f>
        <v/>
      </c>
      <c r="AJ1010"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1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10" s="4"/>
      <c r="AM1010"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1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1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10" t="str">
        <f>_xlfn.CONCAT(FINI_grouping_for_wheel[[#This Row],[Recipe Combination]],FINI_grouping_for_wheel[[#This Row],[Subgroup]])</f>
        <v>8</v>
      </c>
    </row>
    <row r="1011" spans="1:55" hidden="1">
      <c r="A1011" t="s">
        <v>21</v>
      </c>
      <c r="G1011" t="s">
        <v>4027</v>
      </c>
      <c r="H1011" t="s">
        <v>4028</v>
      </c>
      <c r="I1011">
        <v>376.65</v>
      </c>
      <c r="M1011">
        <v>27968.57172</v>
      </c>
      <c r="N1011">
        <v>111.87428688</v>
      </c>
      <c r="S1011" t="s">
        <v>4007</v>
      </c>
      <c r="T1011" t="s">
        <v>93</v>
      </c>
      <c r="U1011">
        <v>13.95</v>
      </c>
      <c r="AB1011" t="s">
        <v>4029</v>
      </c>
      <c r="AE1011" s="2"/>
      <c r="AF1011" t="str">
        <f>_xlfn.CONCAT(FINI_grouping_for_wheel[[#This Row],[SEFI/Plant]],"/",IF(FINI_grouping_for_wheel[[#This Row],[RESET recipe combination]]&lt;&gt;"",FINI_grouping_for_wheel[[#This Row],[RESET recipe combination]],FINI_grouping_for_wheel[[#This Row],[Recipe Combination]]),"/",FINI_grouping_for_wheel[[#This Row],[Subgroup]])</f>
        <v>/x/</v>
      </c>
      <c r="AG101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0.21406306632837985</v>
      </c>
      <c r="AH1011">
        <f>_xlfn.LET(_xlpm.pct, FINI_grouping_for_wheel[[#This Row],[% forecast within subgroup]], _xlpm.lote, FINI_grouping_for_wheel[[#This Row],[Lot size considered]], _xlpm.pct*_xlpm.lote)</f>
        <v>0</v>
      </c>
      <c r="AI1011" cm="1" t="str">
        <f t="array" aca="1" ref="AI1011" ca="1">IFERROR(INDIRECT("FINI_grouping_for_wheel[@["&amp;FINI_grouping_for_wheel[[#This Row],[Selected PV]]&amp;"]]"),"")</f>
        <v/>
      </c>
      <c r="AJ1011"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1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11" s="4"/>
      <c r="AM1011"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1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1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11" t="str">
        <f>_xlfn.CONCAT(FINI_grouping_for_wheel[[#This Row],[Recipe Combination]],FINI_grouping_for_wheel[[#This Row],[Subgroup]])</f>
        <v>8</v>
      </c>
    </row>
    <row r="1012" spans="1:55" hidden="1">
      <c r="A1012" t="s">
        <v>21</v>
      </c>
      <c r="G1012" t="s">
        <v>4030</v>
      </c>
      <c r="H1012" t="s">
        <v>4031</v>
      </c>
      <c r="I1012">
        <v>397.57499999999999</v>
      </c>
      <c r="M1012">
        <v>2370.17781</v>
      </c>
      <c r="N1012">
        <v>9.48071124</v>
      </c>
      <c r="S1012" t="s">
        <v>4007</v>
      </c>
      <c r="T1012" t="s">
        <v>93</v>
      </c>
      <c r="U1012">
        <v>13.95</v>
      </c>
      <c r="AB1012" t="s">
        <v>4032</v>
      </c>
      <c r="AE1012" s="2"/>
      <c r="AF1012" t="str">
        <f>_xlfn.CONCAT(FINI_grouping_for_wheel[[#This Row],[SEFI/Plant]],"/",IF(FINI_grouping_for_wheel[[#This Row],[RESET recipe combination]]&lt;&gt;"",FINI_grouping_for_wheel[[#This Row],[RESET recipe combination]],FINI_grouping_for_wheel[[#This Row],[Recipe Combination]]),"/",FINI_grouping_for_wheel[[#This Row],[Subgroup]])</f>
        <v>/x/</v>
      </c>
      <c r="AG101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0.0181406306632838</v>
      </c>
      <c r="AH1012">
        <f>_xlfn.LET(_xlpm.pct, FINI_grouping_for_wheel[[#This Row],[% forecast within subgroup]], _xlpm.lote, FINI_grouping_for_wheel[[#This Row],[Lot size considered]], _xlpm.pct*_xlpm.lote)</f>
        <v>0</v>
      </c>
      <c r="AI1012" cm="1" t="str">
        <f t="array" aca="1" ref="AI1012" ca="1">IFERROR(INDIRECT("FINI_grouping_for_wheel[@["&amp;FINI_grouping_for_wheel[[#This Row],[Selected PV]]&amp;"]]"),"")</f>
        <v/>
      </c>
      <c r="AJ1012"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12"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12" s="4"/>
      <c r="AM1012"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1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1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12" t="str">
        <f>_xlfn.CONCAT(FINI_grouping_for_wheel[[#This Row],[Recipe Combination]],FINI_grouping_for_wheel[[#This Row],[Subgroup]])</f>
        <v>8</v>
      </c>
    </row>
    <row r="1013" spans="1:55" hidden="1">
      <c r="A1013" t="s">
        <v>21</v>
      </c>
      <c r="G1013" t="s">
        <v>4033</v>
      </c>
      <c r="H1013" t="s">
        <v>4034</v>
      </c>
      <c r="I1013">
        <v>397.57499999999999</v>
      </c>
      <c r="M1013">
        <v>1276.24959</v>
      </c>
      <c r="N1013">
        <v>5.10499836</v>
      </c>
      <c r="S1013" t="s">
        <v>4007</v>
      </c>
      <c r="T1013" t="s">
        <v>93</v>
      </c>
      <c r="U1013">
        <v>13.95</v>
      </c>
      <c r="AB1013" t="s">
        <v>4035</v>
      </c>
      <c r="AE1013" s="2"/>
      <c r="AF1013" t="str">
        <f>_xlfn.CONCAT(FINI_grouping_for_wheel[[#This Row],[SEFI/Plant]],"/",IF(FINI_grouping_for_wheel[[#This Row],[RESET recipe combination]]&lt;&gt;"",FINI_grouping_for_wheel[[#This Row],[RESET recipe combination]],FINI_grouping_for_wheel[[#This Row],[Recipe Combination]]),"/",FINI_grouping_for_wheel[[#This Row],[Subgroup]])</f>
        <v>/x/</v>
      </c>
      <c r="AG101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0.009768031895614352</v>
      </c>
      <c r="AH1013">
        <f>_xlfn.LET(_xlpm.pct, FINI_grouping_for_wheel[[#This Row],[% forecast within subgroup]], _xlpm.lote, FINI_grouping_for_wheel[[#This Row],[Lot size considered]], _xlpm.pct*_xlpm.lote)</f>
        <v>0</v>
      </c>
      <c r="AI1013" cm="1" t="str">
        <f t="array" aca="1" ref="AI1013" ca="1">IFERROR(INDIRECT("FINI_grouping_for_wheel[@["&amp;FINI_grouping_for_wheel[[#This Row],[Selected PV]]&amp;"]]"),"")</f>
        <v/>
      </c>
      <c r="AJ1013"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1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13" s="4"/>
      <c r="AM1013"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1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1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13" t="str">
        <f>_xlfn.CONCAT(FINI_grouping_for_wheel[[#This Row],[Recipe Combination]],FINI_grouping_for_wheel[[#This Row],[Subgroup]])</f>
        <v>8</v>
      </c>
    </row>
    <row r="1014" spans="1:55" hidden="1">
      <c r="A1014" t="s">
        <v>21</v>
      </c>
      <c r="G1014" t="s">
        <v>4036</v>
      </c>
      <c r="H1014" t="s">
        <v>4037</v>
      </c>
      <c r="I1014">
        <v>376.65</v>
      </c>
      <c r="M1014">
        <v>1060.77888</v>
      </c>
      <c r="N1014">
        <v>4.24311552</v>
      </c>
      <c r="S1014" t="s">
        <v>4007</v>
      </c>
      <c r="T1014" t="s">
        <v>93</v>
      </c>
      <c r="U1014">
        <v>13.95</v>
      </c>
      <c r="AB1014" t="s">
        <v>4038</v>
      </c>
      <c r="AE1014" s="2"/>
      <c r="AF1014" t="str">
        <f>_xlfn.CONCAT(FINI_grouping_for_wheel[[#This Row],[SEFI/Plant]],"/",IF(FINI_grouping_for_wheel[[#This Row],[RESET recipe combination]]&lt;&gt;"",FINI_grouping_for_wheel[[#This Row],[RESET recipe combination]],FINI_grouping_for_wheel[[#This Row],[Recipe Combination]]),"/",FINI_grouping_for_wheel[[#This Row],[Subgroup]])</f>
        <v>/x/</v>
      </c>
      <c r="AG1014">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0.008118883653497645</v>
      </c>
      <c r="AH1014">
        <f>_xlfn.LET(_xlpm.pct, FINI_grouping_for_wheel[[#This Row],[% forecast within subgroup]], _xlpm.lote, FINI_grouping_for_wheel[[#This Row],[Lot size considered]], _xlpm.pct*_xlpm.lote)</f>
        <v>0</v>
      </c>
      <c r="AI1014" cm="1" t="str">
        <f t="array" aca="1" ref="AI1014" ca="1">IFERROR(INDIRECT("FINI_grouping_for_wheel[@["&amp;FINI_grouping_for_wheel[[#This Row],[Selected PV]]&amp;"]]"),"")</f>
        <v/>
      </c>
      <c r="AJ1014"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14"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14" s="4"/>
      <c r="AM1014"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14"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14"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14" t="str">
        <f>_xlfn.CONCAT(FINI_grouping_for_wheel[[#This Row],[Recipe Combination]],FINI_grouping_for_wheel[[#This Row],[Subgroup]])</f>
        <v>8</v>
      </c>
    </row>
    <row r="1015" spans="1:55" hidden="1">
      <c r="A1015" t="s">
        <v>21</v>
      </c>
      <c r="G1015" t="s">
        <v>4039</v>
      </c>
      <c r="H1015" t="s">
        <v>4040</v>
      </c>
      <c r="I1015">
        <v>409.2000000000001</v>
      </c>
      <c r="M1015">
        <v>4047.771195</v>
      </c>
      <c r="N1015">
        <v>16.19108478</v>
      </c>
      <c r="S1015" t="s">
        <v>4007</v>
      </c>
      <c r="T1015" t="s">
        <v>93</v>
      </c>
      <c r="U1015">
        <v>9.3000000000000007</v>
      </c>
      <c r="AB1015" t="s">
        <v>4041</v>
      </c>
      <c r="AE1015" s="2"/>
      <c r="AF1015" t="str">
        <f>_xlfn.CONCAT(FINI_grouping_for_wheel[[#This Row],[SEFI/Plant]],"/",IF(FINI_grouping_for_wheel[[#This Row],[RESET recipe combination]]&lt;&gt;"",FINI_grouping_for_wheel[[#This Row],[RESET recipe combination]],FINI_grouping_for_wheel[[#This Row],[Recipe Combination]]),"/",FINI_grouping_for_wheel[[#This Row],[Subgroup]])</f>
        <v>/x/</v>
      </c>
      <c r="AG1015">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0.03098042769119246</v>
      </c>
      <c r="AH1015">
        <f>_xlfn.LET(_xlpm.pct, FINI_grouping_for_wheel[[#This Row],[% forecast within subgroup]], _xlpm.lote, FINI_grouping_for_wheel[[#This Row],[Lot size considered]], _xlpm.pct*_xlpm.lote)</f>
        <v>0</v>
      </c>
      <c r="AI1015" cm="1" t="str">
        <f t="array" aca="1" ref="AI1015" ca="1">IFERROR(INDIRECT("FINI_grouping_for_wheel[@["&amp;FINI_grouping_for_wheel[[#This Row],[Selected PV]]&amp;"]]"),"")</f>
        <v/>
      </c>
      <c r="AJ1015"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15"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15" s="4"/>
      <c r="AM1015"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15"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15"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15" t="str">
        <f>_xlfn.CONCAT(FINI_grouping_for_wheel[[#This Row],[Recipe Combination]],FINI_grouping_for_wheel[[#This Row],[Subgroup]])</f>
        <v>8</v>
      </c>
    </row>
    <row r="1016" spans="1:55" hidden="1">
      <c r="A1016" t="s">
        <v>21</v>
      </c>
      <c r="G1016" t="s">
        <v>4042</v>
      </c>
      <c r="H1016" t="s">
        <v>4043</v>
      </c>
      <c r="I1016">
        <v>409.2000000000001</v>
      </c>
      <c r="M1016">
        <v>2736.004455</v>
      </c>
      <c r="N1016">
        <v>10.94401782</v>
      </c>
      <c r="S1016" t="s">
        <v>4007</v>
      </c>
      <c r="T1016" t="s">
        <v>93</v>
      </c>
      <c r="U1016">
        <v>9.3000000000000007</v>
      </c>
      <c r="AB1016" t="s">
        <v>4044</v>
      </c>
      <c r="AE1016" s="2"/>
      <c r="AF1016" t="str">
        <f>_xlfn.CONCAT(FINI_grouping_for_wheel[[#This Row],[SEFI/Plant]],"/",IF(FINI_grouping_for_wheel[[#This Row],[RESET recipe combination]]&lt;&gt;"",FINI_grouping_for_wheel[[#This Row],[RESET recipe combination]],FINI_grouping_for_wheel[[#This Row],[Recipe Combination]]),"/",FINI_grouping_for_wheel[[#This Row],[Subgroup]])</f>
        <v>/x/</v>
      </c>
      <c r="AG1016">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0.020940558173251175</v>
      </c>
      <c r="AH1016">
        <f>_xlfn.LET(_xlpm.pct, FINI_grouping_for_wheel[[#This Row],[% forecast within subgroup]], _xlpm.lote, FINI_grouping_for_wheel[[#This Row],[Lot size considered]], _xlpm.pct*_xlpm.lote)</f>
        <v>0</v>
      </c>
      <c r="AI1016" cm="1" t="str">
        <f t="array" aca="1" ref="AI1016" ca="1">IFERROR(INDIRECT("FINI_grouping_for_wheel[@["&amp;FINI_grouping_for_wheel[[#This Row],[Selected PV]]&amp;"]]"),"")</f>
        <v/>
      </c>
      <c r="AJ1016"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16"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16" s="4"/>
      <c r="AM1016"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16"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16"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16" t="str">
        <f>_xlfn.CONCAT(FINI_grouping_for_wheel[[#This Row],[Recipe Combination]],FINI_grouping_for_wheel[[#This Row],[Subgroup]])</f>
        <v>8</v>
      </c>
    </row>
    <row r="1017" spans="1:55" hidden="1">
      <c r="A1017" t="s">
        <v>21</v>
      </c>
      <c r="G1017" t="s">
        <v>4045</v>
      </c>
      <c r="H1017" t="s">
        <v>4046</v>
      </c>
      <c r="I1017">
        <v>411.99</v>
      </c>
      <c r="M1017">
        <v>1208.767005</v>
      </c>
      <c r="N1017">
        <v>4.83506802</v>
      </c>
      <c r="S1017" t="s">
        <v>148</v>
      </c>
      <c r="T1017" t="s">
        <v>93</v>
      </c>
      <c r="U1017">
        <v>0.93</v>
      </c>
      <c r="AB1017" t="s">
        <v>4047</v>
      </c>
      <c r="AE1017" s="2"/>
      <c r="AF1017" t="str">
        <f>_xlfn.CONCAT(FINI_grouping_for_wheel[[#This Row],[SEFI/Plant]],"/",IF(FINI_grouping_for_wheel[[#This Row],[RESET recipe combination]]&lt;&gt;"",FINI_grouping_for_wheel[[#This Row],[RESET recipe combination]],FINI_grouping_for_wheel[[#This Row],[Recipe Combination]]),"/",FINI_grouping_for_wheel[[#This Row],[Subgroup]])</f>
        <v>/x/</v>
      </c>
      <c r="AG1017">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0.009251540413193185</v>
      </c>
      <c r="AH1017">
        <f>_xlfn.LET(_xlpm.pct, FINI_grouping_for_wheel[[#This Row],[% forecast within subgroup]], _xlpm.lote, FINI_grouping_for_wheel[[#This Row],[Lot size considered]], _xlpm.pct*_xlpm.lote)</f>
        <v>0</v>
      </c>
      <c r="AI1017" cm="1" t="str">
        <f t="array" aca="1" ref="AI1017" ca="1">IFERROR(INDIRECT("FINI_grouping_for_wheel[@["&amp;FINI_grouping_for_wheel[[#This Row],[Selected PV]]&amp;"]]"),"")</f>
        <v/>
      </c>
      <c r="AJ1017"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17"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17" s="4"/>
      <c r="AM1017"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17"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17"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17" t="str">
        <f>_xlfn.CONCAT(FINI_grouping_for_wheel[[#This Row],[Recipe Combination]],FINI_grouping_for_wheel[[#This Row],[Subgroup]])</f>
        <v>I</v>
      </c>
    </row>
    <row r="1018" spans="1:55" hidden="1">
      <c r="A1018" t="s">
        <v>21</v>
      </c>
      <c r="G1018" t="s">
        <v>4048</v>
      </c>
      <c r="H1018" t="s">
        <v>4049</v>
      </c>
      <c r="I1018">
        <v>282</v>
      </c>
      <c r="M1018">
        <v>845.30817</v>
      </c>
      <c r="N1018">
        <v>3.38123268</v>
      </c>
      <c r="S1018" t="s">
        <v>148</v>
      </c>
      <c r="T1018" t="s">
        <v>93</v>
      </c>
      <c r="U1018">
        <v>2.35</v>
      </c>
      <c r="AB1018" t="s">
        <v>4050</v>
      </c>
      <c r="AE1018" s="2"/>
      <c r="AF1018" t="str">
        <f>_xlfn.CONCAT(FINI_grouping_for_wheel[[#This Row],[SEFI/Plant]],"/",IF(FINI_grouping_for_wheel[[#This Row],[RESET recipe combination]]&lt;&gt;"",FINI_grouping_for_wheel[[#This Row],[RESET recipe combination]],FINI_grouping_for_wheel[[#This Row],[Recipe Combination]]),"/",FINI_grouping_for_wheel[[#This Row],[Subgroup]])</f>
        <v>/x/</v>
      </c>
      <c r="AG1018">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0.006469735411380935</v>
      </c>
      <c r="AH1018">
        <f>_xlfn.LET(_xlpm.pct, FINI_grouping_for_wheel[[#This Row],[% forecast within subgroup]], _xlpm.lote, FINI_grouping_for_wheel[[#This Row],[Lot size considered]], _xlpm.pct*_xlpm.lote)</f>
        <v>0</v>
      </c>
      <c r="AI1018" cm="1" t="str">
        <f t="array" aca="1" ref="AI1018" ca="1">IFERROR(INDIRECT("FINI_grouping_for_wheel[@["&amp;FINI_grouping_for_wheel[[#This Row],[Selected PV]]&amp;"]]"),"")</f>
        <v/>
      </c>
      <c r="AJ1018"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18"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18" s="4"/>
      <c r="AM1018"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18"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18"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18" s="2" t="str">
        <f>_xlfn.CONCAT(FINI_grouping_for_wheel[[#This Row],[Recipe Combination]],FINI_grouping_for_wheel[[#This Row],[Subgroup]])</f>
        <v>I</v>
      </c>
    </row>
    <row r="1019" spans="1:55" hidden="1">
      <c r="A1019" t="s">
        <v>21</v>
      </c>
      <c r="G1019" t="s">
        <v>4051</v>
      </c>
      <c r="H1019" t="s">
        <v>4052</v>
      </c>
      <c r="I1019">
        <v>368.28</v>
      </c>
      <c r="M1019">
        <v>1968.834015</v>
      </c>
      <c r="N1019">
        <v>7.87533606</v>
      </c>
      <c r="S1019" t="s">
        <v>148</v>
      </c>
      <c r="T1019" t="s">
        <v>93</v>
      </c>
      <c r="U1019">
        <v>0.93</v>
      </c>
      <c r="AB1019" t="s">
        <v>4053</v>
      </c>
      <c r="AE1019" s="2"/>
      <c r="AF1019" t="str">
        <f>_xlfn.CONCAT(FINI_grouping_for_wheel[[#This Row],[SEFI/Plant]],"/",IF(FINI_grouping_for_wheel[[#This Row],[RESET recipe combination]]&lt;&gt;"",FINI_grouping_for_wheel[[#This Row],[RESET recipe combination]],FINI_grouping_for_wheel[[#This Row],[Recipe Combination]]),"/",FINI_grouping_for_wheel[[#This Row],[Subgroup]])</f>
        <v>/x/</v>
      </c>
      <c r="AG1019">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0.01506886553098949</v>
      </c>
      <c r="AH1019">
        <f>_xlfn.LET(_xlpm.pct, FINI_grouping_for_wheel[[#This Row],[% forecast within subgroup]], _xlpm.lote, FINI_grouping_for_wheel[[#This Row],[Lot size considered]], _xlpm.pct*_xlpm.lote)</f>
        <v>0</v>
      </c>
      <c r="AI1019" cm="1" t="str">
        <f t="array" aca="1" ref="AI1019" ca="1">IFERROR(INDIRECT("FINI_grouping_for_wheel[@["&amp;FINI_grouping_for_wheel[[#This Row],[Selected PV]]&amp;"]]"),"")</f>
        <v/>
      </c>
      <c r="AJ1019"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19"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19" s="4"/>
      <c r="AM1019"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19"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19"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19" s="2" t="str">
        <f>_xlfn.CONCAT(FINI_grouping_for_wheel[[#This Row],[Recipe Combination]],FINI_grouping_for_wheel[[#This Row],[Subgroup]])</f>
        <v>I</v>
      </c>
    </row>
    <row r="1020" spans="1:55" hidden="1">
      <c r="A1020" t="s">
        <v>21</v>
      </c>
      <c r="G1020" t="s">
        <v>4054</v>
      </c>
      <c r="H1020" t="s">
        <v>4055</v>
      </c>
      <c r="I1020">
        <v>358.05</v>
      </c>
      <c r="M1020">
        <v>1488.168585</v>
      </c>
      <c r="N1020">
        <v>5.95267434</v>
      </c>
      <c r="S1020" t="s">
        <v>148</v>
      </c>
      <c r="T1020" t="s">
        <v>93</v>
      </c>
      <c r="U1020">
        <v>2.3250000000000002</v>
      </c>
      <c r="AB1020" t="s">
        <v>4056</v>
      </c>
      <c r="AE1020" s="2"/>
      <c r="AF1020" t="str">
        <f>_xlfn.CONCAT(FINI_grouping_for_wheel[[#This Row],[SEFI/Plant]],"/",IF(FINI_grouping_for_wheel[[#This Row],[RESET recipe combination]]&lt;&gt;"",FINI_grouping_for_wheel[[#This Row],[RESET recipe combination]],FINI_grouping_for_wheel[[#This Row],[Recipe Combination]]),"/",FINI_grouping_for_wheel[[#This Row],[Subgroup]])</f>
        <v>/x/</v>
      </c>
      <c r="AG1020">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0.011389996375498368</v>
      </c>
      <c r="AH1020">
        <f>_xlfn.LET(_xlpm.pct, FINI_grouping_for_wheel[[#This Row],[% forecast within subgroup]], _xlpm.lote, FINI_grouping_for_wheel[[#This Row],[Lot size considered]], _xlpm.pct*_xlpm.lote)</f>
        <v>0</v>
      </c>
      <c r="AI1020" cm="1" t="str">
        <f t="array" aca="1" ref="AI1020" ca="1">IFERROR(INDIRECT("FINI_grouping_for_wheel[@["&amp;FINI_grouping_for_wheel[[#This Row],[Selected PV]]&amp;"]]"),"")</f>
        <v/>
      </c>
      <c r="AJ1020"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20"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20" s="4"/>
      <c r="AM1020"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20"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20"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20" s="2" t="str">
        <f>_xlfn.CONCAT(FINI_grouping_for_wheel[[#This Row],[Recipe Combination]],FINI_grouping_for_wheel[[#This Row],[Subgroup]])</f>
        <v>I</v>
      </c>
    </row>
    <row r="1021" spans="1:55" hidden="1">
      <c r="A1021" t="s">
        <v>21</v>
      </c>
      <c r="G1021" t="s">
        <v>4057</v>
      </c>
      <c r="H1021" t="s">
        <v>4058</v>
      </c>
      <c r="I1021">
        <v>358.05</v>
      </c>
      <c r="M1021">
        <v>976.721625</v>
      </c>
      <c r="N1021">
        <v>3.9068865</v>
      </c>
      <c r="S1021" t="s">
        <v>148</v>
      </c>
      <c r="T1021" t="s">
        <v>93</v>
      </c>
      <c r="U1021">
        <v>2.3250000000000002</v>
      </c>
      <c r="AB1021" t="s">
        <v>4059</v>
      </c>
      <c r="AE1021" s="2"/>
      <c r="AF1021" t="str">
        <f>_xlfn.CONCAT(FINI_grouping_for_wheel[[#This Row],[SEFI/Plant]],"/",IF(FINI_grouping_for_wheel[[#This Row],[RESET recipe combination]]&lt;&gt;"",FINI_grouping_for_wheel[[#This Row],[RESET recipe combination]],FINI_grouping_for_wheel[[#This Row],[Recipe Combination]]),"/",FINI_grouping_for_wheel[[#This Row],[Subgroup]])</f>
        <v>/x/</v>
      </c>
      <c r="AG1021">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0.007475534613990576</v>
      </c>
      <c r="AH1021">
        <f>_xlfn.LET(_xlpm.pct, FINI_grouping_for_wheel[[#This Row],[% forecast within subgroup]], _xlpm.lote, FINI_grouping_for_wheel[[#This Row],[Lot size considered]], _xlpm.pct*_xlpm.lote)</f>
        <v>0</v>
      </c>
      <c r="AI1021" cm="1" t="str">
        <f t="array" aca="1" ref="AI1021" ca="1">IFERROR(INDIRECT("FINI_grouping_for_wheel[@["&amp;FINI_grouping_for_wheel[[#This Row],[Selected PV]]&amp;"]]"),"")</f>
        <v/>
      </c>
      <c r="AJ1021"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21"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21" s="4"/>
      <c r="AM1021"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21"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21"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21" s="2" t="str">
        <f>_xlfn.CONCAT(FINI_grouping_for_wheel[[#This Row],[Recipe Combination]],FINI_grouping_for_wheel[[#This Row],[Subgroup]])</f>
        <v>I</v>
      </c>
    </row>
    <row r="1022" spans="1:55" hidden="1">
      <c r="A1022" t="s">
        <v>21</v>
      </c>
      <c r="G1022" t="s">
        <v>4060</v>
      </c>
      <c r="H1022" t="s">
        <v>4061</v>
      </c>
      <c r="I1022">
        <v>334.8</v>
      </c>
      <c r="M1022">
        <v>5672.088855</v>
      </c>
      <c r="N1022">
        <v>22.68835542</v>
      </c>
      <c r="S1022" t="s">
        <v>346</v>
      </c>
      <c r="T1022" t="s">
        <v>93</v>
      </c>
      <c r="U1022">
        <v>2.3250000000000002</v>
      </c>
      <c r="AB1022" t="s">
        <v>4062</v>
      </c>
      <c r="AE1022" s="2"/>
      <c r="AF1022" t="str">
        <f>_xlfn.CONCAT(FINI_grouping_for_wheel[[#This Row],[SEFI/Plant]],"/",IF(FINI_grouping_for_wheel[[#This Row],[RESET recipe combination]]&lt;&gt;"",FINI_grouping_for_wheel[[#This Row],[RESET recipe combination]],FINI_grouping_for_wheel[[#This Row],[Recipe Combination]]),"/",FINI_grouping_for_wheel[[#This Row],[Subgroup]])</f>
        <v>/x/</v>
      </c>
      <c r="AG1022">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0.043412468285610725</v>
      </c>
      <c r="AH1022">
        <f>_xlfn.LET(_xlpm.pct, FINI_grouping_for_wheel[[#This Row],[% forecast within subgroup]], _xlpm.lote, FINI_grouping_for_wheel[[#This Row],[Lot size considered]], _xlpm.pct*_xlpm.lote)</f>
        <v>0</v>
      </c>
      <c r="AI1022" cm="1" t="str">
        <f t="array" aca="1" ref="AI1022" ca="1">IFERROR(INDIRECT("FINI_grouping_for_wheel[@["&amp;FINI_grouping_for_wheel[[#This Row],[Selected PV]]&amp;"]]"),"")</f>
        <v/>
      </c>
      <c r="AJ1022"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22"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22" s="4"/>
      <c r="AM1022"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22"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22"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22" s="2" t="str">
        <f>_xlfn.CONCAT(FINI_grouping_for_wheel[[#This Row],[Recipe Combination]],FINI_grouping_for_wheel[[#This Row],[Subgroup]])</f>
        <v>Q</v>
      </c>
    </row>
    <row r="1023" spans="1:55" hidden="1">
      <c r="A1023" t="s">
        <v>21</v>
      </c>
      <c r="G1023" t="s">
        <v>4063</v>
      </c>
      <c r="H1023" t="s">
        <v>4064</v>
      </c>
      <c r="I1023">
        <v>358.05</v>
      </c>
      <c r="M1023">
        <v>2834.26857</v>
      </c>
      <c r="N1023">
        <v>11.33707428</v>
      </c>
      <c r="S1023" t="s">
        <v>356</v>
      </c>
      <c r="U1023">
        <v>2.3250000000000002</v>
      </c>
      <c r="AB1023" t="s">
        <v>4065</v>
      </c>
      <c r="AE1023" s="2"/>
      <c r="AF1023" t="str">
        <f>_xlfn.CONCAT(FINI_grouping_for_wheel[[#This Row],[SEFI/Plant]],"/",IF(FINI_grouping_for_wheel[[#This Row],[RESET recipe combination]]&lt;&gt;"",FINI_grouping_for_wheel[[#This Row],[RESET recipe combination]],FINI_grouping_for_wheel[[#This Row],[Recipe Combination]]),"/",FINI_grouping_for_wheel[[#This Row],[Subgroup]])</f>
        <v>/R/</v>
      </c>
      <c r="AG1023">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_xlpm.totalFila/_xlpm.totalGrupo
)</f>
        <v>1</v>
      </c>
      <c r="AH1023">
        <f>_xlfn.LET(_xlpm.pct, FINI_grouping_for_wheel[[#This Row],[% forecast within subgroup]], _xlpm.lote, FINI_grouping_for_wheel[[#This Row],[Lot size considered]], _xlpm.pct*_xlpm.lote)</f>
        <v>0</v>
      </c>
      <c r="AI1023" cm="1" t="str">
        <f t="array" aca="1" ref="AI1023" ca="1">IFERROR(INDIRECT("FINI_grouping_for_wheel[@["&amp;FINI_grouping_for_wheel[[#This Row],[Selected PV]]&amp;"]]"),"")</f>
        <v/>
      </c>
      <c r="AJ1023" t="e">
        <f>_xlfn.IFNA(INDEX(Production_versions___List[Lot size (Litres)],MATCH(_xlfn.CONCAT(FINI_grouping_for_wheel[[#This Row],[SEFI/Plant]],"/",FINI_grouping_for_wheel[[#This Row],[Selected PV]]),Production_versions___List[PV lot],0)),INDEX(Production_versions___List[Lot size (Litres)],MATCH(_xlfn.CONCAT(FINI_grouping_for_wheel[[#This Row],[SEFI/Plant]],"/","PV - 1"),Production_versions___List[PV lot],0)))</f>
        <v>#N/A</v>
      </c>
      <c r="AK1023" t="e">
        <f>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_xlpm.sefiQty, _xlpm.pct*FINI_grouping_for_wheel[[#This Row],[SEFI litres lot size of selected PV]],
  ROUND(_xlpm.sefiQty/FINI_grouping_for_wheel[[#This Row],[Pallet in litres]],1)
)</f>
        <v>#N/A</v>
      </c>
      <c r="AL1023" s="4"/>
      <c r="AM1023" s="5"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- 1]]),Production_versions___List[PV lot],0)),
  _xlpm.sefiQty, _xlpm.pct*_xlpm.PVlot*0.85,
  _xlfn.IFNA(ROUND(_xlpm.sefiQty/FINI_grouping_for_wheel[[#This Row],[Avg daily demand]],0),"")
)</f>
        <v/>
      </c>
      <c r="AN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- 2]]),Production_versions___List[PV lot],0)),
  _xlpm.sefiQty, _xlpm.pct*_xlpm.PVlot*factor,
  _xlfn.IFNA(ROUND(_xlpm.sefiQty/FINI_grouping_for_wheel[[#This Row],[Avg daily demand]],0),"")
)</f>
        <v/>
      </c>
      <c r="AO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- 3]]),Production_versions___List[PV lot],0)),
  _xlpm.sefiQty, _xlpm.pct*_xlpm.PVlot*factor,
  _xlfn.IFNA(ROUND(_xlpm.sefiQty/FINI_grouping_for_wheel[[#This Row],[Avg daily demand]],0),"")
)</f>
        <v/>
      </c>
      <c r="AP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- 4]]),Production_versions___List[PV lot],0)),
  _xlpm.sefiQty, _xlpm.pct*_xlpm.PVlot*factor,
  _xlfn.IFNA(ROUND(_xlpm.sefiQty/FINI_grouping_for_wheel[[#This Row],[Avg daily demand]],0),"")
)</f>
        <v/>
      </c>
      <c r="AQ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- 5]]),Production_versions___List[PV lot],0)),
  _xlpm.sefiQty, _xlpm.pct*_xlpm.PVlot*factor,
  _xlfn.IFNA(ROUND(_xlpm.sefiQty/FINI_grouping_for_wheel[[#This Row],[Avg daily demand]],0),"")
)</f>
        <v/>
      </c>
      <c r="AR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- 6]]),Production_versions___List[PV lot],0)),
  _xlpm.sefiQty, _xlpm.pct*_xlpm.PVlot*factor,
  _xlfn.IFNA(ROUND(_xlpm.sefiQty/FINI_grouping_for_wheel[[#This Row],[Avg daily demand]],0),"")
)</f>
        <v/>
      </c>
      <c r="AS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- 7]]),Production_versions___List[PV lot],0)),
  _xlpm.sefiQty, _xlpm.pct*_xlpm.PVlot*factor,
  _xlfn.IFNA(ROUND(_xlpm.sefiQty/FINI_grouping_for_wheel[[#This Row],[Avg daily demand]],0),"")
)</f>
        <v/>
      </c>
      <c r="AT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- 8]]),Production_versions___List[PV lot],0)),
  _xlpm.sefiQty, _xlpm.pct*_xlpm.PVlot*factor,
  _xlfn.IFNA(ROUND(_xlpm.sefiQty/FINI_grouping_for_wheel[[#This Row],[Avg daily demand]],0),"")
)</f>
        <v/>
      </c>
      <c r="AU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- 9]]),Production_versions___List[PV lot],0)),
  _xlpm.sefiQty, _xlpm.pct*_xlpm.PVlot*factor,
  _xlfn.IFNA(ROUND(_xlpm.sefiQty/FINI_grouping_for_wheel[[#This Row],[Avg daily demand]],0),"")
)</f>
        <v/>
      </c>
      <c r="AV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- 10]]),Production_versions___List[PV lot],0)),
  _xlpm.sefiQty, _xlpm.pct*_xlpm.PVlot*factor,
  _xlfn.IFNA(ROUND(_xlpm.sefiQty/FINI_grouping_for_wheel[[#This Row],[Avg daily demand]],0),"")
)</f>
        <v/>
      </c>
      <c r="AW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- 11]]),Production_versions___List[PV lot],0)),
  _xlpm.sefiQty, _xlpm.pct*_xlpm.PVlot*factor,
  _xlfn.IFNA(ROUND(_xlpm.sefiQty/FINI_grouping_for_wheel[[#This Row],[Avg daily demand]],0),"")
)</f>
        <v/>
      </c>
      <c r="AX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- 12]]),Production_versions___List[PV lot],0)),
  _xlpm.sefiQty, _xlpm.pct*_xlpm.PVlot*factor,
  _xlfn.IFNA(ROUND(_xlpm.sefiQty/FINI_grouping_for_wheel[[#This Row],[Avg daily demand]],0),"")
)</f>
        <v/>
      </c>
      <c r="AY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- 13]]),Production_versions___List[PV lot],0)),
  _xlpm.sefiQty, _xlpm.pct*_xlpm.PVlot*factor,
  _xlfn.IFNA(ROUND(_xlpm.sefiQty/FINI_grouping_for_wheel[[#This Row],[Avg daily demand]],0),"")
)</f>
        <v/>
      </c>
      <c r="AZ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- 14]]),Production_versions___List[PV lot],0)),
  _xlpm.sefiQty, _xlpm.pct*_xlpm.PVlot*factor,
  _xlfn.IFNA(ROUND(_xlpm.sefiQty/FINI_grouping_for_wheel[[#This Row],[Avg daily demand]],0),"")
)</f>
        <v/>
      </c>
      <c r="BA1023" s="6"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- 15]]),Production_versions___List[PV lot],0)),
  _xlpm.sefiQty, _xlpm.pct*_xlpm.PVlot*factor,
  _xlfn.IFNA(ROUND(_xlpm.sefiQty/FINI_grouping_for_wheel[[#This Row],[Avg daily demand]],0),"")
)</f>
        <v/>
      </c>
      <c r="BB1023" s="7" t="str">
        <f xml:space="preserve"> _xlfn.LET(
  _xlpm.clave, FINI_grouping_for_wheel[[#This Row],[SEFI/Plant/Recipe/Subgroup]],
  _xlpm.totalFila, FINI_grouping_for_wheel[[#This Row],[Total FINI forecast (litres)]],
  _xlpm.totalGrupo, SUMIFS(FINI_grouping_for_wheel[Total FINI forecast (litres)], FINI_grouping_for_wheel[SEFI/Plant/Recipe/Subgroup], _xlpm.clave),
  _xlpm.pct, _xlpm.totalFila/_xlpm.totalGrupo,
  _xlpm.PVlot, INDEX(Production_versions___List[Lot size (Litres)],MATCH(_xlfn.CONCAT(FINI_grouping_for_wheel[[#This Row],[SEFI/Plant]],"/",FINI_grouping_for_wheel[[#Headers],[PV - 16]]),Production_versions___List[PV lot],0)),
  _xlpm.sefiQty, _xlpm.pct*_xlpm.PVlot*factor,
  _xlfn.IFNA(ROUND(_xlpm.sefiQty/FINI_grouping_for_wheel[[#This Row],[Avg daily demand]],0),"")
)</f>
        <v/>
      </c>
      <c r="BC1023" s="2" t="str">
        <f>_xlfn.CONCAT(FINI_grouping_for_wheel[[#This Row],[Recipe Combination]],FINI_grouping_for_wheel[[#This Row],[Subgroup]])</f>
        <v>R</v>
      </c>
    </row>
  </sheetData>
  <phoneticPr fontId="4" type="noConversion"/>
  <conditionalFormatting sqref="AK3:AK1023">
    <cfRule type="cellIs" dxfId="2" priority="1" operator="lessThan">
      <formula>1</formula>
    </cfRule>
  </conditionalFormatting>
  <dataValidations count="1">
    <dataValidation type="list" allowBlank="1" showInputMessage="1" showErrorMessage="1" sqref="AE3:AE1023" xr:uid="{02132CC7-AA09-4D94-A8DB-FF17FBC34214}">
      <formula1>$AM$2:$BB$2</formula1>
    </dataValidation>
  </dataValidations>
  <pageMargins left="0.7" right="0.7" top="0.75" bottom="0.75" header="0.3" footer="0.3"/>
  <customProperties>
    <customPr name="_pios_id" r:id="rId1"/>
  </customPropertie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E4C50-5B8E-4C33-A28A-4C75411901D0}">
  <dimension ref="A1:D804"/>
  <sheetViews>
    <sheetView workbookViewId="0">
      <selection activeCell="D1" sqref="D1:D1048576"/>
    </sheetView>
  </sheetViews>
  <sheetFormatPr baseColWidth="10" defaultColWidth="9.1640625" defaultRowHeight="15"/>
  <cols>
    <col min="1" max="1" width="10.83203125" customWidth="1"/>
    <col min="2" max="2" width="11.5" customWidth="1"/>
    <col min="3" max="3" width="17.5" customWidth="1"/>
  </cols>
  <sheetData>
    <row r="1" spans="1:4">
      <c r="A1" t="s">
        <v>38</v>
      </c>
      <c r="B1" t="s">
        <v>61</v>
      </c>
      <c r="C1" t="s">
        <v>66</v>
      </c>
      <c r="D1" t="s">
        <v>4066</v>
      </c>
    </row>
    <row r="2" spans="1:4">
      <c r="A2" t="s">
        <v>88</v>
      </c>
      <c r="B2">
        <v>9</v>
      </c>
      <c r="C2">
        <v>47</v>
      </c>
      <c r="D2" t="b">
        <f ca="1">EXACT(Table15[[#This Row],[RoC selected PV]],INDEX(FINI_grouping_for_wheel[RoC selected PV],MATCH(Table15[[#This Row],[Material]],FINI_grouping_for_wheel[Material],0)))</f>
        <v>1</v>
      </c>
    </row>
    <row r="3" spans="1:4">
      <c r="A3" t="s">
        <v>100</v>
      </c>
      <c r="B3">
        <v>8</v>
      </c>
      <c r="C3">
        <v>124</v>
      </c>
      <c r="D3" t="b">
        <f ca="1">EXACT(Table15[[#This Row],[RoC selected PV]],INDEX(FINI_grouping_for_wheel[RoC selected PV],MATCH(Table15[[#This Row],[Material]],FINI_grouping_for_wheel[Material],0)))</f>
        <v>1</v>
      </c>
    </row>
    <row r="4" spans="1:4">
      <c r="A4" t="s">
        <v>109</v>
      </c>
      <c r="B4">
        <v>8</v>
      </c>
      <c r="C4">
        <v>124</v>
      </c>
      <c r="D4" t="b">
        <f ca="1">EXACT(Table15[[#This Row],[RoC selected PV]],INDEX(FINI_grouping_for_wheel[RoC selected PV],MATCH(Table15[[#This Row],[Material]],FINI_grouping_for_wheel[Material],0)))</f>
        <v>1</v>
      </c>
    </row>
    <row r="5" spans="1:4">
      <c r="A5" t="s">
        <v>114</v>
      </c>
      <c r="B5">
        <v>11</v>
      </c>
      <c r="C5">
        <v>72</v>
      </c>
      <c r="D5" t="b">
        <f ca="1">EXACT(Table15[[#This Row],[RoC selected PV]],INDEX(FINI_grouping_for_wheel[RoC selected PV],MATCH(Table15[[#This Row],[Material]],FINI_grouping_for_wheel[Material],0)))</f>
        <v>1</v>
      </c>
    </row>
    <row r="6" spans="1:4">
      <c r="A6" t="s">
        <v>122</v>
      </c>
      <c r="B6">
        <v>7</v>
      </c>
      <c r="C6">
        <v>100</v>
      </c>
      <c r="D6" t="b">
        <f ca="1">EXACT(Table15[[#This Row],[RoC selected PV]],INDEX(FINI_grouping_for_wheel[RoC selected PV],MATCH(Table15[[#This Row],[Material]],FINI_grouping_for_wheel[Material],0)))</f>
        <v>1</v>
      </c>
    </row>
    <row r="7" spans="1:4">
      <c r="A7" t="s">
        <v>131</v>
      </c>
      <c r="B7">
        <v>7</v>
      </c>
      <c r="C7">
        <v>100</v>
      </c>
      <c r="D7" t="b">
        <f ca="1">EXACT(Table15[[#This Row],[RoC selected PV]],INDEX(FINI_grouping_for_wheel[RoC selected PV],MATCH(Table15[[#This Row],[Material]],FINI_grouping_for_wheel[Material],0)))</f>
        <v>1</v>
      </c>
    </row>
    <row r="8" spans="1:4">
      <c r="A8" t="s">
        <v>138</v>
      </c>
      <c r="B8">
        <v>7</v>
      </c>
      <c r="C8">
        <v>100</v>
      </c>
      <c r="D8" t="b">
        <f ca="1">EXACT(Table15[[#This Row],[RoC selected PV]],INDEX(FINI_grouping_for_wheel[RoC selected PV],MATCH(Table15[[#This Row],[Material]],FINI_grouping_for_wheel[Material],0)))</f>
        <v>1</v>
      </c>
    </row>
    <row r="9" spans="1:4">
      <c r="A9" t="s">
        <v>144</v>
      </c>
      <c r="B9">
        <v>12</v>
      </c>
      <c r="C9">
        <v>131</v>
      </c>
      <c r="D9" t="b">
        <f ca="1">EXACT(Table15[[#This Row],[RoC selected PV]],INDEX(FINI_grouping_for_wheel[RoC selected PV],MATCH(Table15[[#This Row],[Material]],FINI_grouping_for_wheel[Material],0)))</f>
        <v>1</v>
      </c>
    </row>
    <row r="10" spans="1:4">
      <c r="A10" t="s">
        <v>153</v>
      </c>
      <c r="B10">
        <v>9</v>
      </c>
      <c r="C10">
        <v>47</v>
      </c>
      <c r="D10" t="b">
        <f ca="1">EXACT(Table15[[#This Row],[RoC selected PV]],INDEX(FINI_grouping_for_wheel[RoC selected PV],MATCH(Table15[[#This Row],[Material]],FINI_grouping_for_wheel[Material],0)))</f>
        <v>1</v>
      </c>
    </row>
    <row r="11" spans="1:4">
      <c r="A11" t="s">
        <v>161</v>
      </c>
      <c r="B11">
        <v>13</v>
      </c>
      <c r="C11">
        <v>70</v>
      </c>
      <c r="D11" t="b">
        <f ca="1">EXACT(Table15[[#This Row],[RoC selected PV]],INDEX(FINI_grouping_for_wheel[RoC selected PV],MATCH(Table15[[#This Row],[Material]],FINI_grouping_for_wheel[Material],0)))</f>
        <v>1</v>
      </c>
    </row>
    <row r="12" spans="1:4">
      <c r="A12" t="s">
        <v>169</v>
      </c>
      <c r="B12">
        <v>10</v>
      </c>
      <c r="C12">
        <v>45</v>
      </c>
      <c r="D12" t="b">
        <f ca="1">EXACT(Table15[[#This Row],[RoC selected PV]],INDEX(FINI_grouping_for_wheel[RoC selected PV],MATCH(Table15[[#This Row],[Material]],FINI_grouping_for_wheel[Material],0)))</f>
        <v>1</v>
      </c>
    </row>
    <row r="13" spans="1:4">
      <c r="A13" t="s">
        <v>176</v>
      </c>
      <c r="B13">
        <v>10</v>
      </c>
      <c r="C13">
        <v>45</v>
      </c>
      <c r="D13" t="b">
        <f ca="1">EXACT(Table15[[#This Row],[RoC selected PV]],INDEX(FINI_grouping_for_wheel[RoC selected PV],MATCH(Table15[[#This Row],[Material]],FINI_grouping_for_wheel[Material],0)))</f>
        <v>1</v>
      </c>
    </row>
    <row r="14" spans="1:4">
      <c r="A14" t="s">
        <v>181</v>
      </c>
      <c r="B14">
        <v>11</v>
      </c>
      <c r="C14">
        <v>72</v>
      </c>
      <c r="D14" t="b">
        <f ca="1">EXACT(Table15[[#This Row],[RoC selected PV]],INDEX(FINI_grouping_for_wheel[RoC selected PV],MATCH(Table15[[#This Row],[Material]],FINI_grouping_for_wheel[Material],0)))</f>
        <v>1</v>
      </c>
    </row>
    <row r="15" spans="1:4">
      <c r="A15" t="s">
        <v>186</v>
      </c>
      <c r="B15">
        <v>7</v>
      </c>
      <c r="C15">
        <v>100</v>
      </c>
      <c r="D15" t="b">
        <f ca="1">EXACT(Table15[[#This Row],[RoC selected PV]],INDEX(FINI_grouping_for_wheel[RoC selected PV],MATCH(Table15[[#This Row],[Material]],FINI_grouping_for_wheel[Material],0)))</f>
        <v>1</v>
      </c>
    </row>
    <row r="16" spans="1:4">
      <c r="A16" t="s">
        <v>191</v>
      </c>
      <c r="B16">
        <v>6</v>
      </c>
      <c r="C16">
        <v>91</v>
      </c>
      <c r="D16" t="b">
        <f ca="1">EXACT(Table15[[#This Row],[RoC selected PV]],INDEX(FINI_grouping_for_wheel[RoC selected PV],MATCH(Table15[[#This Row],[Material]],FINI_grouping_for_wheel[Material],0)))</f>
        <v>1</v>
      </c>
    </row>
    <row r="17" spans="1:4">
      <c r="A17" t="s">
        <v>198</v>
      </c>
      <c r="B17">
        <v>6</v>
      </c>
      <c r="C17">
        <v>91</v>
      </c>
      <c r="D17" t="b">
        <f ca="1">EXACT(Table15[[#This Row],[RoC selected PV]],INDEX(FINI_grouping_for_wheel[RoC selected PV],MATCH(Table15[[#This Row],[Material]],FINI_grouping_for_wheel[Material],0)))</f>
        <v>1</v>
      </c>
    </row>
    <row r="18" spans="1:4">
      <c r="A18" t="s">
        <v>203</v>
      </c>
      <c r="B18">
        <v>8</v>
      </c>
      <c r="C18">
        <v>124</v>
      </c>
      <c r="D18" t="b">
        <f ca="1">EXACT(Table15[[#This Row],[RoC selected PV]],INDEX(FINI_grouping_for_wheel[RoC selected PV],MATCH(Table15[[#This Row],[Material]],FINI_grouping_for_wheel[Material],0)))</f>
        <v>1</v>
      </c>
    </row>
    <row r="19" spans="1:4">
      <c r="A19" t="s">
        <v>209</v>
      </c>
      <c r="B19">
        <v>6</v>
      </c>
      <c r="C19">
        <v>91</v>
      </c>
      <c r="D19" t="b">
        <f ca="1">EXACT(Table15[[#This Row],[RoC selected PV]],INDEX(FINI_grouping_for_wheel[RoC selected PV],MATCH(Table15[[#This Row],[Material]],FINI_grouping_for_wheel[Material],0)))</f>
        <v>1</v>
      </c>
    </row>
    <row r="20" spans="1:4">
      <c r="A20" t="s">
        <v>214</v>
      </c>
      <c r="B20">
        <v>2</v>
      </c>
      <c r="C20">
        <v>6</v>
      </c>
      <c r="D20" t="b">
        <f ca="1">EXACT(Table15[[#This Row],[RoC selected PV]],INDEX(FINI_grouping_for_wheel[RoC selected PV],MATCH(Table15[[#This Row],[Material]],FINI_grouping_for_wheel[Material],0)))</f>
        <v>1</v>
      </c>
    </row>
    <row r="21" spans="1:4">
      <c r="A21" t="s">
        <v>220</v>
      </c>
      <c r="B21">
        <v>5</v>
      </c>
      <c r="C21">
        <v>14</v>
      </c>
      <c r="D21" t="b">
        <f ca="1">EXACT(Table15[[#This Row],[RoC selected PV]],INDEX(FINI_grouping_for_wheel[RoC selected PV],MATCH(Table15[[#This Row],[Material]],FINI_grouping_for_wheel[Material],0)))</f>
        <v>1</v>
      </c>
    </row>
    <row r="22" spans="1:4">
      <c r="A22" t="s">
        <v>226</v>
      </c>
      <c r="B22">
        <v>3</v>
      </c>
      <c r="C22">
        <v>7</v>
      </c>
      <c r="D22" t="b">
        <f ca="1">EXACT(Table15[[#This Row],[RoC selected PV]],INDEX(FINI_grouping_for_wheel[RoC selected PV],MATCH(Table15[[#This Row],[Material]],FINI_grouping_for_wheel[Material],0)))</f>
        <v>1</v>
      </c>
    </row>
    <row r="23" spans="1:4">
      <c r="A23" t="s">
        <v>233</v>
      </c>
      <c r="B23">
        <v>4</v>
      </c>
      <c r="C23">
        <v>10</v>
      </c>
      <c r="D23" t="b">
        <f ca="1">EXACT(Table15[[#This Row],[RoC selected PV]],INDEX(FINI_grouping_for_wheel[RoC selected PV],MATCH(Table15[[#This Row],[Material]],FINI_grouping_for_wheel[Material],0)))</f>
        <v>1</v>
      </c>
    </row>
    <row r="24" spans="1:4">
      <c r="A24" t="s">
        <v>240</v>
      </c>
      <c r="B24">
        <v>1</v>
      </c>
      <c r="C24">
        <v>1</v>
      </c>
      <c r="D24" t="b">
        <f ca="1">EXACT(Table15[[#This Row],[RoC selected PV]],INDEX(FINI_grouping_for_wheel[RoC selected PV],MATCH(Table15[[#This Row],[Material]],FINI_grouping_for_wheel[Material],0)))</f>
        <v>1</v>
      </c>
    </row>
    <row r="25" spans="1:4">
      <c r="A25" t="s">
        <v>247</v>
      </c>
      <c r="B25">
        <v>15</v>
      </c>
      <c r="C25">
        <v>53</v>
      </c>
      <c r="D25" t="b">
        <f ca="1">EXACT(Table15[[#This Row],[RoC selected PV]],INDEX(FINI_grouping_for_wheel[RoC selected PV],MATCH(Table15[[#This Row],[Material]],FINI_grouping_for_wheel[Material],0)))</f>
        <v>1</v>
      </c>
    </row>
    <row r="26" spans="1:4">
      <c r="A26" t="s">
        <v>252</v>
      </c>
      <c r="B26">
        <v>14</v>
      </c>
      <c r="C26">
        <v>108</v>
      </c>
      <c r="D26" t="b">
        <f ca="1">EXACT(Table15[[#This Row],[RoC selected PV]],INDEX(FINI_grouping_for_wheel[RoC selected PV],MATCH(Table15[[#This Row],[Material]],FINI_grouping_for_wheel[Material],0)))</f>
        <v>1</v>
      </c>
    </row>
    <row r="27" spans="1:4">
      <c r="A27" t="s">
        <v>257</v>
      </c>
      <c r="B27">
        <v>7</v>
      </c>
      <c r="C27">
        <v>39</v>
      </c>
      <c r="D27" t="b">
        <f ca="1">EXACT(Table15[[#This Row],[RoC selected PV]],INDEX(FINI_grouping_for_wheel[RoC selected PV],MATCH(Table15[[#This Row],[Material]],FINI_grouping_for_wheel[Material],0)))</f>
        <v>1</v>
      </c>
    </row>
    <row r="28" spans="1:4">
      <c r="A28" t="s">
        <v>262</v>
      </c>
      <c r="B28">
        <v>5</v>
      </c>
      <c r="C28">
        <v>191</v>
      </c>
      <c r="D28" t="b">
        <f ca="1">EXACT(Table15[[#This Row],[RoC selected PV]],INDEX(FINI_grouping_for_wheel[RoC selected PV],MATCH(Table15[[#This Row],[Material]],FINI_grouping_for_wheel[Material],0)))</f>
        <v>1</v>
      </c>
    </row>
    <row r="29" spans="1:4">
      <c r="A29" t="s">
        <v>269</v>
      </c>
      <c r="B29">
        <v>6</v>
      </c>
      <c r="C29">
        <v>39</v>
      </c>
      <c r="D29" t="b">
        <f ca="1">EXACT(Table15[[#This Row],[RoC selected PV]],INDEX(FINI_grouping_for_wheel[RoC selected PV],MATCH(Table15[[#This Row],[Material]],FINI_grouping_for_wheel[Material],0)))</f>
        <v>1</v>
      </c>
    </row>
    <row r="30" spans="1:4">
      <c r="A30" t="s">
        <v>275</v>
      </c>
      <c r="B30">
        <v>6</v>
      </c>
      <c r="C30">
        <v>39</v>
      </c>
      <c r="D30" t="b">
        <f ca="1">EXACT(Table15[[#This Row],[RoC selected PV]],INDEX(FINI_grouping_for_wheel[RoC selected PV],MATCH(Table15[[#This Row],[Material]],FINI_grouping_for_wheel[Material],0)))</f>
        <v>1</v>
      </c>
    </row>
    <row r="31" spans="1:4">
      <c r="A31" t="s">
        <v>280</v>
      </c>
      <c r="B31">
        <v>9</v>
      </c>
      <c r="C31">
        <v>39</v>
      </c>
      <c r="D31" t="b">
        <f ca="1">EXACT(Table15[[#This Row],[RoC selected PV]],INDEX(FINI_grouping_for_wheel[RoC selected PV],MATCH(Table15[[#This Row],[Material]],FINI_grouping_for_wheel[Material],0)))</f>
        <v>1</v>
      </c>
    </row>
    <row r="32" spans="1:4">
      <c r="A32" t="s">
        <v>285</v>
      </c>
      <c r="B32">
        <v>16</v>
      </c>
      <c r="C32">
        <v>96</v>
      </c>
      <c r="D32" t="b">
        <f ca="1">EXACT(Table15[[#This Row],[RoC selected PV]],INDEX(FINI_grouping_for_wheel[RoC selected PV],MATCH(Table15[[#This Row],[Material]],FINI_grouping_for_wheel[Material],0)))</f>
        <v>1</v>
      </c>
    </row>
    <row r="33" spans="1:4">
      <c r="A33" t="s">
        <v>290</v>
      </c>
      <c r="B33">
        <v>13</v>
      </c>
      <c r="C33">
        <v>54</v>
      </c>
      <c r="D33" t="b">
        <f ca="1">EXACT(Table15[[#This Row],[RoC selected PV]],INDEX(FINI_grouping_for_wheel[RoC selected PV],MATCH(Table15[[#This Row],[Material]],FINI_grouping_for_wheel[Material],0)))</f>
        <v>1</v>
      </c>
    </row>
    <row r="34" spans="1:4">
      <c r="A34" t="s">
        <v>297</v>
      </c>
      <c r="B34">
        <v>15</v>
      </c>
      <c r="C34">
        <v>53</v>
      </c>
      <c r="D34" t="b">
        <f ca="1">EXACT(Table15[[#This Row],[RoC selected PV]],INDEX(FINI_grouping_for_wheel[RoC selected PV],MATCH(Table15[[#This Row],[Material]],FINI_grouping_for_wheel[Material],0)))</f>
        <v>1</v>
      </c>
    </row>
    <row r="35" spans="1:4">
      <c r="A35" t="s">
        <v>303</v>
      </c>
      <c r="B35">
        <v>5</v>
      </c>
      <c r="C35">
        <v>191</v>
      </c>
      <c r="D35" t="b">
        <f ca="1">EXACT(Table15[[#This Row],[RoC selected PV]],INDEX(FINI_grouping_for_wheel[RoC selected PV],MATCH(Table15[[#This Row],[Material]],FINI_grouping_for_wheel[Material],0)))</f>
        <v>1</v>
      </c>
    </row>
    <row r="36" spans="1:4">
      <c r="A36" t="s">
        <v>310</v>
      </c>
      <c r="B36">
        <v>5</v>
      </c>
      <c r="C36">
        <v>191</v>
      </c>
      <c r="D36" t="b">
        <f ca="1">EXACT(Table15[[#This Row],[RoC selected PV]],INDEX(FINI_grouping_for_wheel[RoC selected PV],MATCH(Table15[[#This Row],[Material]],FINI_grouping_for_wheel[Material],0)))</f>
        <v>1</v>
      </c>
    </row>
    <row r="37" spans="1:4">
      <c r="A37" t="s">
        <v>317</v>
      </c>
      <c r="B37">
        <v>5</v>
      </c>
      <c r="C37">
        <v>191</v>
      </c>
      <c r="D37" t="b">
        <f ca="1">EXACT(Table15[[#This Row],[RoC selected PV]],INDEX(FINI_grouping_for_wheel[RoC selected PV],MATCH(Table15[[#This Row],[Material]],FINI_grouping_for_wheel[Material],0)))</f>
        <v>1</v>
      </c>
    </row>
    <row r="38" spans="1:4">
      <c r="A38" t="s">
        <v>320</v>
      </c>
      <c r="B38">
        <v>1</v>
      </c>
      <c r="C38">
        <v>2</v>
      </c>
      <c r="D38" t="b">
        <f ca="1">EXACT(Table15[[#This Row],[RoC selected PV]],INDEX(FINI_grouping_for_wheel[RoC selected PV],MATCH(Table15[[#This Row],[Material]],FINI_grouping_for_wheel[Material],0)))</f>
        <v>1</v>
      </c>
    </row>
    <row r="39" spans="1:4">
      <c r="A39" t="s">
        <v>326</v>
      </c>
      <c r="B39">
        <v>15</v>
      </c>
      <c r="C39">
        <v>53</v>
      </c>
      <c r="D39" t="b">
        <f ca="1">EXACT(Table15[[#This Row],[RoC selected PV]],INDEX(FINI_grouping_for_wheel[RoC selected PV],MATCH(Table15[[#This Row],[Material]],FINI_grouping_for_wheel[Material],0)))</f>
        <v>1</v>
      </c>
    </row>
    <row r="40" spans="1:4">
      <c r="A40" t="s">
        <v>404</v>
      </c>
      <c r="B40">
        <v>12</v>
      </c>
      <c r="C40">
        <v>56</v>
      </c>
      <c r="D40" t="b">
        <f ca="1">EXACT(Table15[[#This Row],[RoC selected PV]],INDEX(FINI_grouping_for_wheel[RoC selected PV],MATCH(Table15[[#This Row],[Material]],FINI_grouping_for_wheel[Material],0)))</f>
        <v>0</v>
      </c>
    </row>
    <row r="41" spans="1:4">
      <c r="A41" t="s">
        <v>336</v>
      </c>
      <c r="B41">
        <v>15</v>
      </c>
      <c r="C41">
        <v>53</v>
      </c>
      <c r="D41" t="b">
        <f ca="1">EXACT(Table15[[#This Row],[RoC selected PV]],INDEX(FINI_grouping_for_wheel[RoC selected PV],MATCH(Table15[[#This Row],[Material]],FINI_grouping_for_wheel[Material],0)))</f>
        <v>1</v>
      </c>
    </row>
    <row r="42" spans="1:4">
      <c r="A42" t="s">
        <v>339</v>
      </c>
      <c r="B42">
        <v>14</v>
      </c>
      <c r="C42">
        <v>108</v>
      </c>
      <c r="D42" t="b">
        <f ca="1">EXACT(Table15[[#This Row],[RoC selected PV]],INDEX(FINI_grouping_for_wheel[RoC selected PV],MATCH(Table15[[#This Row],[Material]],FINI_grouping_for_wheel[Material],0)))</f>
        <v>1</v>
      </c>
    </row>
    <row r="43" spans="1:4">
      <c r="A43" t="s">
        <v>342</v>
      </c>
      <c r="B43">
        <v>8</v>
      </c>
      <c r="C43">
        <v>84</v>
      </c>
      <c r="D43" t="b">
        <f ca="1">EXACT(Table15[[#This Row],[RoC selected PV]],INDEX(FINI_grouping_for_wheel[RoC selected PV],MATCH(Table15[[#This Row],[Material]],FINI_grouping_for_wheel[Material],0)))</f>
        <v>1</v>
      </c>
    </row>
    <row r="44" spans="1:4">
      <c r="A44" t="s">
        <v>349</v>
      </c>
      <c r="B44">
        <v>9</v>
      </c>
      <c r="C44">
        <v>39</v>
      </c>
      <c r="D44" t="b">
        <f ca="1">EXACT(Table15[[#This Row],[RoC selected PV]],INDEX(FINI_grouping_for_wheel[RoC selected PV],MATCH(Table15[[#This Row],[Material]],FINI_grouping_for_wheel[Material],0)))</f>
        <v>1</v>
      </c>
    </row>
    <row r="45" spans="1:4">
      <c r="A45" t="s">
        <v>354</v>
      </c>
      <c r="B45">
        <v>5</v>
      </c>
      <c r="C45">
        <v>191</v>
      </c>
      <c r="D45" t="b">
        <f ca="1">EXACT(Table15[[#This Row],[RoC selected PV]],INDEX(FINI_grouping_for_wheel[RoC selected PV],MATCH(Table15[[#This Row],[Material]],FINI_grouping_for_wheel[Material],0)))</f>
        <v>1</v>
      </c>
    </row>
    <row r="46" spans="1:4">
      <c r="A46" t="s">
        <v>358</v>
      </c>
      <c r="B46">
        <v>5</v>
      </c>
      <c r="C46">
        <v>191</v>
      </c>
      <c r="D46" t="b">
        <f ca="1">EXACT(Table15[[#This Row],[RoC selected PV]],INDEX(FINI_grouping_for_wheel[RoC selected PV],MATCH(Table15[[#This Row],[Material]],FINI_grouping_for_wheel[Material],0)))</f>
        <v>1</v>
      </c>
    </row>
    <row r="47" spans="1:4">
      <c r="A47" t="s">
        <v>363</v>
      </c>
      <c r="B47">
        <v>7</v>
      </c>
      <c r="C47">
        <v>39</v>
      </c>
      <c r="D47" t="b">
        <f ca="1">EXACT(Table15[[#This Row],[RoC selected PV]],INDEX(FINI_grouping_for_wheel[RoC selected PV],MATCH(Table15[[#This Row],[Material]],FINI_grouping_for_wheel[Material],0)))</f>
        <v>1</v>
      </c>
    </row>
    <row r="48" spans="1:4">
      <c r="A48" t="s">
        <v>368</v>
      </c>
      <c r="B48">
        <v>7</v>
      </c>
      <c r="C48">
        <v>39</v>
      </c>
      <c r="D48" t="b">
        <f ca="1">EXACT(Table15[[#This Row],[RoC selected PV]],INDEX(FINI_grouping_for_wheel[RoC selected PV],MATCH(Table15[[#This Row],[Material]],FINI_grouping_for_wheel[Material],0)))</f>
        <v>1</v>
      </c>
    </row>
    <row r="49" spans="1:4">
      <c r="A49" t="s">
        <v>373</v>
      </c>
      <c r="B49">
        <v>8</v>
      </c>
      <c r="C49">
        <v>84</v>
      </c>
      <c r="D49" t="b">
        <f ca="1">EXACT(Table15[[#This Row],[RoC selected PV]],INDEX(FINI_grouping_for_wheel[RoC selected PV],MATCH(Table15[[#This Row],[Material]],FINI_grouping_for_wheel[Material],0)))</f>
        <v>1</v>
      </c>
    </row>
    <row r="50" spans="1:4">
      <c r="A50" t="s">
        <v>378</v>
      </c>
      <c r="B50">
        <v>9</v>
      </c>
      <c r="C50">
        <v>39</v>
      </c>
      <c r="D50" t="b">
        <f ca="1">EXACT(Table15[[#This Row],[RoC selected PV]],INDEX(FINI_grouping_for_wheel[RoC selected PV],MATCH(Table15[[#This Row],[Material]],FINI_grouping_for_wheel[Material],0)))</f>
        <v>1</v>
      </c>
    </row>
    <row r="51" spans="1:4">
      <c r="A51" t="s">
        <v>410</v>
      </c>
      <c r="B51">
        <v>4</v>
      </c>
      <c r="C51">
        <v>16</v>
      </c>
      <c r="D51" t="b">
        <f ca="1">EXACT(Table15[[#This Row],[RoC selected PV]],INDEX(FINI_grouping_for_wheel[RoC selected PV],MATCH(Table15[[#This Row],[Material]],FINI_grouping_for_wheel[Material],0)))</f>
        <v>1</v>
      </c>
    </row>
    <row r="52" spans="1:4">
      <c r="A52" t="s">
        <v>331</v>
      </c>
      <c r="B52">
        <v>10</v>
      </c>
      <c r="C52">
        <v>21</v>
      </c>
      <c r="D52" t="b">
        <f ca="1">EXACT(Table15[[#This Row],[RoC selected PV]],INDEX(FINI_grouping_for_wheel[RoC selected PV],MATCH(Table15[[#This Row],[Material]],FINI_grouping_for_wheel[Material],0)))</f>
        <v>0</v>
      </c>
    </row>
    <row r="53" spans="1:4">
      <c r="A53" t="s">
        <v>383</v>
      </c>
      <c r="B53">
        <v>10</v>
      </c>
      <c r="C53">
        <v>21</v>
      </c>
      <c r="D53" t="b">
        <f ca="1">EXACT(Table15[[#This Row],[RoC selected PV]],INDEX(FINI_grouping_for_wheel[RoC selected PV],MATCH(Table15[[#This Row],[Material]],FINI_grouping_for_wheel[Material],0)))</f>
        <v>0</v>
      </c>
    </row>
    <row r="54" spans="1:4">
      <c r="A54" t="s">
        <v>415</v>
      </c>
      <c r="B54">
        <v>11</v>
      </c>
      <c r="C54">
        <v>41</v>
      </c>
      <c r="D54" t="b">
        <f ca="1">EXACT(Table15[[#This Row],[RoC selected PV]],INDEX(FINI_grouping_for_wheel[RoC selected PV],MATCH(Table15[[#This Row],[Material]],FINI_grouping_for_wheel[Material],0)))</f>
        <v>0</v>
      </c>
    </row>
    <row r="55" spans="1:4">
      <c r="A55" t="s">
        <v>394</v>
      </c>
      <c r="B55">
        <v>3</v>
      </c>
      <c r="C55">
        <v>12</v>
      </c>
      <c r="D55" t="b">
        <f ca="1">EXACT(Table15[[#This Row],[RoC selected PV]],INDEX(FINI_grouping_for_wheel[RoC selected PV],MATCH(Table15[[#This Row],[Material]],FINI_grouping_for_wheel[Material],0)))</f>
        <v>1</v>
      </c>
    </row>
    <row r="56" spans="1:4">
      <c r="A56" t="s">
        <v>420</v>
      </c>
      <c r="B56">
        <v>12</v>
      </c>
      <c r="C56">
        <v>56</v>
      </c>
      <c r="D56" t="b">
        <f ca="1">EXACT(Table15[[#This Row],[RoC selected PV]],INDEX(FINI_grouping_for_wheel[RoC selected PV],MATCH(Table15[[#This Row],[Material]],FINI_grouping_for_wheel[Material],0)))</f>
        <v>0</v>
      </c>
    </row>
    <row r="57" spans="1:4">
      <c r="A57" t="s">
        <v>399</v>
      </c>
      <c r="B57">
        <v>2</v>
      </c>
      <c r="C57">
        <v>9</v>
      </c>
      <c r="D57" t="b">
        <f ca="1">EXACT(Table15[[#This Row],[RoC selected PV]],INDEX(FINI_grouping_for_wheel[RoC selected PV],MATCH(Table15[[#This Row],[Material]],FINI_grouping_for_wheel[Material],0)))</f>
        <v>1</v>
      </c>
    </row>
    <row r="58" spans="1:4">
      <c r="A58" t="s">
        <v>389</v>
      </c>
      <c r="B58">
        <v>16</v>
      </c>
      <c r="C58">
        <v>96</v>
      </c>
      <c r="D58" t="b">
        <f ca="1">EXACT(Table15[[#This Row],[RoC selected PV]],INDEX(FINI_grouping_for_wheel[RoC selected PV],MATCH(Table15[[#This Row],[Material]],FINI_grouping_for_wheel[Material],0)))</f>
        <v>1</v>
      </c>
    </row>
    <row r="59" spans="1:4">
      <c r="A59" t="s">
        <v>424</v>
      </c>
      <c r="B59">
        <v>5</v>
      </c>
      <c r="C59">
        <v>96</v>
      </c>
      <c r="D59" t="b">
        <f ca="1">EXACT(Table15[[#This Row],[RoC selected PV]],INDEX(FINI_grouping_for_wheel[RoC selected PV],MATCH(Table15[[#This Row],[Material]],FINI_grouping_for_wheel[Material],0)))</f>
        <v>1</v>
      </c>
    </row>
    <row r="60" spans="1:4">
      <c r="A60" t="s">
        <v>428</v>
      </c>
      <c r="B60">
        <v>4</v>
      </c>
      <c r="C60">
        <v>41</v>
      </c>
      <c r="D60" t="b">
        <f ca="1">EXACT(Table15[[#This Row],[RoC selected PV]],INDEX(FINI_grouping_for_wheel[RoC selected PV],MATCH(Table15[[#This Row],[Material]],FINI_grouping_for_wheel[Material],0)))</f>
        <v>1</v>
      </c>
    </row>
    <row r="61" spans="1:4">
      <c r="A61" t="s">
        <v>433</v>
      </c>
      <c r="B61">
        <v>4</v>
      </c>
      <c r="C61">
        <v>41</v>
      </c>
      <c r="D61" t="b">
        <f ca="1">EXACT(Table15[[#This Row],[RoC selected PV]],INDEX(FINI_grouping_for_wheel[RoC selected PV],MATCH(Table15[[#This Row],[Material]],FINI_grouping_for_wheel[Material],0)))</f>
        <v>1</v>
      </c>
    </row>
    <row r="62" spans="1:4">
      <c r="A62" t="s">
        <v>438</v>
      </c>
      <c r="B62">
        <v>5</v>
      </c>
      <c r="C62">
        <v>96</v>
      </c>
      <c r="D62" t="b">
        <f ca="1">EXACT(Table15[[#This Row],[RoC selected PV]],INDEX(FINI_grouping_for_wheel[RoC selected PV],MATCH(Table15[[#This Row],[Material]],FINI_grouping_for_wheel[Material],0)))</f>
        <v>1</v>
      </c>
    </row>
    <row r="63" spans="1:4">
      <c r="A63" t="s">
        <v>443</v>
      </c>
      <c r="B63">
        <v>5</v>
      </c>
      <c r="C63">
        <v>96</v>
      </c>
      <c r="D63" t="b">
        <f ca="1">EXACT(Table15[[#This Row],[RoC selected PV]],INDEX(FINI_grouping_for_wheel[RoC selected PV],MATCH(Table15[[#This Row],[Material]],FINI_grouping_for_wheel[Material],0)))</f>
        <v>1</v>
      </c>
    </row>
    <row r="64" spans="1:4">
      <c r="A64" t="s">
        <v>448</v>
      </c>
      <c r="B64">
        <v>5</v>
      </c>
      <c r="C64">
        <v>96</v>
      </c>
      <c r="D64" t="b">
        <f ca="1">EXACT(Table15[[#This Row],[RoC selected PV]],INDEX(FINI_grouping_for_wheel[RoC selected PV],MATCH(Table15[[#This Row],[Material]],FINI_grouping_for_wheel[Material],0)))</f>
        <v>1</v>
      </c>
    </row>
    <row r="65" spans="1:4">
      <c r="A65" t="s">
        <v>451</v>
      </c>
      <c r="B65">
        <v>3</v>
      </c>
      <c r="C65">
        <v>19</v>
      </c>
      <c r="D65" t="b">
        <f ca="1">EXACT(Table15[[#This Row],[RoC selected PV]],INDEX(FINI_grouping_for_wheel[RoC selected PV],MATCH(Table15[[#This Row],[Material]],FINI_grouping_for_wheel[Material],0)))</f>
        <v>0</v>
      </c>
    </row>
    <row r="66" spans="1:4">
      <c r="A66" t="s">
        <v>456</v>
      </c>
      <c r="B66">
        <v>1</v>
      </c>
      <c r="C66">
        <v>2</v>
      </c>
      <c r="D66" t="b">
        <f ca="1">EXACT(Table15[[#This Row],[RoC selected PV]],INDEX(FINI_grouping_for_wheel[RoC selected PV],MATCH(Table15[[#This Row],[Material]],FINI_grouping_for_wheel[Material],0)))</f>
        <v>0</v>
      </c>
    </row>
    <row r="67" spans="1:4">
      <c r="A67" t="s">
        <v>461</v>
      </c>
      <c r="B67">
        <v>2</v>
      </c>
      <c r="C67">
        <v>17</v>
      </c>
      <c r="D67" t="b">
        <f ca="1">EXACT(Table15[[#This Row],[RoC selected PV]],INDEX(FINI_grouping_for_wheel[RoC selected PV],MATCH(Table15[[#This Row],[Material]],FINI_grouping_for_wheel[Material],0)))</f>
        <v>0</v>
      </c>
    </row>
    <row r="68" spans="1:4">
      <c r="A68" t="s">
        <v>467</v>
      </c>
      <c r="B68">
        <v>2</v>
      </c>
      <c r="C68">
        <v>102</v>
      </c>
      <c r="D68" t="b">
        <f ca="1">EXACT(Table15[[#This Row],[RoC selected PV]],INDEX(FINI_grouping_for_wheel[RoC selected PV],MATCH(Table15[[#This Row],[Material]],FINI_grouping_for_wheel[Material],0)))</f>
        <v>1</v>
      </c>
    </row>
    <row r="69" spans="1:4">
      <c r="A69" t="s">
        <v>475</v>
      </c>
      <c r="B69">
        <v>3</v>
      </c>
      <c r="C69">
        <v>40</v>
      </c>
      <c r="D69" t="b">
        <f ca="1">EXACT(Table15[[#This Row],[RoC selected PV]],INDEX(FINI_grouping_for_wheel[RoC selected PV],MATCH(Table15[[#This Row],[Material]],FINI_grouping_for_wheel[Material],0)))</f>
        <v>1</v>
      </c>
    </row>
    <row r="70" spans="1:4">
      <c r="A70" t="s">
        <v>478</v>
      </c>
      <c r="B70">
        <v>14</v>
      </c>
      <c r="C70">
        <v>23</v>
      </c>
      <c r="D70" t="b">
        <f ca="1">EXACT(Table15[[#This Row],[RoC selected PV]],INDEX(FINI_grouping_for_wheel[RoC selected PV],MATCH(Table15[[#This Row],[Material]],FINI_grouping_for_wheel[Material],0)))</f>
        <v>1</v>
      </c>
    </row>
    <row r="71" spans="1:4">
      <c r="A71" t="s">
        <v>485</v>
      </c>
      <c r="B71">
        <v>2</v>
      </c>
      <c r="C71">
        <v>102</v>
      </c>
      <c r="D71" t="b">
        <f ca="1">EXACT(Table15[[#This Row],[RoC selected PV]],INDEX(FINI_grouping_for_wheel[RoC selected PV],MATCH(Table15[[#This Row],[Material]],FINI_grouping_for_wheel[Material],0)))</f>
        <v>1</v>
      </c>
    </row>
    <row r="72" spans="1:4">
      <c r="A72" t="s">
        <v>491</v>
      </c>
      <c r="B72">
        <v>6</v>
      </c>
      <c r="C72">
        <v>7</v>
      </c>
      <c r="D72" t="b">
        <f ca="1">EXACT(Table15[[#This Row],[RoC selected PV]],INDEX(FINI_grouping_for_wheel[RoC selected PV],MATCH(Table15[[#This Row],[Material]],FINI_grouping_for_wheel[Material],0)))</f>
        <v>1</v>
      </c>
    </row>
    <row r="73" spans="1:4">
      <c r="A73" t="s">
        <v>496</v>
      </c>
      <c r="B73">
        <v>10</v>
      </c>
      <c r="C73">
        <v>100</v>
      </c>
      <c r="D73" t="b">
        <f ca="1">EXACT(Table15[[#This Row],[RoC selected PV]],INDEX(FINI_grouping_for_wheel[RoC selected PV],MATCH(Table15[[#This Row],[Material]],FINI_grouping_for_wheel[Material],0)))</f>
        <v>1</v>
      </c>
    </row>
    <row r="74" spans="1:4">
      <c r="A74" t="s">
        <v>501</v>
      </c>
      <c r="B74">
        <v>2</v>
      </c>
      <c r="C74">
        <v>102</v>
      </c>
      <c r="D74" t="b">
        <f ca="1">EXACT(Table15[[#This Row],[RoC selected PV]],INDEX(FINI_grouping_for_wheel[RoC selected PV],MATCH(Table15[[#This Row],[Material]],FINI_grouping_for_wheel[Material],0)))</f>
        <v>1</v>
      </c>
    </row>
    <row r="75" spans="1:4">
      <c r="A75" t="s">
        <v>507</v>
      </c>
      <c r="B75">
        <v>4</v>
      </c>
      <c r="C75">
        <v>111</v>
      </c>
      <c r="D75" t="b">
        <f ca="1">EXACT(Table15[[#This Row],[RoC selected PV]],INDEX(FINI_grouping_for_wheel[RoC selected PV],MATCH(Table15[[#This Row],[Material]],FINI_grouping_for_wheel[Material],0)))</f>
        <v>1</v>
      </c>
    </row>
    <row r="76" spans="1:4">
      <c r="A76" t="s">
        <v>510</v>
      </c>
      <c r="B76">
        <v>1</v>
      </c>
      <c r="C76">
        <v>111</v>
      </c>
      <c r="D76" t="b">
        <f ca="1">EXACT(Table15[[#This Row],[RoC selected PV]],INDEX(FINI_grouping_for_wheel[RoC selected PV],MATCH(Table15[[#This Row],[Material]],FINI_grouping_for_wheel[Material],0)))</f>
        <v>1</v>
      </c>
    </row>
    <row r="77" spans="1:4">
      <c r="A77" t="s">
        <v>513</v>
      </c>
      <c r="B77">
        <v>5</v>
      </c>
      <c r="C77">
        <v>73</v>
      </c>
      <c r="D77" t="b">
        <f ca="1">EXACT(Table15[[#This Row],[RoC selected PV]],INDEX(FINI_grouping_for_wheel[RoC selected PV],MATCH(Table15[[#This Row],[Material]],FINI_grouping_for_wheel[Material],0)))</f>
        <v>1</v>
      </c>
    </row>
    <row r="78" spans="1:4">
      <c r="A78" t="s">
        <v>520</v>
      </c>
      <c r="B78">
        <v>5</v>
      </c>
      <c r="C78">
        <v>73</v>
      </c>
      <c r="D78" t="b">
        <f ca="1">EXACT(Table15[[#This Row],[RoC selected PV]],INDEX(FINI_grouping_for_wheel[RoC selected PV],MATCH(Table15[[#This Row],[Material]],FINI_grouping_for_wheel[Material],0)))</f>
        <v>1</v>
      </c>
    </row>
    <row r="79" spans="1:4">
      <c r="A79" t="s">
        <v>523</v>
      </c>
      <c r="B79">
        <v>4</v>
      </c>
      <c r="C79">
        <v>111</v>
      </c>
      <c r="D79" t="b">
        <f ca="1">EXACT(Table15[[#This Row],[RoC selected PV]],INDEX(FINI_grouping_for_wheel[RoC selected PV],MATCH(Table15[[#This Row],[Material]],FINI_grouping_for_wheel[Material],0)))</f>
        <v>1</v>
      </c>
    </row>
    <row r="80" spans="1:4">
      <c r="A80" t="s">
        <v>527</v>
      </c>
      <c r="B80">
        <v>4</v>
      </c>
      <c r="C80">
        <v>111</v>
      </c>
      <c r="D80" t="b">
        <f ca="1">EXACT(Table15[[#This Row],[RoC selected PV]],INDEX(FINI_grouping_for_wheel[RoC selected PV],MATCH(Table15[[#This Row],[Material]],FINI_grouping_for_wheel[Material],0)))</f>
        <v>1</v>
      </c>
    </row>
    <row r="81" spans="1:4">
      <c r="A81" t="s">
        <v>530</v>
      </c>
      <c r="B81">
        <v>1</v>
      </c>
      <c r="C81">
        <v>111</v>
      </c>
      <c r="D81" t="b">
        <f ca="1">EXACT(Table15[[#This Row],[RoC selected PV]],INDEX(FINI_grouping_for_wheel[RoC selected PV],MATCH(Table15[[#This Row],[Material]],FINI_grouping_for_wheel[Material],0)))</f>
        <v>1</v>
      </c>
    </row>
    <row r="82" spans="1:4">
      <c r="A82" t="s">
        <v>533</v>
      </c>
      <c r="B82">
        <v>1</v>
      </c>
      <c r="C82">
        <v>111</v>
      </c>
      <c r="D82" t="b">
        <f ca="1">EXACT(Table15[[#This Row],[RoC selected PV]],INDEX(FINI_grouping_for_wheel[RoC selected PV],MATCH(Table15[[#This Row],[Material]],FINI_grouping_for_wheel[Material],0)))</f>
        <v>1</v>
      </c>
    </row>
    <row r="83" spans="1:4">
      <c r="A83" t="s">
        <v>536</v>
      </c>
      <c r="B83">
        <v>4</v>
      </c>
      <c r="C83">
        <v>111</v>
      </c>
      <c r="D83" t="b">
        <f ca="1">EXACT(Table15[[#This Row],[RoC selected PV]],INDEX(FINI_grouping_for_wheel[RoC selected PV],MATCH(Table15[[#This Row],[Material]],FINI_grouping_for_wheel[Material],0)))</f>
        <v>1</v>
      </c>
    </row>
    <row r="84" spans="1:4">
      <c r="A84" t="s">
        <v>539</v>
      </c>
      <c r="B84">
        <v>10</v>
      </c>
      <c r="C84">
        <v>100</v>
      </c>
      <c r="D84" t="b">
        <f ca="1">EXACT(Table15[[#This Row],[RoC selected PV]],INDEX(FINI_grouping_for_wheel[RoC selected PV],MATCH(Table15[[#This Row],[Material]],FINI_grouping_for_wheel[Material],0)))</f>
        <v>1</v>
      </c>
    </row>
    <row r="85" spans="1:4">
      <c r="A85" t="s">
        <v>542</v>
      </c>
      <c r="B85">
        <v>12</v>
      </c>
      <c r="C85">
        <v>20</v>
      </c>
      <c r="D85" t="b">
        <f ca="1">EXACT(Table15[[#This Row],[RoC selected PV]],INDEX(FINI_grouping_for_wheel[RoC selected PV],MATCH(Table15[[#This Row],[Material]],FINI_grouping_for_wheel[Material],0)))</f>
        <v>1</v>
      </c>
    </row>
    <row r="86" spans="1:4">
      <c r="A86" t="s">
        <v>545</v>
      </c>
      <c r="B86">
        <v>9</v>
      </c>
      <c r="C86">
        <v>15</v>
      </c>
      <c r="D86" t="b">
        <f ca="1">EXACT(Table15[[#This Row],[RoC selected PV]],INDEX(FINI_grouping_for_wheel[RoC selected PV],MATCH(Table15[[#This Row],[Material]],FINI_grouping_for_wheel[Material],0)))</f>
        <v>1</v>
      </c>
    </row>
    <row r="87" spans="1:4">
      <c r="A87" t="s">
        <v>550</v>
      </c>
      <c r="B87">
        <v>13</v>
      </c>
      <c r="C87">
        <v>41</v>
      </c>
      <c r="D87" t="b">
        <f ca="1">EXACT(Table15[[#This Row],[RoC selected PV]],INDEX(FINI_grouping_for_wheel[RoC selected PV],MATCH(Table15[[#This Row],[Material]],FINI_grouping_for_wheel[Material],0)))</f>
        <v>1</v>
      </c>
    </row>
    <row r="88" spans="1:4">
      <c r="A88" t="s">
        <v>555</v>
      </c>
      <c r="B88">
        <v>10</v>
      </c>
      <c r="C88">
        <v>100</v>
      </c>
      <c r="D88" t="b">
        <f ca="1">EXACT(Table15[[#This Row],[RoC selected PV]],INDEX(FINI_grouping_for_wheel[RoC selected PV],MATCH(Table15[[#This Row],[Material]],FINI_grouping_for_wheel[Material],0)))</f>
        <v>1</v>
      </c>
    </row>
    <row r="89" spans="1:4">
      <c r="A89" t="s">
        <v>560</v>
      </c>
      <c r="B89">
        <v>15</v>
      </c>
      <c r="C89">
        <v>119</v>
      </c>
      <c r="D89" t="b">
        <f ca="1">EXACT(Table15[[#This Row],[RoC selected PV]],INDEX(FINI_grouping_for_wheel[RoC selected PV],MATCH(Table15[[#This Row],[Material]],FINI_grouping_for_wheel[Material],0)))</f>
        <v>1</v>
      </c>
    </row>
    <row r="90" spans="1:4">
      <c r="A90" t="s">
        <v>565</v>
      </c>
      <c r="B90">
        <v>7</v>
      </c>
      <c r="C90">
        <v>3</v>
      </c>
      <c r="D90" t="b">
        <f ca="1">EXACT(Table15[[#This Row],[RoC selected PV]],INDEX(FINI_grouping_for_wheel[RoC selected PV],MATCH(Table15[[#This Row],[Material]],FINI_grouping_for_wheel[Material],0)))</f>
        <v>1</v>
      </c>
    </row>
    <row r="91" spans="1:4">
      <c r="A91" t="s">
        <v>570</v>
      </c>
      <c r="B91">
        <v>11</v>
      </c>
      <c r="C91">
        <v>13</v>
      </c>
      <c r="D91" t="b">
        <f ca="1">EXACT(Table15[[#This Row],[RoC selected PV]],INDEX(FINI_grouping_for_wheel[RoC selected PV],MATCH(Table15[[#This Row],[Material]],FINI_grouping_for_wheel[Material],0)))</f>
        <v>1</v>
      </c>
    </row>
    <row r="92" spans="1:4">
      <c r="A92" t="s">
        <v>575</v>
      </c>
      <c r="B92">
        <v>15</v>
      </c>
      <c r="C92">
        <v>119</v>
      </c>
      <c r="D92" t="b">
        <f ca="1">EXACT(Table15[[#This Row],[RoC selected PV]],INDEX(FINI_grouping_for_wheel[RoC selected PV],MATCH(Table15[[#This Row],[Material]],FINI_grouping_for_wheel[Material],0)))</f>
        <v>1</v>
      </c>
    </row>
    <row r="93" spans="1:4">
      <c r="A93" t="s">
        <v>580</v>
      </c>
      <c r="B93">
        <v>15</v>
      </c>
      <c r="C93">
        <v>119</v>
      </c>
      <c r="D93" t="b">
        <f ca="1">EXACT(Table15[[#This Row],[RoC selected PV]],INDEX(FINI_grouping_for_wheel[RoC selected PV],MATCH(Table15[[#This Row],[Material]],FINI_grouping_for_wheel[Material],0)))</f>
        <v>1</v>
      </c>
    </row>
    <row r="94" spans="1:4">
      <c r="A94" t="s">
        <v>585</v>
      </c>
      <c r="B94">
        <v>8</v>
      </c>
      <c r="C94">
        <v>14</v>
      </c>
      <c r="D94" t="b">
        <f ca="1">EXACT(Table15[[#This Row],[RoC selected PV]],INDEX(FINI_grouping_for_wheel[RoC selected PV],MATCH(Table15[[#This Row],[Material]],FINI_grouping_for_wheel[Material],0)))</f>
        <v>1</v>
      </c>
    </row>
    <row r="95" spans="1:4">
      <c r="A95" t="s">
        <v>588</v>
      </c>
      <c r="B95">
        <v>14</v>
      </c>
      <c r="C95">
        <v>23</v>
      </c>
      <c r="D95" t="b">
        <f ca="1">EXACT(Table15[[#This Row],[RoC selected PV]],INDEX(FINI_grouping_for_wheel[RoC selected PV],MATCH(Table15[[#This Row],[Material]],FINI_grouping_for_wheel[Material],0)))</f>
        <v>1</v>
      </c>
    </row>
    <row r="96" spans="1:4">
      <c r="A96" t="s">
        <v>592</v>
      </c>
      <c r="B96">
        <v>3</v>
      </c>
      <c r="C96">
        <v>90</v>
      </c>
      <c r="D96" t="b">
        <f ca="1">EXACT(Table15[[#This Row],[RoC selected PV]],INDEX(FINI_grouping_for_wheel[RoC selected PV],MATCH(Table15[[#This Row],[Material]],FINI_grouping_for_wheel[Material],0)))</f>
        <v>1</v>
      </c>
    </row>
    <row r="97" spans="1:4">
      <c r="A97" t="s">
        <v>597</v>
      </c>
      <c r="B97">
        <v>5</v>
      </c>
      <c r="C97">
        <v>8</v>
      </c>
      <c r="D97" t="b">
        <f ca="1">EXACT(Table15[[#This Row],[RoC selected PV]],INDEX(FINI_grouping_for_wheel[RoC selected PV],MATCH(Table15[[#This Row],[Material]],FINI_grouping_for_wheel[Material],0)))</f>
        <v>1</v>
      </c>
    </row>
    <row r="98" spans="1:4">
      <c r="A98" t="s">
        <v>600</v>
      </c>
      <c r="B98">
        <v>90</v>
      </c>
      <c r="C98">
        <v>1459</v>
      </c>
      <c r="D98" t="b">
        <f ca="1">EXACT(Table15[[#This Row],[RoC selected PV]],INDEX(FINI_grouping_for_wheel[RoC selected PV],MATCH(Table15[[#This Row],[Material]],FINI_grouping_for_wheel[Material],0)))</f>
        <v>1</v>
      </c>
    </row>
    <row r="99" spans="1:4">
      <c r="A99" t="s">
        <v>606</v>
      </c>
      <c r="B99">
        <v>4</v>
      </c>
      <c r="C99">
        <v>96</v>
      </c>
      <c r="D99" t="b">
        <f ca="1">EXACT(Table15[[#This Row],[RoC selected PV]],INDEX(FINI_grouping_for_wheel[RoC selected PV],MATCH(Table15[[#This Row],[Material]],FINI_grouping_for_wheel[Material],0)))</f>
        <v>1</v>
      </c>
    </row>
    <row r="100" spans="1:4">
      <c r="A100" t="s">
        <v>612</v>
      </c>
      <c r="B100">
        <v>4</v>
      </c>
      <c r="C100">
        <v>96</v>
      </c>
      <c r="D100" t="b">
        <f ca="1">EXACT(Table15[[#This Row],[RoC selected PV]],INDEX(FINI_grouping_for_wheel[RoC selected PV],MATCH(Table15[[#This Row],[Material]],FINI_grouping_for_wheel[Material],0)))</f>
        <v>1</v>
      </c>
    </row>
    <row r="101" spans="1:4">
      <c r="A101" t="s">
        <v>615</v>
      </c>
      <c r="B101">
        <v>7</v>
      </c>
      <c r="C101">
        <v>30</v>
      </c>
      <c r="D101" t="b">
        <f ca="1">EXACT(Table15[[#This Row],[RoC selected PV]],INDEX(FINI_grouping_for_wheel[RoC selected PV],MATCH(Table15[[#This Row],[Material]],FINI_grouping_for_wheel[Material],0)))</f>
        <v>1</v>
      </c>
    </row>
    <row r="102" spans="1:4">
      <c r="A102" t="s">
        <v>621</v>
      </c>
      <c r="B102">
        <v>7</v>
      </c>
      <c r="C102">
        <v>30</v>
      </c>
      <c r="D102" t="b">
        <f ca="1">EXACT(Table15[[#This Row],[RoC selected PV]],INDEX(FINI_grouping_for_wheel[RoC selected PV],MATCH(Table15[[#This Row],[Material]],FINI_grouping_for_wheel[Material],0)))</f>
        <v>1</v>
      </c>
    </row>
    <row r="103" spans="1:4">
      <c r="A103" t="s">
        <v>624</v>
      </c>
      <c r="B103">
        <v>3</v>
      </c>
      <c r="C103">
        <v>90</v>
      </c>
      <c r="D103" t="b">
        <f ca="1">EXACT(Table15[[#This Row],[RoC selected PV]],INDEX(FINI_grouping_for_wheel[RoC selected PV],MATCH(Table15[[#This Row],[Material]],FINI_grouping_for_wheel[Material],0)))</f>
        <v>1</v>
      </c>
    </row>
    <row r="104" spans="1:4">
      <c r="A104" t="s">
        <v>627</v>
      </c>
      <c r="B104">
        <v>7</v>
      </c>
      <c r="C104">
        <v>30</v>
      </c>
      <c r="D104" t="b">
        <f ca="1">EXACT(Table15[[#This Row],[RoC selected PV]],INDEX(FINI_grouping_for_wheel[RoC selected PV],MATCH(Table15[[#This Row],[Material]],FINI_grouping_for_wheel[Material],0)))</f>
        <v>1</v>
      </c>
    </row>
    <row r="105" spans="1:4">
      <c r="A105" t="s">
        <v>630</v>
      </c>
      <c r="B105">
        <v>9</v>
      </c>
      <c r="C105">
        <v>801</v>
      </c>
      <c r="D105" t="b">
        <f ca="1">EXACT(Table15[[#This Row],[RoC selected PV]],INDEX(FINI_grouping_for_wheel[RoC selected PV],MATCH(Table15[[#This Row],[Material]],FINI_grouping_for_wheel[Material],0)))</f>
        <v>1</v>
      </c>
    </row>
    <row r="106" spans="1:4">
      <c r="A106" t="s">
        <v>635</v>
      </c>
      <c r="B106">
        <v>8</v>
      </c>
      <c r="C106">
        <v>62</v>
      </c>
      <c r="D106" t="b">
        <f ca="1">EXACT(Table15[[#This Row],[RoC selected PV]],INDEX(FINI_grouping_for_wheel[RoC selected PV],MATCH(Table15[[#This Row],[Material]],FINI_grouping_for_wheel[Material],0)))</f>
        <v>1</v>
      </c>
    </row>
    <row r="107" spans="1:4">
      <c r="A107" t="s">
        <v>638</v>
      </c>
      <c r="B107">
        <v>8</v>
      </c>
      <c r="C107">
        <v>62</v>
      </c>
      <c r="D107" t="b">
        <f ca="1">EXACT(Table15[[#This Row],[RoC selected PV]],INDEX(FINI_grouping_for_wheel[RoC selected PV],MATCH(Table15[[#This Row],[Material]],FINI_grouping_for_wheel[Material],0)))</f>
        <v>1</v>
      </c>
    </row>
    <row r="108" spans="1:4">
      <c r="A108" t="s">
        <v>641</v>
      </c>
      <c r="B108">
        <v>9</v>
      </c>
      <c r="C108">
        <v>801</v>
      </c>
      <c r="D108" t="b">
        <f ca="1">EXACT(Table15[[#This Row],[RoC selected PV]],INDEX(FINI_grouping_for_wheel[RoC selected PV],MATCH(Table15[[#This Row],[Material]],FINI_grouping_for_wheel[Material],0)))</f>
        <v>1</v>
      </c>
    </row>
    <row r="109" spans="1:4">
      <c r="A109" t="s">
        <v>644</v>
      </c>
      <c r="B109">
        <v>4</v>
      </c>
      <c r="C109">
        <v>96</v>
      </c>
      <c r="D109" t="b">
        <f ca="1">EXACT(Table15[[#This Row],[RoC selected PV]],INDEX(FINI_grouping_for_wheel[RoC selected PV],MATCH(Table15[[#This Row],[Material]],FINI_grouping_for_wheel[Material],0)))</f>
        <v>1</v>
      </c>
    </row>
    <row r="110" spans="1:4">
      <c r="A110" t="s">
        <v>647</v>
      </c>
      <c r="B110">
        <v>3</v>
      </c>
      <c r="C110">
        <v>90</v>
      </c>
      <c r="D110" t="b">
        <f ca="1">EXACT(Table15[[#This Row],[RoC selected PV]],INDEX(FINI_grouping_for_wheel[RoC selected PV],MATCH(Table15[[#This Row],[Material]],FINI_grouping_for_wheel[Material],0)))</f>
        <v>1</v>
      </c>
    </row>
    <row r="111" spans="1:4">
      <c r="A111" t="s">
        <v>650</v>
      </c>
      <c r="B111">
        <v>3</v>
      </c>
      <c r="C111">
        <v>90</v>
      </c>
      <c r="D111" t="b">
        <f ca="1">EXACT(Table15[[#This Row],[RoC selected PV]],INDEX(FINI_grouping_for_wheel[RoC selected PV],MATCH(Table15[[#This Row],[Material]],FINI_grouping_for_wheel[Material],0)))</f>
        <v>1</v>
      </c>
    </row>
    <row r="112" spans="1:4">
      <c r="A112" t="s">
        <v>653</v>
      </c>
      <c r="B112">
        <v>9</v>
      </c>
      <c r="C112">
        <v>801</v>
      </c>
      <c r="D112" t="b">
        <f ca="1">EXACT(Table15[[#This Row],[RoC selected PV]],INDEX(FINI_grouping_for_wheel[RoC selected PV],MATCH(Table15[[#This Row],[Material]],FINI_grouping_for_wheel[Material],0)))</f>
        <v>1</v>
      </c>
    </row>
    <row r="113" spans="1:4">
      <c r="A113" t="s">
        <v>659</v>
      </c>
      <c r="B113">
        <v>0</v>
      </c>
      <c r="C113">
        <v>30</v>
      </c>
      <c r="D113" t="b">
        <f ca="1">EXACT(Table15[[#This Row],[RoC selected PV]],INDEX(FINI_grouping_for_wheel[RoC selected PV],MATCH(Table15[[#This Row],[Material]],FINI_grouping_for_wheel[Material],0)))</f>
        <v>1</v>
      </c>
    </row>
    <row r="114" spans="1:4">
      <c r="A114" t="s">
        <v>664</v>
      </c>
      <c r="B114">
        <v>2</v>
      </c>
      <c r="C114">
        <v>8</v>
      </c>
      <c r="D114" t="b">
        <f ca="1">EXACT(Table15[[#This Row],[RoC selected PV]],INDEX(FINI_grouping_for_wheel[RoC selected PV],MATCH(Table15[[#This Row],[Material]],FINI_grouping_for_wheel[Material],0)))</f>
        <v>1</v>
      </c>
    </row>
    <row r="115" spans="1:4">
      <c r="A115" t="s">
        <v>669</v>
      </c>
      <c r="B115">
        <v>6</v>
      </c>
      <c r="C115">
        <v>10</v>
      </c>
      <c r="D115" t="b">
        <f ca="1">EXACT(Table15[[#This Row],[RoC selected PV]],INDEX(FINI_grouping_for_wheel[RoC selected PV],MATCH(Table15[[#This Row],[Material]],FINI_grouping_for_wheel[Material],0)))</f>
        <v>1</v>
      </c>
    </row>
    <row r="116" spans="1:4">
      <c r="A116" t="s">
        <v>674</v>
      </c>
      <c r="B116">
        <v>1</v>
      </c>
      <c r="C116">
        <v>7</v>
      </c>
      <c r="D116" t="b">
        <f ca="1">EXACT(Table15[[#This Row],[RoC selected PV]],INDEX(FINI_grouping_for_wheel[RoC selected PV],MATCH(Table15[[#This Row],[Material]],FINI_grouping_for_wheel[Material],0)))</f>
        <v>1</v>
      </c>
    </row>
    <row r="117" spans="1:4">
      <c r="A117" t="s">
        <v>678</v>
      </c>
      <c r="B117">
        <v>9</v>
      </c>
      <c r="C117">
        <v>69</v>
      </c>
      <c r="D117" t="b">
        <f ca="1">EXACT(Table15[[#This Row],[RoC selected PV]],INDEX(FINI_grouping_for_wheel[RoC selected PV],MATCH(Table15[[#This Row],[Material]],FINI_grouping_for_wheel[Material],0)))</f>
        <v>1</v>
      </c>
    </row>
    <row r="118" spans="1:4">
      <c r="A118" t="s">
        <v>682</v>
      </c>
      <c r="B118">
        <v>8</v>
      </c>
      <c r="C118">
        <v>56</v>
      </c>
      <c r="D118" t="b">
        <f ca="1">EXACT(Table15[[#This Row],[RoC selected PV]],INDEX(FINI_grouping_for_wheel[RoC selected PV],MATCH(Table15[[#This Row],[Material]],FINI_grouping_for_wheel[Material],0)))</f>
        <v>1</v>
      </c>
    </row>
    <row r="119" spans="1:4">
      <c r="A119" t="s">
        <v>687</v>
      </c>
      <c r="B119">
        <v>7</v>
      </c>
      <c r="C119">
        <v>52</v>
      </c>
      <c r="D119" t="b">
        <f ca="1">EXACT(Table15[[#This Row],[RoC selected PV]],INDEX(FINI_grouping_for_wheel[RoC selected PV],MATCH(Table15[[#This Row],[Material]],FINI_grouping_for_wheel[Material],0)))</f>
        <v>1</v>
      </c>
    </row>
    <row r="120" spans="1:4">
      <c r="A120" t="s">
        <v>690</v>
      </c>
      <c r="B120">
        <v>6</v>
      </c>
      <c r="C120">
        <v>163</v>
      </c>
      <c r="D120" t="b">
        <f ca="1">EXACT(Table15[[#This Row],[RoC selected PV]],INDEX(FINI_grouping_for_wheel[RoC selected PV],MATCH(Table15[[#This Row],[Material]],FINI_grouping_for_wheel[Material],0)))</f>
        <v>1</v>
      </c>
    </row>
    <row r="121" spans="1:4">
      <c r="A121" t="s">
        <v>693</v>
      </c>
      <c r="B121">
        <v>6</v>
      </c>
      <c r="C121">
        <v>163</v>
      </c>
      <c r="D121" t="b">
        <f ca="1">EXACT(Table15[[#This Row],[RoC selected PV]],INDEX(FINI_grouping_for_wheel[RoC selected PV],MATCH(Table15[[#This Row],[Material]],FINI_grouping_for_wheel[Material],0)))</f>
        <v>1</v>
      </c>
    </row>
    <row r="122" spans="1:4">
      <c r="A122" t="s">
        <v>696</v>
      </c>
      <c r="B122">
        <v>6</v>
      </c>
      <c r="C122">
        <v>163</v>
      </c>
      <c r="D122" t="b">
        <f ca="1">EXACT(Table15[[#This Row],[RoC selected PV]],INDEX(FINI_grouping_for_wheel[RoC selected PV],MATCH(Table15[[#This Row],[Material]],FINI_grouping_for_wheel[Material],0)))</f>
        <v>1</v>
      </c>
    </row>
    <row r="123" spans="1:4">
      <c r="A123" t="s">
        <v>699</v>
      </c>
      <c r="B123">
        <v>5</v>
      </c>
      <c r="C123">
        <v>35</v>
      </c>
      <c r="D123" t="b">
        <f ca="1">EXACT(Table15[[#This Row],[RoC selected PV]],INDEX(FINI_grouping_for_wheel[RoC selected PV],MATCH(Table15[[#This Row],[Material]],FINI_grouping_for_wheel[Material],0)))</f>
        <v>1</v>
      </c>
    </row>
    <row r="124" spans="1:4">
      <c r="A124" t="s">
        <v>704</v>
      </c>
      <c r="B124">
        <v>9</v>
      </c>
      <c r="C124">
        <v>69</v>
      </c>
      <c r="D124" t="b">
        <f ca="1">EXACT(Table15[[#This Row],[RoC selected PV]],INDEX(FINI_grouping_for_wheel[RoC selected PV],MATCH(Table15[[#This Row],[Material]],FINI_grouping_for_wheel[Material],0)))</f>
        <v>1</v>
      </c>
    </row>
    <row r="125" spans="1:4">
      <c r="A125" t="s">
        <v>707</v>
      </c>
      <c r="B125">
        <v>10</v>
      </c>
      <c r="C125">
        <v>88</v>
      </c>
      <c r="D125" t="b">
        <f ca="1">EXACT(Table15[[#This Row],[RoC selected PV]],INDEX(FINI_grouping_for_wheel[RoC selected PV],MATCH(Table15[[#This Row],[Material]],FINI_grouping_for_wheel[Material],0)))</f>
        <v>1</v>
      </c>
    </row>
    <row r="126" spans="1:4">
      <c r="A126" t="s">
        <v>710</v>
      </c>
      <c r="B126">
        <v>10</v>
      </c>
      <c r="C126">
        <v>88</v>
      </c>
      <c r="D126" t="b">
        <f ca="1">EXACT(Table15[[#This Row],[RoC selected PV]],INDEX(FINI_grouping_for_wheel[RoC selected PV],MATCH(Table15[[#This Row],[Material]],FINI_grouping_for_wheel[Material],0)))</f>
        <v>1</v>
      </c>
    </row>
    <row r="127" spans="1:4">
      <c r="A127" t="s">
        <v>713</v>
      </c>
      <c r="B127">
        <v>8</v>
      </c>
      <c r="C127">
        <v>56</v>
      </c>
      <c r="D127" t="b">
        <f ca="1">EXACT(Table15[[#This Row],[RoC selected PV]],INDEX(FINI_grouping_for_wheel[RoC selected PV],MATCH(Table15[[#This Row],[Material]],FINI_grouping_for_wheel[Material],0)))</f>
        <v>1</v>
      </c>
    </row>
    <row r="128" spans="1:4">
      <c r="A128" t="s">
        <v>716</v>
      </c>
      <c r="B128">
        <v>6</v>
      </c>
      <c r="C128">
        <v>163</v>
      </c>
      <c r="D128" t="b">
        <f ca="1">EXACT(Table15[[#This Row],[RoC selected PV]],INDEX(FINI_grouping_for_wheel[RoC selected PV],MATCH(Table15[[#This Row],[Material]],FINI_grouping_for_wheel[Material],0)))</f>
        <v>1</v>
      </c>
    </row>
    <row r="129" spans="1:4">
      <c r="A129" t="s">
        <v>719</v>
      </c>
      <c r="B129">
        <v>6</v>
      </c>
      <c r="C129">
        <v>163</v>
      </c>
      <c r="D129" t="b">
        <f ca="1">EXACT(Table15[[#This Row],[RoC selected PV]],INDEX(FINI_grouping_for_wheel[RoC selected PV],MATCH(Table15[[#This Row],[Material]],FINI_grouping_for_wheel[Material],0)))</f>
        <v>1</v>
      </c>
    </row>
    <row r="130" spans="1:4">
      <c r="A130" t="s">
        <v>722</v>
      </c>
      <c r="B130">
        <v>8</v>
      </c>
      <c r="C130">
        <v>56</v>
      </c>
      <c r="D130" t="b">
        <f ca="1">EXACT(Table15[[#This Row],[RoC selected PV]],INDEX(FINI_grouping_for_wheel[RoC selected PV],MATCH(Table15[[#This Row],[Material]],FINI_grouping_for_wheel[Material],0)))</f>
        <v>1</v>
      </c>
    </row>
    <row r="131" spans="1:4">
      <c r="A131" t="s">
        <v>727</v>
      </c>
      <c r="B131">
        <v>7</v>
      </c>
      <c r="C131">
        <v>52</v>
      </c>
      <c r="D131" t="b">
        <f ca="1">EXACT(Table15[[#This Row],[RoC selected PV]],INDEX(FINI_grouping_for_wheel[RoC selected PV],MATCH(Table15[[#This Row],[Material]],FINI_grouping_for_wheel[Material],0)))</f>
        <v>1</v>
      </c>
    </row>
    <row r="132" spans="1:4">
      <c r="A132" t="s">
        <v>732</v>
      </c>
      <c r="B132">
        <v>8</v>
      </c>
      <c r="C132">
        <v>56</v>
      </c>
      <c r="D132" t="b">
        <f ca="1">EXACT(Table15[[#This Row],[RoC selected PV]],INDEX(FINI_grouping_for_wheel[RoC selected PV],MATCH(Table15[[#This Row],[Material]],FINI_grouping_for_wheel[Material],0)))</f>
        <v>1</v>
      </c>
    </row>
    <row r="133" spans="1:4">
      <c r="A133" t="s">
        <v>735</v>
      </c>
      <c r="B133">
        <v>1</v>
      </c>
      <c r="C133">
        <v>4</v>
      </c>
      <c r="D133" t="b">
        <f ca="1">EXACT(Table15[[#This Row],[RoC selected PV]],INDEX(FINI_grouping_for_wheel[RoC selected PV],MATCH(Table15[[#This Row],[Material]],FINI_grouping_for_wheel[Material],0)))</f>
        <v>1</v>
      </c>
    </row>
    <row r="134" spans="1:4">
      <c r="A134" t="s">
        <v>738</v>
      </c>
      <c r="B134">
        <v>2</v>
      </c>
      <c r="C134">
        <v>4</v>
      </c>
      <c r="D134" t="b">
        <f ca="1">EXACT(Table15[[#This Row],[RoC selected PV]],INDEX(FINI_grouping_for_wheel[RoC selected PV],MATCH(Table15[[#This Row],[Material]],FINI_grouping_for_wheel[Material],0)))</f>
        <v>1</v>
      </c>
    </row>
    <row r="135" spans="1:4">
      <c r="A135" t="s">
        <v>743</v>
      </c>
      <c r="B135">
        <v>2</v>
      </c>
      <c r="C135">
        <v>4</v>
      </c>
      <c r="D135" t="b">
        <f ca="1">EXACT(Table15[[#This Row],[RoC selected PV]],INDEX(FINI_grouping_for_wheel[RoC selected PV],MATCH(Table15[[#This Row],[Material]],FINI_grouping_for_wheel[Material],0)))</f>
        <v>1</v>
      </c>
    </row>
    <row r="136" spans="1:4">
      <c r="A136" t="s">
        <v>746</v>
      </c>
      <c r="B136">
        <v>4</v>
      </c>
      <c r="C136">
        <v>10</v>
      </c>
      <c r="D136" t="b">
        <f ca="1">EXACT(Table15[[#This Row],[RoC selected PV]],INDEX(FINI_grouping_for_wheel[RoC selected PV],MATCH(Table15[[#This Row],[Material]],FINI_grouping_for_wheel[Material],0)))</f>
        <v>1</v>
      </c>
    </row>
    <row r="137" spans="1:4">
      <c r="A137" t="s">
        <v>749</v>
      </c>
      <c r="B137">
        <v>3</v>
      </c>
      <c r="C137">
        <v>17</v>
      </c>
      <c r="D137" t="b">
        <f ca="1">EXACT(Table15[[#This Row],[RoC selected PV]],INDEX(FINI_grouping_for_wheel[RoC selected PV],MATCH(Table15[[#This Row],[Material]],FINI_grouping_for_wheel[Material],0)))</f>
        <v>1</v>
      </c>
    </row>
    <row r="138" spans="1:4">
      <c r="A138" t="s">
        <v>752</v>
      </c>
      <c r="B138">
        <v>5</v>
      </c>
      <c r="C138">
        <v>35</v>
      </c>
      <c r="D138" t="b">
        <f ca="1">EXACT(Table15[[#This Row],[RoC selected PV]],INDEX(FINI_grouping_for_wheel[RoC selected PV],MATCH(Table15[[#This Row],[Material]],FINI_grouping_for_wheel[Material],0)))</f>
        <v>1</v>
      </c>
    </row>
    <row r="139" spans="1:4">
      <c r="A139" t="s">
        <v>757</v>
      </c>
      <c r="B139">
        <v>4</v>
      </c>
      <c r="C139">
        <v>10</v>
      </c>
      <c r="D139" t="b">
        <f ca="1">EXACT(Table15[[#This Row],[RoC selected PV]],INDEX(FINI_grouping_for_wheel[RoC selected PV],MATCH(Table15[[#This Row],[Material]],FINI_grouping_for_wheel[Material],0)))</f>
        <v>1</v>
      </c>
    </row>
    <row r="140" spans="1:4">
      <c r="A140" t="s">
        <v>761</v>
      </c>
      <c r="B140">
        <v>11</v>
      </c>
      <c r="C140">
        <v>119</v>
      </c>
      <c r="D140" t="b">
        <f ca="1">EXACT(Table15[[#This Row],[RoC selected PV]],INDEX(FINI_grouping_for_wheel[RoC selected PV],MATCH(Table15[[#This Row],[Material]],FINI_grouping_for_wheel[Material],0)))</f>
        <v>1</v>
      </c>
    </row>
    <row r="141" spans="1:4">
      <c r="A141" t="s">
        <v>765</v>
      </c>
      <c r="B141">
        <v>11</v>
      </c>
      <c r="C141">
        <v>119</v>
      </c>
      <c r="D141" t="b">
        <f ca="1">EXACT(Table15[[#This Row],[RoC selected PV]],INDEX(FINI_grouping_for_wheel[RoC selected PV],MATCH(Table15[[#This Row],[Material]],FINI_grouping_for_wheel[Material],0)))</f>
        <v>1</v>
      </c>
    </row>
    <row r="142" spans="1:4">
      <c r="A142" t="s">
        <v>768</v>
      </c>
      <c r="B142">
        <v>9</v>
      </c>
      <c r="C142">
        <v>50</v>
      </c>
      <c r="D142" t="b">
        <f ca="1">EXACT(Table15[[#This Row],[RoC selected PV]],INDEX(FINI_grouping_for_wheel[RoC selected PV],MATCH(Table15[[#This Row],[Material]],FINI_grouping_for_wheel[Material],0)))</f>
        <v>1</v>
      </c>
    </row>
    <row r="143" spans="1:4">
      <c r="A143" t="s">
        <v>771</v>
      </c>
      <c r="B143">
        <v>11</v>
      </c>
      <c r="C143">
        <v>119</v>
      </c>
      <c r="D143" t="b">
        <f ca="1">EXACT(Table15[[#This Row],[RoC selected PV]],INDEX(FINI_grouping_for_wheel[RoC selected PV],MATCH(Table15[[#This Row],[Material]],FINI_grouping_for_wheel[Material],0)))</f>
        <v>1</v>
      </c>
    </row>
    <row r="144" spans="1:4">
      <c r="A144" t="s">
        <v>774</v>
      </c>
      <c r="B144">
        <v>7</v>
      </c>
      <c r="C144">
        <v>44</v>
      </c>
      <c r="D144" t="b">
        <f ca="1">EXACT(Table15[[#This Row],[RoC selected PV]],INDEX(FINI_grouping_for_wheel[RoC selected PV],MATCH(Table15[[#This Row],[Material]],FINI_grouping_for_wheel[Material],0)))</f>
        <v>1</v>
      </c>
    </row>
    <row r="145" spans="1:4">
      <c r="A145" t="s">
        <v>777</v>
      </c>
      <c r="B145">
        <v>10</v>
      </c>
      <c r="C145">
        <v>95</v>
      </c>
      <c r="D145" t="b">
        <f ca="1">EXACT(Table15[[#This Row],[RoC selected PV]],INDEX(FINI_grouping_for_wheel[RoC selected PV],MATCH(Table15[[#This Row],[Material]],FINI_grouping_for_wheel[Material],0)))</f>
        <v>1</v>
      </c>
    </row>
    <row r="146" spans="1:4">
      <c r="A146" t="s">
        <v>780</v>
      </c>
      <c r="B146">
        <v>10</v>
      </c>
      <c r="C146">
        <v>95</v>
      </c>
      <c r="D146" t="b">
        <f ca="1">EXACT(Table15[[#This Row],[RoC selected PV]],INDEX(FINI_grouping_for_wheel[RoC selected PV],MATCH(Table15[[#This Row],[Material]],FINI_grouping_for_wheel[Material],0)))</f>
        <v>1</v>
      </c>
    </row>
    <row r="147" spans="1:4">
      <c r="A147" t="s">
        <v>783</v>
      </c>
      <c r="B147">
        <v>8</v>
      </c>
      <c r="C147">
        <v>40</v>
      </c>
      <c r="D147" t="b">
        <f ca="1">EXACT(Table15[[#This Row],[RoC selected PV]],INDEX(FINI_grouping_for_wheel[RoC selected PV],MATCH(Table15[[#This Row],[Material]],FINI_grouping_for_wheel[Material],0)))</f>
        <v>1</v>
      </c>
    </row>
    <row r="148" spans="1:4">
      <c r="A148" t="s">
        <v>786</v>
      </c>
      <c r="B148">
        <v>6</v>
      </c>
      <c r="C148">
        <v>18</v>
      </c>
      <c r="D148" t="b">
        <f ca="1">EXACT(Table15[[#This Row],[RoC selected PV]],INDEX(FINI_grouping_for_wheel[RoC selected PV],MATCH(Table15[[#This Row],[Material]],FINI_grouping_for_wheel[Material],0)))</f>
        <v>1</v>
      </c>
    </row>
    <row r="149" spans="1:4">
      <c r="A149" t="s">
        <v>789</v>
      </c>
      <c r="B149">
        <v>7</v>
      </c>
      <c r="C149">
        <v>44</v>
      </c>
      <c r="D149" t="b">
        <f ca="1">EXACT(Table15[[#This Row],[RoC selected PV]],INDEX(FINI_grouping_for_wheel[RoC selected PV],MATCH(Table15[[#This Row],[Material]],FINI_grouping_for_wheel[Material],0)))</f>
        <v>1</v>
      </c>
    </row>
    <row r="150" spans="1:4">
      <c r="A150" t="s">
        <v>792</v>
      </c>
      <c r="B150">
        <v>9</v>
      </c>
      <c r="C150">
        <v>50</v>
      </c>
      <c r="D150" t="b">
        <f ca="1">EXACT(Table15[[#This Row],[RoC selected PV]],INDEX(FINI_grouping_for_wheel[RoC selected PV],MATCH(Table15[[#This Row],[Material]],FINI_grouping_for_wheel[Material],0)))</f>
        <v>1</v>
      </c>
    </row>
    <row r="151" spans="1:4">
      <c r="A151" t="s">
        <v>795</v>
      </c>
      <c r="B151">
        <v>10</v>
      </c>
      <c r="C151">
        <v>95</v>
      </c>
      <c r="D151" t="b">
        <f ca="1">EXACT(Table15[[#This Row],[RoC selected PV]],INDEX(FINI_grouping_for_wheel[RoC selected PV],MATCH(Table15[[#This Row],[Material]],FINI_grouping_for_wheel[Material],0)))</f>
        <v>1</v>
      </c>
    </row>
    <row r="152" spans="1:4">
      <c r="A152" t="s">
        <v>798</v>
      </c>
      <c r="B152">
        <v>7</v>
      </c>
      <c r="C152">
        <v>44</v>
      </c>
      <c r="D152" t="b">
        <f ca="1">EXACT(Table15[[#This Row],[RoC selected PV]],INDEX(FINI_grouping_for_wheel[RoC selected PV],MATCH(Table15[[#This Row],[Material]],FINI_grouping_for_wheel[Material],0)))</f>
        <v>1</v>
      </c>
    </row>
    <row r="153" spans="1:4">
      <c r="A153" t="s">
        <v>801</v>
      </c>
      <c r="B153">
        <v>9</v>
      </c>
      <c r="C153">
        <v>50</v>
      </c>
      <c r="D153" t="b">
        <f ca="1">EXACT(Table15[[#This Row],[RoC selected PV]],INDEX(FINI_grouping_for_wheel[RoC selected PV],MATCH(Table15[[#This Row],[Material]],FINI_grouping_for_wheel[Material],0)))</f>
        <v>1</v>
      </c>
    </row>
    <row r="154" spans="1:4">
      <c r="A154" t="s">
        <v>804</v>
      </c>
      <c r="B154">
        <v>8</v>
      </c>
      <c r="C154">
        <v>40</v>
      </c>
      <c r="D154" t="b">
        <f ca="1">EXACT(Table15[[#This Row],[RoC selected PV]],INDEX(FINI_grouping_for_wheel[RoC selected PV],MATCH(Table15[[#This Row],[Material]],FINI_grouping_for_wheel[Material],0)))</f>
        <v>1</v>
      </c>
    </row>
    <row r="155" spans="1:4">
      <c r="A155" t="s">
        <v>807</v>
      </c>
      <c r="B155">
        <v>1</v>
      </c>
      <c r="C155">
        <v>3</v>
      </c>
      <c r="D155" t="b">
        <f ca="1">EXACT(Table15[[#This Row],[RoC selected PV]],INDEX(FINI_grouping_for_wheel[RoC selected PV],MATCH(Table15[[#This Row],[Material]],FINI_grouping_for_wheel[Material],0)))</f>
        <v>1</v>
      </c>
    </row>
    <row r="156" spans="1:4">
      <c r="A156" t="s">
        <v>812</v>
      </c>
      <c r="B156">
        <v>5</v>
      </c>
      <c r="C156">
        <v>56</v>
      </c>
      <c r="D156" t="b">
        <f ca="1">EXACT(Table15[[#This Row],[RoC selected PV]],INDEX(FINI_grouping_for_wheel[RoC selected PV],MATCH(Table15[[#This Row],[Material]],FINI_grouping_for_wheel[Material],0)))</f>
        <v>1</v>
      </c>
    </row>
    <row r="157" spans="1:4">
      <c r="A157" t="s">
        <v>817</v>
      </c>
      <c r="B157">
        <v>5</v>
      </c>
      <c r="C157">
        <v>56</v>
      </c>
      <c r="D157" t="b">
        <f ca="1">EXACT(Table15[[#This Row],[RoC selected PV]],INDEX(FINI_grouping_for_wheel[RoC selected PV],MATCH(Table15[[#This Row],[Material]],FINI_grouping_for_wheel[Material],0)))</f>
        <v>1</v>
      </c>
    </row>
    <row r="158" spans="1:4">
      <c r="A158" t="s">
        <v>820</v>
      </c>
      <c r="B158">
        <v>2</v>
      </c>
      <c r="C158">
        <v>13</v>
      </c>
      <c r="D158" t="b">
        <f ca="1">EXACT(Table15[[#This Row],[RoC selected PV]],INDEX(FINI_grouping_for_wheel[RoC selected PV],MATCH(Table15[[#This Row],[Material]],FINI_grouping_for_wheel[Material],0)))</f>
        <v>1</v>
      </c>
    </row>
    <row r="159" spans="1:4">
      <c r="A159" t="s">
        <v>825</v>
      </c>
      <c r="B159">
        <v>3</v>
      </c>
      <c r="C159">
        <v>13</v>
      </c>
      <c r="D159" t="b">
        <f ca="1">EXACT(Table15[[#This Row],[RoC selected PV]],INDEX(FINI_grouping_for_wheel[RoC selected PV],MATCH(Table15[[#This Row],[Material]],FINI_grouping_for_wheel[Material],0)))</f>
        <v>1</v>
      </c>
    </row>
    <row r="160" spans="1:4">
      <c r="A160" t="s">
        <v>830</v>
      </c>
      <c r="B160">
        <v>5</v>
      </c>
      <c r="C160">
        <v>56</v>
      </c>
      <c r="D160" t="b">
        <f ca="1">EXACT(Table15[[#This Row],[RoC selected PV]],INDEX(FINI_grouping_for_wheel[RoC selected PV],MATCH(Table15[[#This Row],[Material]],FINI_grouping_for_wheel[Material],0)))</f>
        <v>1</v>
      </c>
    </row>
    <row r="161" spans="1:4">
      <c r="A161" t="s">
        <v>833</v>
      </c>
      <c r="B161">
        <v>4</v>
      </c>
      <c r="C161">
        <v>17</v>
      </c>
      <c r="D161" t="b">
        <f ca="1">EXACT(Table15[[#This Row],[RoC selected PV]],INDEX(FINI_grouping_for_wheel[RoC selected PV],MATCH(Table15[[#This Row],[Material]],FINI_grouping_for_wheel[Material],0)))</f>
        <v>1</v>
      </c>
    </row>
    <row r="162" spans="1:4">
      <c r="A162" t="s">
        <v>839</v>
      </c>
      <c r="B162">
        <v>5</v>
      </c>
      <c r="C162">
        <v>241</v>
      </c>
      <c r="D162" t="b">
        <f ca="1">EXACT(Table15[[#This Row],[RoC selected PV]],INDEX(FINI_grouping_for_wheel[RoC selected PV],MATCH(Table15[[#This Row],[Material]],FINI_grouping_for_wheel[Material],0)))</f>
        <v>1</v>
      </c>
    </row>
    <row r="163" spans="1:4">
      <c r="A163" t="s">
        <v>846</v>
      </c>
      <c r="B163">
        <v>11</v>
      </c>
      <c r="C163">
        <v>83</v>
      </c>
      <c r="D163" t="b">
        <f ca="1">EXACT(Table15[[#This Row],[RoC selected PV]],INDEX(FINI_grouping_for_wheel[RoC selected PV],MATCH(Table15[[#This Row],[Material]],FINI_grouping_for_wheel[Material],0)))</f>
        <v>1</v>
      </c>
    </row>
    <row r="164" spans="1:4">
      <c r="A164" t="s">
        <v>849</v>
      </c>
      <c r="B164">
        <v>13</v>
      </c>
      <c r="C164">
        <v>52</v>
      </c>
      <c r="D164" t="b">
        <f ca="1">EXACT(Table15[[#This Row],[RoC selected PV]],INDEX(FINI_grouping_for_wheel[RoC selected PV],MATCH(Table15[[#This Row],[Material]],FINI_grouping_for_wheel[Material],0)))</f>
        <v>1</v>
      </c>
    </row>
    <row r="165" spans="1:4">
      <c r="A165" t="s">
        <v>852</v>
      </c>
      <c r="B165">
        <v>5</v>
      </c>
      <c r="C165">
        <v>241</v>
      </c>
      <c r="D165" t="b">
        <f ca="1">EXACT(Table15[[#This Row],[RoC selected PV]],INDEX(FINI_grouping_for_wheel[RoC selected PV],MATCH(Table15[[#This Row],[Material]],FINI_grouping_for_wheel[Material],0)))</f>
        <v>1</v>
      </c>
    </row>
    <row r="166" spans="1:4">
      <c r="A166" t="s">
        <v>855</v>
      </c>
      <c r="B166">
        <v>4</v>
      </c>
      <c r="C166">
        <v>86</v>
      </c>
      <c r="D166" t="b">
        <f ca="1">EXACT(Table15[[#This Row],[RoC selected PV]],INDEX(FINI_grouping_for_wheel[RoC selected PV],MATCH(Table15[[#This Row],[Material]],FINI_grouping_for_wheel[Material],0)))</f>
        <v>1</v>
      </c>
    </row>
    <row r="167" spans="1:4">
      <c r="A167" t="s">
        <v>858</v>
      </c>
      <c r="B167">
        <v>4</v>
      </c>
      <c r="C167">
        <v>86</v>
      </c>
      <c r="D167" t="b">
        <f ca="1">EXACT(Table15[[#This Row],[RoC selected PV]],INDEX(FINI_grouping_for_wheel[RoC selected PV],MATCH(Table15[[#This Row],[Material]],FINI_grouping_for_wheel[Material],0)))</f>
        <v>1</v>
      </c>
    </row>
    <row r="168" spans="1:4">
      <c r="A168" t="s">
        <v>864</v>
      </c>
      <c r="B168">
        <v>11</v>
      </c>
      <c r="C168">
        <v>83</v>
      </c>
      <c r="D168" t="b">
        <f ca="1">EXACT(Table15[[#This Row],[RoC selected PV]],INDEX(FINI_grouping_for_wheel[RoC selected PV],MATCH(Table15[[#This Row],[Material]],FINI_grouping_for_wheel[Material],0)))</f>
        <v>1</v>
      </c>
    </row>
    <row r="169" spans="1:4">
      <c r="A169" t="s">
        <v>868</v>
      </c>
      <c r="B169">
        <v>11</v>
      </c>
      <c r="C169">
        <v>83</v>
      </c>
      <c r="D169" t="b">
        <f ca="1">EXACT(Table15[[#This Row],[RoC selected PV]],INDEX(FINI_grouping_for_wheel[RoC selected PV],MATCH(Table15[[#This Row],[Material]],FINI_grouping_for_wheel[Material],0)))</f>
        <v>1</v>
      </c>
    </row>
    <row r="170" spans="1:4">
      <c r="A170" t="s">
        <v>871</v>
      </c>
      <c r="B170">
        <v>8</v>
      </c>
      <c r="C170">
        <v>75</v>
      </c>
      <c r="D170" t="b">
        <f ca="1">EXACT(Table15[[#This Row],[RoC selected PV]],INDEX(FINI_grouping_for_wheel[RoC selected PV],MATCH(Table15[[#This Row],[Material]],FINI_grouping_for_wheel[Material],0)))</f>
        <v>1</v>
      </c>
    </row>
    <row r="171" spans="1:4">
      <c r="A171" t="s">
        <v>876</v>
      </c>
      <c r="B171">
        <v>12</v>
      </c>
      <c r="C171">
        <v>57</v>
      </c>
      <c r="D171" t="b">
        <f ca="1">EXACT(Table15[[#This Row],[RoC selected PV]],INDEX(FINI_grouping_for_wheel[RoC selected PV],MATCH(Table15[[#This Row],[Material]],FINI_grouping_for_wheel[Material],0)))</f>
        <v>1</v>
      </c>
    </row>
    <row r="172" spans="1:4">
      <c r="A172" t="s">
        <v>881</v>
      </c>
      <c r="B172">
        <v>9</v>
      </c>
      <c r="C172">
        <v>88</v>
      </c>
      <c r="D172" t="b">
        <f ca="1">EXACT(Table15[[#This Row],[RoC selected PV]],INDEX(FINI_grouping_for_wheel[RoC selected PV],MATCH(Table15[[#This Row],[Material]],FINI_grouping_for_wheel[Material],0)))</f>
        <v>1</v>
      </c>
    </row>
    <row r="173" spans="1:4">
      <c r="A173" t="s">
        <v>886</v>
      </c>
      <c r="B173">
        <v>13</v>
      </c>
      <c r="C173">
        <v>52</v>
      </c>
      <c r="D173" t="b">
        <f ca="1">EXACT(Table15[[#This Row],[RoC selected PV]],INDEX(FINI_grouping_for_wheel[RoC selected PV],MATCH(Table15[[#This Row],[Material]],FINI_grouping_for_wheel[Material],0)))</f>
        <v>1</v>
      </c>
    </row>
    <row r="174" spans="1:4">
      <c r="A174" t="s">
        <v>891</v>
      </c>
      <c r="B174">
        <v>8</v>
      </c>
      <c r="C174">
        <v>75</v>
      </c>
      <c r="D174" t="b">
        <f ca="1">EXACT(Table15[[#This Row],[RoC selected PV]],INDEX(FINI_grouping_for_wheel[RoC selected PV],MATCH(Table15[[#This Row],[Material]],FINI_grouping_for_wheel[Material],0)))</f>
        <v>1</v>
      </c>
    </row>
    <row r="175" spans="1:4">
      <c r="A175" t="s">
        <v>894</v>
      </c>
      <c r="B175">
        <v>7</v>
      </c>
      <c r="C175">
        <v>139</v>
      </c>
      <c r="D175" t="b">
        <f ca="1">EXACT(Table15[[#This Row],[RoC selected PV]],INDEX(FINI_grouping_for_wheel[RoC selected PV],MATCH(Table15[[#This Row],[Material]],FINI_grouping_for_wheel[Material],0)))</f>
        <v>1</v>
      </c>
    </row>
    <row r="176" spans="1:4">
      <c r="A176" t="s">
        <v>897</v>
      </c>
      <c r="B176">
        <v>7</v>
      </c>
      <c r="C176">
        <v>139</v>
      </c>
      <c r="D176" t="b">
        <f ca="1">EXACT(Table15[[#This Row],[RoC selected PV]],INDEX(FINI_grouping_for_wheel[RoC selected PV],MATCH(Table15[[#This Row],[Material]],FINI_grouping_for_wheel[Material],0)))</f>
        <v>1</v>
      </c>
    </row>
    <row r="177" spans="1:4">
      <c r="A177" t="s">
        <v>900</v>
      </c>
      <c r="B177">
        <v>8</v>
      </c>
      <c r="C177">
        <v>75</v>
      </c>
      <c r="D177" t="b">
        <f ca="1">EXACT(Table15[[#This Row],[RoC selected PV]],INDEX(FINI_grouping_for_wheel[RoC selected PV],MATCH(Table15[[#This Row],[Material]],FINI_grouping_for_wheel[Material],0)))</f>
        <v>1</v>
      </c>
    </row>
    <row r="178" spans="1:4">
      <c r="A178" t="s">
        <v>903</v>
      </c>
      <c r="B178">
        <v>12</v>
      </c>
      <c r="C178">
        <v>57</v>
      </c>
      <c r="D178" t="b">
        <f ca="1">EXACT(Table15[[#This Row],[RoC selected PV]],INDEX(FINI_grouping_for_wheel[RoC selected PV],MATCH(Table15[[#This Row],[Material]],FINI_grouping_for_wheel[Material],0)))</f>
        <v>1</v>
      </c>
    </row>
    <row r="179" spans="1:4">
      <c r="A179" t="s">
        <v>907</v>
      </c>
      <c r="B179">
        <v>12</v>
      </c>
      <c r="C179">
        <v>57</v>
      </c>
      <c r="D179" t="b">
        <f ca="1">EXACT(Table15[[#This Row],[RoC selected PV]],INDEX(FINI_grouping_for_wheel[RoC selected PV],MATCH(Table15[[#This Row],[Material]],FINI_grouping_for_wheel[Material],0)))</f>
        <v>1</v>
      </c>
    </row>
    <row r="180" spans="1:4">
      <c r="A180" t="s">
        <v>910</v>
      </c>
      <c r="B180">
        <v>50</v>
      </c>
      <c r="C180">
        <v>222</v>
      </c>
      <c r="D180" t="b">
        <f ca="1">EXACT(Table15[[#This Row],[RoC selected PV]],INDEX(FINI_grouping_for_wheel[RoC selected PV],MATCH(Table15[[#This Row],[Material]],FINI_grouping_for_wheel[Material],0)))</f>
        <v>1</v>
      </c>
    </row>
    <row r="181" spans="1:4">
      <c r="A181" t="s">
        <v>916</v>
      </c>
      <c r="B181">
        <v>5</v>
      </c>
      <c r="C181">
        <v>241</v>
      </c>
      <c r="D181" t="b">
        <f ca="1">EXACT(Table15[[#This Row],[RoC selected PV]],INDEX(FINI_grouping_for_wheel[RoC selected PV],MATCH(Table15[[#This Row],[Material]],FINI_grouping_for_wheel[Material],0)))</f>
        <v>1</v>
      </c>
    </row>
    <row r="182" spans="1:4">
      <c r="A182" t="s">
        <v>919</v>
      </c>
      <c r="B182">
        <v>50</v>
      </c>
      <c r="C182">
        <v>222</v>
      </c>
      <c r="D182" t="b">
        <f ca="1">EXACT(Table15[[#This Row],[RoC selected PV]],INDEX(FINI_grouping_for_wheel[RoC selected PV],MATCH(Table15[[#This Row],[Material]],FINI_grouping_for_wheel[Material],0)))</f>
        <v>1</v>
      </c>
    </row>
    <row r="183" spans="1:4">
      <c r="A183" t="s">
        <v>925</v>
      </c>
      <c r="B183">
        <v>50</v>
      </c>
      <c r="C183">
        <v>222</v>
      </c>
      <c r="D183" t="b">
        <f ca="1">EXACT(Table15[[#This Row],[RoC selected PV]],INDEX(FINI_grouping_for_wheel[RoC selected PV],MATCH(Table15[[#This Row],[Material]],FINI_grouping_for_wheel[Material],0)))</f>
        <v>1</v>
      </c>
    </row>
    <row r="184" spans="1:4">
      <c r="A184" t="s">
        <v>928</v>
      </c>
      <c r="B184">
        <v>6</v>
      </c>
      <c r="C184">
        <v>39</v>
      </c>
      <c r="D184" t="b">
        <f ca="1">EXACT(Table15[[#This Row],[RoC selected PV]],INDEX(FINI_grouping_for_wheel[RoC selected PV],MATCH(Table15[[#This Row],[Material]],FINI_grouping_for_wheel[Material],0)))</f>
        <v>0</v>
      </c>
    </row>
    <row r="185" spans="1:4">
      <c r="A185" t="s">
        <v>931</v>
      </c>
      <c r="B185">
        <v>9</v>
      </c>
      <c r="C185">
        <v>88</v>
      </c>
      <c r="D185" t="b">
        <f ca="1">EXACT(Table15[[#This Row],[RoC selected PV]],INDEX(FINI_grouping_for_wheel[RoC selected PV],MATCH(Table15[[#This Row],[Material]],FINI_grouping_for_wheel[Material],0)))</f>
        <v>1</v>
      </c>
    </row>
    <row r="186" spans="1:4">
      <c r="A186" t="s">
        <v>936</v>
      </c>
      <c r="B186">
        <v>10</v>
      </c>
      <c r="C186">
        <v>108</v>
      </c>
      <c r="D186" t="b">
        <f ca="1">EXACT(Table15[[#This Row],[RoC selected PV]],INDEX(FINI_grouping_for_wheel[RoC selected PV],MATCH(Table15[[#This Row],[Material]],FINI_grouping_for_wheel[Material],0)))</f>
        <v>1</v>
      </c>
    </row>
    <row r="187" spans="1:4">
      <c r="A187" t="s">
        <v>939</v>
      </c>
      <c r="B187">
        <v>9</v>
      </c>
      <c r="C187">
        <v>88</v>
      </c>
      <c r="D187" t="b">
        <f ca="1">EXACT(Table15[[#This Row],[RoC selected PV]],INDEX(FINI_grouping_for_wheel[RoC selected PV],MATCH(Table15[[#This Row],[Material]],FINI_grouping_for_wheel[Material],0)))</f>
        <v>1</v>
      </c>
    </row>
    <row r="188" spans="1:4">
      <c r="A188" t="s">
        <v>944</v>
      </c>
      <c r="B188">
        <v>10</v>
      </c>
      <c r="C188">
        <v>108</v>
      </c>
      <c r="D188" t="b">
        <f ca="1">EXACT(Table15[[#This Row],[RoC selected PV]],INDEX(FINI_grouping_for_wheel[RoC selected PV],MATCH(Table15[[#This Row],[Material]],FINI_grouping_for_wheel[Material],0)))</f>
        <v>1</v>
      </c>
    </row>
    <row r="189" spans="1:4">
      <c r="A189" t="s">
        <v>949</v>
      </c>
      <c r="B189">
        <v>50</v>
      </c>
      <c r="C189">
        <v>222</v>
      </c>
      <c r="D189" t="b">
        <f ca="1">EXACT(Table15[[#This Row],[RoC selected PV]],INDEX(FINI_grouping_for_wheel[RoC selected PV],MATCH(Table15[[#This Row],[Material]],FINI_grouping_for_wheel[Material],0)))</f>
        <v>1</v>
      </c>
    </row>
    <row r="190" spans="1:4">
      <c r="A190" t="s">
        <v>953</v>
      </c>
      <c r="B190">
        <v>13</v>
      </c>
      <c r="C190">
        <v>52</v>
      </c>
      <c r="D190" t="b">
        <f ca="1">EXACT(Table15[[#This Row],[RoC selected PV]],INDEX(FINI_grouping_for_wheel[RoC selected PV],MATCH(Table15[[#This Row],[Material]],FINI_grouping_for_wheel[Material],0)))</f>
        <v>1</v>
      </c>
    </row>
    <row r="191" spans="1:4">
      <c r="A191" t="s">
        <v>958</v>
      </c>
      <c r="B191">
        <v>4</v>
      </c>
      <c r="C191">
        <v>86</v>
      </c>
      <c r="D191" t="b">
        <f ca="1">EXACT(Table15[[#This Row],[RoC selected PV]],INDEX(FINI_grouping_for_wheel[RoC selected PV],MATCH(Table15[[#This Row],[Material]],FINI_grouping_for_wheel[Material],0)))</f>
        <v>1</v>
      </c>
    </row>
    <row r="192" spans="1:4">
      <c r="A192" t="s">
        <v>961</v>
      </c>
      <c r="B192">
        <v>13</v>
      </c>
      <c r="C192">
        <v>52</v>
      </c>
      <c r="D192" t="b">
        <f ca="1">EXACT(Table15[[#This Row],[RoC selected PV]],INDEX(FINI_grouping_for_wheel[RoC selected PV],MATCH(Table15[[#This Row],[Material]],FINI_grouping_for_wheel[Material],0)))</f>
        <v>1</v>
      </c>
    </row>
    <row r="193" spans="1:4">
      <c r="A193" t="s">
        <v>964</v>
      </c>
      <c r="B193">
        <v>5</v>
      </c>
      <c r="C193">
        <v>241</v>
      </c>
      <c r="D193" t="b">
        <f ca="1">EXACT(Table15[[#This Row],[RoC selected PV]],INDEX(FINI_grouping_for_wheel[RoC selected PV],MATCH(Table15[[#This Row],[Material]],FINI_grouping_for_wheel[Material],0)))</f>
        <v>1</v>
      </c>
    </row>
    <row r="194" spans="1:4">
      <c r="A194" t="s">
        <v>967</v>
      </c>
      <c r="B194">
        <v>2</v>
      </c>
      <c r="C194">
        <v>19</v>
      </c>
      <c r="D194" t="b">
        <f ca="1">EXACT(Table15[[#This Row],[RoC selected PV]],INDEX(FINI_grouping_for_wheel[RoC selected PV],MATCH(Table15[[#This Row],[Material]],FINI_grouping_for_wheel[Material],0)))</f>
        <v>0</v>
      </c>
    </row>
    <row r="195" spans="1:4">
      <c r="A195" t="s">
        <v>972</v>
      </c>
      <c r="B195">
        <v>3</v>
      </c>
      <c r="C195">
        <v>35</v>
      </c>
      <c r="D195" t="b">
        <f ca="1">EXACT(Table15[[#This Row],[RoC selected PV]],INDEX(FINI_grouping_for_wheel[RoC selected PV],MATCH(Table15[[#This Row],[Material]],FINI_grouping_for_wheel[Material],0)))</f>
        <v>0</v>
      </c>
    </row>
    <row r="196" spans="1:4">
      <c r="A196" t="s">
        <v>975</v>
      </c>
      <c r="B196">
        <v>1</v>
      </c>
      <c r="C196">
        <v>7</v>
      </c>
      <c r="D196" t="b">
        <f ca="1">EXACT(Table15[[#This Row],[RoC selected PV]],INDEX(FINI_grouping_for_wheel[RoC selected PV],MATCH(Table15[[#This Row],[Material]],FINI_grouping_for_wheel[Material],0)))</f>
        <v>0</v>
      </c>
    </row>
    <row r="197" spans="1:4">
      <c r="A197" t="s">
        <v>981</v>
      </c>
      <c r="B197">
        <v>100</v>
      </c>
      <c r="C197">
        <v>74</v>
      </c>
      <c r="D197" t="b">
        <f ca="1">EXACT(Table15[[#This Row],[RoC selected PV]],INDEX(FINI_grouping_for_wheel[RoC selected PV],MATCH(Table15[[#This Row],[Material]],FINI_grouping_for_wheel[Material],0)))</f>
        <v>1</v>
      </c>
    </row>
    <row r="198" spans="1:4">
      <c r="A198" t="s">
        <v>985</v>
      </c>
      <c r="B198">
        <v>100</v>
      </c>
      <c r="C198">
        <v>74</v>
      </c>
      <c r="D198" t="b">
        <f ca="1">EXACT(Table15[[#This Row],[RoC selected PV]],INDEX(FINI_grouping_for_wheel[RoC selected PV],MATCH(Table15[[#This Row],[Material]],FINI_grouping_for_wheel[Material],0)))</f>
        <v>1</v>
      </c>
    </row>
    <row r="199" spans="1:4">
      <c r="A199" t="s">
        <v>988</v>
      </c>
      <c r="B199">
        <v>200</v>
      </c>
      <c r="C199">
        <v>129</v>
      </c>
      <c r="D199" t="b">
        <f ca="1">EXACT(Table15[[#This Row],[RoC selected PV]],INDEX(FINI_grouping_for_wheel[RoC selected PV],MATCH(Table15[[#This Row],[Material]],FINI_grouping_for_wheel[Material],0)))</f>
        <v>1</v>
      </c>
    </row>
    <row r="200" spans="1:4">
      <c r="A200" t="s">
        <v>992</v>
      </c>
      <c r="B200">
        <v>200</v>
      </c>
      <c r="C200">
        <v>129</v>
      </c>
      <c r="D200" t="b">
        <f ca="1">EXACT(Table15[[#This Row],[RoC selected PV]],INDEX(FINI_grouping_for_wheel[RoC selected PV],MATCH(Table15[[#This Row],[Material]],FINI_grouping_for_wheel[Material],0)))</f>
        <v>1</v>
      </c>
    </row>
    <row r="201" spans="1:4">
      <c r="A201" t="s">
        <v>995</v>
      </c>
      <c r="B201">
        <v>5</v>
      </c>
      <c r="C201">
        <v>37</v>
      </c>
      <c r="D201" t="b">
        <f ca="1">EXACT(Table15[[#This Row],[RoC selected PV]],INDEX(FINI_grouping_for_wheel[RoC selected PV],MATCH(Table15[[#This Row],[Material]],FINI_grouping_for_wheel[Material],0)))</f>
        <v>0</v>
      </c>
    </row>
    <row r="202" spans="1:4">
      <c r="A202" t="s">
        <v>1000</v>
      </c>
      <c r="B202">
        <v>6</v>
      </c>
      <c r="C202">
        <v>34</v>
      </c>
      <c r="D202" t="b">
        <f ca="1">EXACT(Table15[[#This Row],[RoC selected PV]],INDEX(FINI_grouping_for_wheel[RoC selected PV],MATCH(Table15[[#This Row],[Material]],FINI_grouping_for_wheel[Material],0)))</f>
        <v>1</v>
      </c>
    </row>
    <row r="203" spans="1:4">
      <c r="A203" t="s">
        <v>1003</v>
      </c>
      <c r="B203">
        <v>7</v>
      </c>
      <c r="C203">
        <v>34</v>
      </c>
      <c r="D203" t="b">
        <f ca="1">EXACT(Table15[[#This Row],[RoC selected PV]],INDEX(FINI_grouping_for_wheel[RoC selected PV],MATCH(Table15[[#This Row],[Material]],FINI_grouping_for_wheel[Material],0)))</f>
        <v>1</v>
      </c>
    </row>
    <row r="204" spans="1:4">
      <c r="A204" t="s">
        <v>1006</v>
      </c>
      <c r="B204">
        <v>7</v>
      </c>
      <c r="C204">
        <v>34</v>
      </c>
      <c r="D204" t="b">
        <f ca="1">EXACT(Table15[[#This Row],[RoC selected PV]],INDEX(FINI_grouping_for_wheel[RoC selected PV],MATCH(Table15[[#This Row],[Material]],FINI_grouping_for_wheel[Material],0)))</f>
        <v>1</v>
      </c>
    </row>
    <row r="205" spans="1:4">
      <c r="A205" t="s">
        <v>1009</v>
      </c>
      <c r="B205">
        <v>8</v>
      </c>
      <c r="C205">
        <v>42</v>
      </c>
      <c r="D205" t="b">
        <f ca="1">EXACT(Table15[[#This Row],[RoC selected PV]],INDEX(FINI_grouping_for_wheel[RoC selected PV],MATCH(Table15[[#This Row],[Material]],FINI_grouping_for_wheel[Material],0)))</f>
        <v>1</v>
      </c>
    </row>
    <row r="206" spans="1:4">
      <c r="A206" t="s">
        <v>1012</v>
      </c>
      <c r="B206">
        <v>100</v>
      </c>
      <c r="C206">
        <v>74</v>
      </c>
      <c r="D206" t="b">
        <f ca="1">EXACT(Table15[[#This Row],[RoC selected PV]],INDEX(FINI_grouping_for_wheel[RoC selected PV],MATCH(Table15[[#This Row],[Material]],FINI_grouping_for_wheel[Material],0)))</f>
        <v>1</v>
      </c>
    </row>
    <row r="207" spans="1:4">
      <c r="A207" t="s">
        <v>1015</v>
      </c>
      <c r="B207">
        <v>30</v>
      </c>
      <c r="C207">
        <v>70</v>
      </c>
      <c r="D207" t="b">
        <f ca="1">EXACT(Table15[[#This Row],[RoC selected PV]],INDEX(FINI_grouping_for_wheel[RoC selected PV],MATCH(Table15[[#This Row],[Material]],FINI_grouping_for_wheel[Material],0)))</f>
        <v>1</v>
      </c>
    </row>
    <row r="208" spans="1:4">
      <c r="A208" t="s">
        <v>1018</v>
      </c>
      <c r="B208">
        <v>30</v>
      </c>
      <c r="C208">
        <v>70</v>
      </c>
      <c r="D208" t="b">
        <f ca="1">EXACT(Table15[[#This Row],[RoC selected PV]],INDEX(FINI_grouping_for_wheel[RoC selected PV],MATCH(Table15[[#This Row],[Material]],FINI_grouping_for_wheel[Material],0)))</f>
        <v>1</v>
      </c>
    </row>
    <row r="209" spans="1:4">
      <c r="A209" t="s">
        <v>1021</v>
      </c>
      <c r="B209">
        <v>30</v>
      </c>
      <c r="C209">
        <v>70</v>
      </c>
      <c r="D209" t="b">
        <f ca="1">EXACT(Table15[[#This Row],[RoC selected PV]],INDEX(FINI_grouping_for_wheel[RoC selected PV],MATCH(Table15[[#This Row],[Material]],FINI_grouping_for_wheel[Material],0)))</f>
        <v>1</v>
      </c>
    </row>
    <row r="210" spans="1:4">
      <c r="A210" t="s">
        <v>1024</v>
      </c>
      <c r="B210">
        <v>9</v>
      </c>
      <c r="C210">
        <v>27</v>
      </c>
      <c r="D210" t="b">
        <f ca="1">EXACT(Table15[[#This Row],[RoC selected PV]],INDEX(FINI_grouping_for_wheel[RoC selected PV],MATCH(Table15[[#This Row],[Material]],FINI_grouping_for_wheel[Material],0)))</f>
        <v>1</v>
      </c>
    </row>
    <row r="211" spans="1:4">
      <c r="A211" t="s">
        <v>1027</v>
      </c>
      <c r="B211">
        <v>9</v>
      </c>
      <c r="C211">
        <v>27</v>
      </c>
      <c r="D211" t="b">
        <f ca="1">EXACT(Table15[[#This Row],[RoC selected PV]],INDEX(FINI_grouping_for_wheel[RoC selected PV],MATCH(Table15[[#This Row],[Material]],FINI_grouping_for_wheel[Material],0)))</f>
        <v>1</v>
      </c>
    </row>
    <row r="212" spans="1:4">
      <c r="A212" t="s">
        <v>1030</v>
      </c>
      <c r="B212">
        <v>8</v>
      </c>
      <c r="C212">
        <v>42</v>
      </c>
      <c r="D212" t="b">
        <f ca="1">EXACT(Table15[[#This Row],[RoC selected PV]],INDEX(FINI_grouping_for_wheel[RoC selected PV],MATCH(Table15[[#This Row],[Material]],FINI_grouping_for_wheel[Material],0)))</f>
        <v>1</v>
      </c>
    </row>
    <row r="213" spans="1:4">
      <c r="A213" t="s">
        <v>1033</v>
      </c>
      <c r="B213">
        <v>1</v>
      </c>
      <c r="C213">
        <v>12</v>
      </c>
      <c r="D213" t="b">
        <f ca="1">EXACT(Table15[[#This Row],[RoC selected PV]],INDEX(FINI_grouping_for_wheel[RoC selected PV],MATCH(Table15[[#This Row],[Material]],FINI_grouping_for_wheel[Material],0)))</f>
        <v>0</v>
      </c>
    </row>
    <row r="214" spans="1:4">
      <c r="A214" t="s">
        <v>1036</v>
      </c>
      <c r="B214">
        <v>3</v>
      </c>
      <c r="C214">
        <v>18</v>
      </c>
      <c r="D214" t="b">
        <f ca="1">EXACT(Table15[[#This Row],[RoC selected PV]],INDEX(FINI_grouping_for_wheel[RoC selected PV],MATCH(Table15[[#This Row],[Material]],FINI_grouping_for_wheel[Material],0)))</f>
        <v>0</v>
      </c>
    </row>
    <row r="215" spans="1:4">
      <c r="A215" t="s">
        <v>1041</v>
      </c>
      <c r="B215">
        <v>4</v>
      </c>
      <c r="C215">
        <v>38</v>
      </c>
      <c r="D215" t="b">
        <f ca="1">EXACT(Table15[[#This Row],[RoC selected PV]],INDEX(FINI_grouping_for_wheel[RoC selected PV],MATCH(Table15[[#This Row],[Material]],FINI_grouping_for_wheel[Material],0)))</f>
        <v>0</v>
      </c>
    </row>
    <row r="216" spans="1:4">
      <c r="A216" t="s">
        <v>1044</v>
      </c>
      <c r="B216">
        <v>4</v>
      </c>
      <c r="C216">
        <v>38</v>
      </c>
      <c r="D216" t="b">
        <f ca="1">EXACT(Table15[[#This Row],[RoC selected PV]],INDEX(FINI_grouping_for_wheel[RoC selected PV],MATCH(Table15[[#This Row],[Material]],FINI_grouping_for_wheel[Material],0)))</f>
        <v>0</v>
      </c>
    </row>
    <row r="217" spans="1:4">
      <c r="A217" t="s">
        <v>1047</v>
      </c>
      <c r="B217">
        <v>2</v>
      </c>
      <c r="C217">
        <v>16</v>
      </c>
      <c r="D217" t="b">
        <f ca="1">EXACT(Table15[[#This Row],[RoC selected PV]],INDEX(FINI_grouping_for_wheel[RoC selected PV],MATCH(Table15[[#This Row],[Material]],FINI_grouping_for_wheel[Material],0)))</f>
        <v>0</v>
      </c>
    </row>
    <row r="218" spans="1:4">
      <c r="A218" t="s">
        <v>1053</v>
      </c>
      <c r="B218">
        <v>13</v>
      </c>
      <c r="C218">
        <v>186</v>
      </c>
      <c r="D218" t="b">
        <f ca="1">EXACT(Table15[[#This Row],[RoC selected PV]],INDEX(FINI_grouping_for_wheel[RoC selected PV],MATCH(Table15[[#This Row],[Material]],FINI_grouping_for_wheel[Material],0)))</f>
        <v>1</v>
      </c>
    </row>
    <row r="219" spans="1:4">
      <c r="A219" t="s">
        <v>1057</v>
      </c>
      <c r="B219">
        <v>11</v>
      </c>
      <c r="C219">
        <v>79</v>
      </c>
      <c r="D219" t="b">
        <f ca="1">EXACT(Table15[[#This Row],[RoC selected PV]],INDEX(FINI_grouping_for_wheel[RoC selected PV],MATCH(Table15[[#This Row],[Material]],FINI_grouping_for_wheel[Material],0)))</f>
        <v>1</v>
      </c>
    </row>
    <row r="220" spans="1:4">
      <c r="A220" t="s">
        <v>1060</v>
      </c>
      <c r="B220">
        <v>13</v>
      </c>
      <c r="C220">
        <v>186</v>
      </c>
      <c r="D220" t="b">
        <f ca="1">EXACT(Table15[[#This Row],[RoC selected PV]],INDEX(FINI_grouping_for_wheel[RoC selected PV],MATCH(Table15[[#This Row],[Material]],FINI_grouping_for_wheel[Material],0)))</f>
        <v>1</v>
      </c>
    </row>
    <row r="221" spans="1:4">
      <c r="A221" t="s">
        <v>1063</v>
      </c>
      <c r="B221">
        <v>13</v>
      </c>
      <c r="C221">
        <v>186</v>
      </c>
      <c r="D221" t="b">
        <f ca="1">EXACT(Table15[[#This Row],[RoC selected PV]],INDEX(FINI_grouping_for_wheel[RoC selected PV],MATCH(Table15[[#This Row],[Material]],FINI_grouping_for_wheel[Material],0)))</f>
        <v>1</v>
      </c>
    </row>
    <row r="222" spans="1:4">
      <c r="A222" t="s">
        <v>1066</v>
      </c>
      <c r="B222">
        <v>14</v>
      </c>
      <c r="C222">
        <v>97</v>
      </c>
      <c r="D222" t="b">
        <f ca="1">EXACT(Table15[[#This Row],[RoC selected PV]],INDEX(FINI_grouping_for_wheel[RoC selected PV],MATCH(Table15[[#This Row],[Material]],FINI_grouping_for_wheel[Material],0)))</f>
        <v>1</v>
      </c>
    </row>
    <row r="223" spans="1:4">
      <c r="A223" t="s">
        <v>1069</v>
      </c>
      <c r="B223">
        <v>14</v>
      </c>
      <c r="C223">
        <v>97</v>
      </c>
      <c r="D223" t="b">
        <f ca="1">EXACT(Table15[[#This Row],[RoC selected PV]],INDEX(FINI_grouping_for_wheel[RoC selected PV],MATCH(Table15[[#This Row],[Material]],FINI_grouping_for_wheel[Material],0)))</f>
        <v>1</v>
      </c>
    </row>
    <row r="224" spans="1:4">
      <c r="A224" t="s">
        <v>1072</v>
      </c>
      <c r="B224">
        <v>10</v>
      </c>
      <c r="C224">
        <v>166</v>
      </c>
      <c r="D224" t="b">
        <f ca="1">EXACT(Table15[[#This Row],[RoC selected PV]],INDEX(FINI_grouping_for_wheel[RoC selected PV],MATCH(Table15[[#This Row],[Material]],FINI_grouping_for_wheel[Material],0)))</f>
        <v>1</v>
      </c>
    </row>
    <row r="225" spans="1:4">
      <c r="A225" t="s">
        <v>1075</v>
      </c>
      <c r="B225">
        <v>9</v>
      </c>
      <c r="C225">
        <v>42</v>
      </c>
      <c r="D225" t="b">
        <f ca="1">EXACT(Table15[[#This Row],[RoC selected PV]],INDEX(FINI_grouping_for_wheel[RoC selected PV],MATCH(Table15[[#This Row],[Material]],FINI_grouping_for_wheel[Material],0)))</f>
        <v>1</v>
      </c>
    </row>
    <row r="226" spans="1:4">
      <c r="A226" t="s">
        <v>1078</v>
      </c>
      <c r="B226">
        <v>8</v>
      </c>
      <c r="C226">
        <v>29</v>
      </c>
      <c r="D226" t="b">
        <f ca="1">EXACT(Table15[[#This Row],[RoC selected PV]],INDEX(FINI_grouping_for_wheel[RoC selected PV],MATCH(Table15[[#This Row],[Material]],FINI_grouping_for_wheel[Material],0)))</f>
        <v>1</v>
      </c>
    </row>
    <row r="227" spans="1:4">
      <c r="A227" t="s">
        <v>1081</v>
      </c>
      <c r="B227">
        <v>2</v>
      </c>
      <c r="C227">
        <v>11</v>
      </c>
      <c r="D227" t="b">
        <f ca="1">EXACT(Table15[[#This Row],[RoC selected PV]],INDEX(FINI_grouping_for_wheel[RoC selected PV],MATCH(Table15[[#This Row],[Material]],FINI_grouping_for_wheel[Material],0)))</f>
        <v>1</v>
      </c>
    </row>
    <row r="228" spans="1:4">
      <c r="A228" t="s">
        <v>1084</v>
      </c>
      <c r="B228">
        <v>6</v>
      </c>
      <c r="C228">
        <v>11</v>
      </c>
      <c r="D228" t="b">
        <f ca="1">EXACT(Table15[[#This Row],[RoC selected PV]],INDEX(FINI_grouping_for_wheel[RoC selected PV],MATCH(Table15[[#This Row],[Material]],FINI_grouping_for_wheel[Material],0)))</f>
        <v>1</v>
      </c>
    </row>
    <row r="229" spans="1:4">
      <c r="A229" t="s">
        <v>1089</v>
      </c>
      <c r="B229">
        <v>7</v>
      </c>
      <c r="C229">
        <v>20</v>
      </c>
      <c r="D229" t="b">
        <f ca="1">EXACT(Table15[[#This Row],[RoC selected PV]],INDEX(FINI_grouping_for_wheel[RoC selected PV],MATCH(Table15[[#This Row],[Material]],FINI_grouping_for_wheel[Material],0)))</f>
        <v>1</v>
      </c>
    </row>
    <row r="230" spans="1:4">
      <c r="A230" t="s">
        <v>1094</v>
      </c>
      <c r="B230">
        <v>10</v>
      </c>
      <c r="C230">
        <v>166</v>
      </c>
      <c r="D230" t="b">
        <f ca="1">EXACT(Table15[[#This Row],[RoC selected PV]],INDEX(FINI_grouping_for_wheel[RoC selected PV],MATCH(Table15[[#This Row],[Material]],FINI_grouping_for_wheel[Material],0)))</f>
        <v>1</v>
      </c>
    </row>
    <row r="231" spans="1:4">
      <c r="A231" t="s">
        <v>1099</v>
      </c>
      <c r="B231">
        <v>10</v>
      </c>
      <c r="C231">
        <v>166</v>
      </c>
      <c r="D231" t="b">
        <f ca="1">EXACT(Table15[[#This Row],[RoC selected PV]],INDEX(FINI_grouping_for_wheel[RoC selected PV],MATCH(Table15[[#This Row],[Material]],FINI_grouping_for_wheel[Material],0)))</f>
        <v>1</v>
      </c>
    </row>
    <row r="232" spans="1:4">
      <c r="A232" t="s">
        <v>1102</v>
      </c>
      <c r="B232">
        <v>13</v>
      </c>
      <c r="C232">
        <v>186</v>
      </c>
      <c r="D232" t="b">
        <f ca="1">EXACT(Table15[[#This Row],[RoC selected PV]],INDEX(FINI_grouping_for_wheel[RoC selected PV],MATCH(Table15[[#This Row],[Material]],FINI_grouping_for_wheel[Material],0)))</f>
        <v>1</v>
      </c>
    </row>
    <row r="233" spans="1:4">
      <c r="A233" t="s">
        <v>1105</v>
      </c>
      <c r="B233">
        <v>4</v>
      </c>
      <c r="C233">
        <v>25</v>
      </c>
      <c r="D233" t="b">
        <f ca="1">EXACT(Table15[[#This Row],[RoC selected PV]],INDEX(FINI_grouping_for_wheel[RoC selected PV],MATCH(Table15[[#This Row],[Material]],FINI_grouping_for_wheel[Material],0)))</f>
        <v>1</v>
      </c>
    </row>
    <row r="234" spans="1:4">
      <c r="A234" t="s">
        <v>1108</v>
      </c>
      <c r="B234">
        <v>3</v>
      </c>
      <c r="C234">
        <v>24</v>
      </c>
      <c r="D234" t="b">
        <f ca="1">EXACT(Table15[[#This Row],[RoC selected PV]],INDEX(FINI_grouping_for_wheel[RoC selected PV],MATCH(Table15[[#This Row],[Material]],FINI_grouping_for_wheel[Material],0)))</f>
        <v>1</v>
      </c>
    </row>
    <row r="235" spans="1:4">
      <c r="A235" t="s">
        <v>1111</v>
      </c>
      <c r="B235">
        <v>9</v>
      </c>
      <c r="C235">
        <v>42</v>
      </c>
      <c r="D235" t="b">
        <f ca="1">EXACT(Table15[[#This Row],[RoC selected PV]],INDEX(FINI_grouping_for_wheel[RoC selected PV],MATCH(Table15[[#This Row],[Material]],FINI_grouping_for_wheel[Material],0)))</f>
        <v>1</v>
      </c>
    </row>
    <row r="236" spans="1:4">
      <c r="A236" t="s">
        <v>1114</v>
      </c>
      <c r="B236">
        <v>12</v>
      </c>
      <c r="C236">
        <v>70</v>
      </c>
      <c r="D236" t="b">
        <f ca="1">EXACT(Table15[[#This Row],[RoC selected PV]],INDEX(FINI_grouping_for_wheel[RoC selected PV],MATCH(Table15[[#This Row],[Material]],FINI_grouping_for_wheel[Material],0)))</f>
        <v>1</v>
      </c>
    </row>
    <row r="237" spans="1:4">
      <c r="A237" t="s">
        <v>1117</v>
      </c>
      <c r="B237">
        <v>8</v>
      </c>
      <c r="C237">
        <v>29</v>
      </c>
      <c r="D237" t="b">
        <f ca="1">EXACT(Table15[[#This Row],[RoC selected PV]],INDEX(FINI_grouping_for_wheel[RoC selected PV],MATCH(Table15[[#This Row],[Material]],FINI_grouping_for_wheel[Material],0)))</f>
        <v>1</v>
      </c>
    </row>
    <row r="238" spans="1:4">
      <c r="A238" t="s">
        <v>1120</v>
      </c>
      <c r="B238">
        <v>11</v>
      </c>
      <c r="C238">
        <v>79</v>
      </c>
      <c r="D238" t="b">
        <f ca="1">EXACT(Table15[[#This Row],[RoC selected PV]],INDEX(FINI_grouping_for_wheel[RoC selected PV],MATCH(Table15[[#This Row],[Material]],FINI_grouping_for_wheel[Material],0)))</f>
        <v>1</v>
      </c>
    </row>
    <row r="239" spans="1:4">
      <c r="A239" t="s">
        <v>1123</v>
      </c>
      <c r="B239">
        <v>9</v>
      </c>
      <c r="C239">
        <v>42</v>
      </c>
      <c r="D239" t="b">
        <f ca="1">EXACT(Table15[[#This Row],[RoC selected PV]],INDEX(FINI_grouping_for_wheel[RoC selected PV],MATCH(Table15[[#This Row],[Material]],FINI_grouping_for_wheel[Material],0)))</f>
        <v>1</v>
      </c>
    </row>
    <row r="240" spans="1:4">
      <c r="A240" t="s">
        <v>1128</v>
      </c>
      <c r="B240">
        <v>12</v>
      </c>
      <c r="C240">
        <v>70</v>
      </c>
      <c r="D240" t="b">
        <f ca="1">EXACT(Table15[[#This Row],[RoC selected PV]],INDEX(FINI_grouping_for_wheel[RoC selected PV],MATCH(Table15[[#This Row],[Material]],FINI_grouping_for_wheel[Material],0)))</f>
        <v>1</v>
      </c>
    </row>
    <row r="241" spans="1:4">
      <c r="A241" t="s">
        <v>1131</v>
      </c>
      <c r="B241">
        <v>10</v>
      </c>
      <c r="C241">
        <v>166</v>
      </c>
      <c r="D241" t="b">
        <f ca="1">EXACT(Table15[[#This Row],[RoC selected PV]],INDEX(FINI_grouping_for_wheel[RoC selected PV],MATCH(Table15[[#This Row],[Material]],FINI_grouping_for_wheel[Material],0)))</f>
        <v>1</v>
      </c>
    </row>
    <row r="242" spans="1:4">
      <c r="A242" t="s">
        <v>1135</v>
      </c>
      <c r="B242">
        <v>11</v>
      </c>
      <c r="C242">
        <v>79</v>
      </c>
      <c r="D242" t="b">
        <f ca="1">EXACT(Table15[[#This Row],[RoC selected PV]],INDEX(FINI_grouping_for_wheel[RoC selected PV],MATCH(Table15[[#This Row],[Material]],FINI_grouping_for_wheel[Material],0)))</f>
        <v>1</v>
      </c>
    </row>
    <row r="243" spans="1:4">
      <c r="A243" t="s">
        <v>1138</v>
      </c>
      <c r="B243">
        <v>13</v>
      </c>
      <c r="C243">
        <v>186</v>
      </c>
      <c r="D243" t="b">
        <f ca="1">EXACT(Table15[[#This Row],[RoC selected PV]],INDEX(FINI_grouping_for_wheel[RoC selected PV],MATCH(Table15[[#This Row],[Material]],FINI_grouping_for_wheel[Material],0)))</f>
        <v>1</v>
      </c>
    </row>
    <row r="244" spans="1:4">
      <c r="A244" t="s">
        <v>1141</v>
      </c>
      <c r="B244">
        <v>5</v>
      </c>
      <c r="C244">
        <v>23</v>
      </c>
      <c r="D244" t="b">
        <f ca="1">EXACT(Table15[[#This Row],[RoC selected PV]],INDEX(FINI_grouping_for_wheel[RoC selected PV],MATCH(Table15[[#This Row],[Material]],FINI_grouping_for_wheel[Material],0)))</f>
        <v>1</v>
      </c>
    </row>
    <row r="245" spans="1:4">
      <c r="A245" t="s">
        <v>1144</v>
      </c>
      <c r="B245">
        <v>1</v>
      </c>
      <c r="C245">
        <v>6</v>
      </c>
      <c r="D245" t="b">
        <f ca="1">EXACT(Table15[[#This Row],[RoC selected PV]],INDEX(FINI_grouping_for_wheel[RoC selected PV],MATCH(Table15[[#This Row],[Material]],FINI_grouping_for_wheel[Material],0)))</f>
        <v>1</v>
      </c>
    </row>
    <row r="246" spans="1:4">
      <c r="A246" t="s">
        <v>1149</v>
      </c>
      <c r="B246">
        <v>5</v>
      </c>
      <c r="C246">
        <v>23</v>
      </c>
      <c r="D246" t="b">
        <f ca="1">EXACT(Table15[[#This Row],[RoC selected PV]],INDEX(FINI_grouping_for_wheel[RoC selected PV],MATCH(Table15[[#This Row],[Material]],FINI_grouping_for_wheel[Material],0)))</f>
        <v>1</v>
      </c>
    </row>
    <row r="247" spans="1:4">
      <c r="A247" t="s">
        <v>1152</v>
      </c>
      <c r="B247">
        <v>2</v>
      </c>
      <c r="C247">
        <v>11</v>
      </c>
      <c r="D247" t="b">
        <f ca="1">EXACT(Table15[[#This Row],[RoC selected PV]],INDEX(FINI_grouping_for_wheel[RoC selected PV],MATCH(Table15[[#This Row],[Material]],FINI_grouping_for_wheel[Material],0)))</f>
        <v>1</v>
      </c>
    </row>
    <row r="248" spans="1:4">
      <c r="A248" t="s">
        <v>1159</v>
      </c>
      <c r="B248">
        <v>7</v>
      </c>
      <c r="C248">
        <v>152</v>
      </c>
      <c r="D248" t="b">
        <f ca="1">EXACT(Table15[[#This Row],[RoC selected PV]],INDEX(FINI_grouping_for_wheel[RoC selected PV],MATCH(Table15[[#This Row],[Material]],FINI_grouping_for_wheel[Material],0)))</f>
        <v>1</v>
      </c>
    </row>
    <row r="249" spans="1:4">
      <c r="A249" t="s">
        <v>1165</v>
      </c>
      <c r="B249">
        <v>9</v>
      </c>
      <c r="C249">
        <v>145</v>
      </c>
      <c r="D249" t="b">
        <f ca="1">EXACT(Table15[[#This Row],[RoC selected PV]],INDEX(FINI_grouping_for_wheel[RoC selected PV],MATCH(Table15[[#This Row],[Material]],FINI_grouping_for_wheel[Material],0)))</f>
        <v>1</v>
      </c>
    </row>
    <row r="250" spans="1:4">
      <c r="A250" t="s">
        <v>1168</v>
      </c>
      <c r="B250">
        <v>5</v>
      </c>
      <c r="C250">
        <v>83</v>
      </c>
      <c r="D250" t="b">
        <f ca="1">EXACT(Table15[[#This Row],[RoC selected PV]],INDEX(FINI_grouping_for_wheel[RoC selected PV],MATCH(Table15[[#This Row],[Material]],FINI_grouping_for_wheel[Material],0)))</f>
        <v>1</v>
      </c>
    </row>
    <row r="251" spans="1:4">
      <c r="A251" t="s">
        <v>1171</v>
      </c>
      <c r="B251">
        <v>5</v>
      </c>
      <c r="C251">
        <v>83</v>
      </c>
      <c r="D251" t="b">
        <f ca="1">EXACT(Table15[[#This Row],[RoC selected PV]],INDEX(FINI_grouping_for_wheel[RoC selected PV],MATCH(Table15[[#This Row],[Material]],FINI_grouping_for_wheel[Material],0)))</f>
        <v>1</v>
      </c>
    </row>
    <row r="252" spans="1:4">
      <c r="A252" t="s">
        <v>1174</v>
      </c>
      <c r="B252">
        <v>5</v>
      </c>
      <c r="C252">
        <v>83</v>
      </c>
      <c r="D252" t="b">
        <f ca="1">EXACT(Table15[[#This Row],[RoC selected PV]],INDEX(FINI_grouping_for_wheel[RoC selected PV],MATCH(Table15[[#This Row],[Material]],FINI_grouping_for_wheel[Material],0)))</f>
        <v>1</v>
      </c>
    </row>
    <row r="253" spans="1:4">
      <c r="A253" t="s">
        <v>1177</v>
      </c>
      <c r="B253">
        <v>9</v>
      </c>
      <c r="C253">
        <v>145</v>
      </c>
      <c r="D253" t="b">
        <f ca="1">EXACT(Table15[[#This Row],[RoC selected PV]],INDEX(FINI_grouping_for_wheel[RoC selected PV],MATCH(Table15[[#This Row],[Material]],FINI_grouping_for_wheel[Material],0)))</f>
        <v>1</v>
      </c>
    </row>
    <row r="254" spans="1:4">
      <c r="A254" t="s">
        <v>1180</v>
      </c>
      <c r="B254">
        <v>9</v>
      </c>
      <c r="C254">
        <v>145</v>
      </c>
      <c r="D254" t="b">
        <f ca="1">EXACT(Table15[[#This Row],[RoC selected PV]],INDEX(FINI_grouping_for_wheel[RoC selected PV],MATCH(Table15[[#This Row],[Material]],FINI_grouping_for_wheel[Material],0)))</f>
        <v>1</v>
      </c>
    </row>
    <row r="255" spans="1:4">
      <c r="A255" t="s">
        <v>1183</v>
      </c>
      <c r="B255">
        <v>4</v>
      </c>
      <c r="C255">
        <v>28</v>
      </c>
      <c r="D255" t="b">
        <f ca="1">EXACT(Table15[[#This Row],[RoC selected PV]],INDEX(FINI_grouping_for_wheel[RoC selected PV],MATCH(Table15[[#This Row],[Material]],FINI_grouping_for_wheel[Material],0)))</f>
        <v>1</v>
      </c>
    </row>
    <row r="256" spans="1:4">
      <c r="A256" t="s">
        <v>1186</v>
      </c>
      <c r="B256">
        <v>4</v>
      </c>
      <c r="C256">
        <v>28</v>
      </c>
      <c r="D256" t="b">
        <f ca="1">EXACT(Table15[[#This Row],[RoC selected PV]],INDEX(FINI_grouping_for_wheel[RoC selected PV],MATCH(Table15[[#This Row],[Material]],FINI_grouping_for_wheel[Material],0)))</f>
        <v>1</v>
      </c>
    </row>
    <row r="257" spans="1:4">
      <c r="A257" t="s">
        <v>1189</v>
      </c>
      <c r="B257">
        <v>8</v>
      </c>
      <c r="C257">
        <v>201</v>
      </c>
      <c r="D257" t="b">
        <f ca="1">EXACT(Table15[[#This Row],[RoC selected PV]],INDEX(FINI_grouping_for_wheel[RoC selected PV],MATCH(Table15[[#This Row],[Material]],FINI_grouping_for_wheel[Material],0)))</f>
        <v>1</v>
      </c>
    </row>
    <row r="258" spans="1:4">
      <c r="A258" t="s">
        <v>1196</v>
      </c>
      <c r="B258">
        <v>2</v>
      </c>
      <c r="C258">
        <v>11</v>
      </c>
      <c r="D258" t="b">
        <f ca="1">EXACT(Table15[[#This Row],[RoC selected PV]],INDEX(FINI_grouping_for_wheel[RoC selected PV],MATCH(Table15[[#This Row],[Material]],FINI_grouping_for_wheel[Material],0)))</f>
        <v>0</v>
      </c>
    </row>
    <row r="259" spans="1:4">
      <c r="A259" t="s">
        <v>1201</v>
      </c>
      <c r="B259">
        <v>8</v>
      </c>
      <c r="C259">
        <v>201</v>
      </c>
      <c r="D259" t="b">
        <f ca="1">EXACT(Table15[[#This Row],[RoC selected PV]],INDEX(FINI_grouping_for_wheel[RoC selected PV],MATCH(Table15[[#This Row],[Material]],FINI_grouping_for_wheel[Material],0)))</f>
        <v>1</v>
      </c>
    </row>
    <row r="260" spans="1:4">
      <c r="A260" t="s">
        <v>1204</v>
      </c>
      <c r="B260">
        <v>6</v>
      </c>
      <c r="C260">
        <v>59</v>
      </c>
      <c r="D260" t="b">
        <f ca="1">EXACT(Table15[[#This Row],[RoC selected PV]],INDEX(FINI_grouping_for_wheel[RoC selected PV],MATCH(Table15[[#This Row],[Material]],FINI_grouping_for_wheel[Material],0)))</f>
        <v>1</v>
      </c>
    </row>
    <row r="261" spans="1:4">
      <c r="A261" t="s">
        <v>1209</v>
      </c>
      <c r="B261">
        <v>6</v>
      </c>
      <c r="C261">
        <v>59</v>
      </c>
      <c r="D261" t="b">
        <f ca="1">EXACT(Table15[[#This Row],[RoC selected PV]],INDEX(FINI_grouping_for_wheel[RoC selected PV],MATCH(Table15[[#This Row],[Material]],FINI_grouping_for_wheel[Material],0)))</f>
        <v>1</v>
      </c>
    </row>
    <row r="262" spans="1:4">
      <c r="A262" t="s">
        <v>1214</v>
      </c>
      <c r="B262">
        <v>7</v>
      </c>
      <c r="C262">
        <v>152</v>
      </c>
      <c r="D262" t="b">
        <f ca="1">EXACT(Table15[[#This Row],[RoC selected PV]],INDEX(FINI_grouping_for_wheel[RoC selected PV],MATCH(Table15[[#This Row],[Material]],FINI_grouping_for_wheel[Material],0)))</f>
        <v>1</v>
      </c>
    </row>
    <row r="263" spans="1:4">
      <c r="A263" t="s">
        <v>1219</v>
      </c>
      <c r="B263">
        <v>6</v>
      </c>
      <c r="C263">
        <v>59</v>
      </c>
      <c r="D263" t="b">
        <f ca="1">EXACT(Table15[[#This Row],[RoC selected PV]],INDEX(FINI_grouping_for_wheel[RoC selected PV],MATCH(Table15[[#This Row],[Material]],FINI_grouping_for_wheel[Material],0)))</f>
        <v>1</v>
      </c>
    </row>
    <row r="264" spans="1:4">
      <c r="A264" t="s">
        <v>1224</v>
      </c>
      <c r="B264">
        <v>1</v>
      </c>
      <c r="C264">
        <v>9</v>
      </c>
      <c r="D264" t="b">
        <f ca="1">EXACT(Table15[[#This Row],[RoC selected PV]],INDEX(FINI_grouping_for_wheel[RoC selected PV],MATCH(Table15[[#This Row],[Material]],FINI_grouping_for_wheel[Material],0)))</f>
        <v>0</v>
      </c>
    </row>
    <row r="265" spans="1:4">
      <c r="A265" t="s">
        <v>1229</v>
      </c>
      <c r="B265">
        <v>3</v>
      </c>
      <c r="C265">
        <v>19</v>
      </c>
      <c r="D265" t="b">
        <f ca="1">EXACT(Table15[[#This Row],[RoC selected PV]],INDEX(FINI_grouping_for_wheel[RoC selected PV],MATCH(Table15[[#This Row],[Material]],FINI_grouping_for_wheel[Material],0)))</f>
        <v>0</v>
      </c>
    </row>
    <row r="266" spans="1:4">
      <c r="A266" t="s">
        <v>1235</v>
      </c>
      <c r="B266">
        <v>3</v>
      </c>
      <c r="C266">
        <v>268</v>
      </c>
      <c r="D266" t="b">
        <f ca="1">EXACT(Table15[[#This Row],[RoC selected PV]],INDEX(FINI_grouping_for_wheel[RoC selected PV],MATCH(Table15[[#This Row],[Material]],FINI_grouping_for_wheel[Material],0)))</f>
        <v>1</v>
      </c>
    </row>
    <row r="267" spans="1:4">
      <c r="A267" t="s">
        <v>1239</v>
      </c>
      <c r="B267">
        <v>3</v>
      </c>
      <c r="C267">
        <v>268</v>
      </c>
      <c r="D267" t="b">
        <f ca="1">EXACT(Table15[[#This Row],[RoC selected PV]],INDEX(FINI_grouping_for_wheel[RoC selected PV],MATCH(Table15[[#This Row],[Material]],FINI_grouping_for_wheel[Material],0)))</f>
        <v>1</v>
      </c>
    </row>
    <row r="268" spans="1:4">
      <c r="A268" t="s">
        <v>1242</v>
      </c>
      <c r="B268">
        <v>6</v>
      </c>
      <c r="C268">
        <v>63</v>
      </c>
      <c r="D268" t="b">
        <f ca="1">EXACT(Table15[[#This Row],[RoC selected PV]],INDEX(FINI_grouping_for_wheel[RoC selected PV],MATCH(Table15[[#This Row],[Material]],FINI_grouping_for_wheel[Material],0)))</f>
        <v>1</v>
      </c>
    </row>
    <row r="269" spans="1:4">
      <c r="A269" t="s">
        <v>1245</v>
      </c>
      <c r="B269">
        <v>7</v>
      </c>
      <c r="C269">
        <v>84</v>
      </c>
      <c r="D269" t="b">
        <f ca="1">EXACT(Table15[[#This Row],[RoC selected PV]],INDEX(FINI_grouping_for_wheel[RoC selected PV],MATCH(Table15[[#This Row],[Material]],FINI_grouping_for_wheel[Material],0)))</f>
        <v>1</v>
      </c>
    </row>
    <row r="270" spans="1:4">
      <c r="A270" t="s">
        <v>1248</v>
      </c>
      <c r="B270">
        <v>8</v>
      </c>
      <c r="C270">
        <v>60</v>
      </c>
      <c r="D270" t="b">
        <f ca="1">EXACT(Table15[[#This Row],[RoC selected PV]],INDEX(FINI_grouping_for_wheel[RoC selected PV],MATCH(Table15[[#This Row],[Material]],FINI_grouping_for_wheel[Material],0)))</f>
        <v>1</v>
      </c>
    </row>
    <row r="271" spans="1:4">
      <c r="A271" t="s">
        <v>1251</v>
      </c>
      <c r="B271">
        <v>4</v>
      </c>
      <c r="C271">
        <v>36</v>
      </c>
      <c r="D271" t="b">
        <f ca="1">EXACT(Table15[[#This Row],[RoC selected PV]],INDEX(FINI_grouping_for_wheel[RoC selected PV],MATCH(Table15[[#This Row],[Material]],FINI_grouping_for_wheel[Material],0)))</f>
        <v>1</v>
      </c>
    </row>
    <row r="272" spans="1:4">
      <c r="A272" t="s">
        <v>1254</v>
      </c>
      <c r="B272">
        <v>3</v>
      </c>
      <c r="C272">
        <v>268</v>
      </c>
      <c r="D272" t="b">
        <f ca="1">EXACT(Table15[[#This Row],[RoC selected PV]],INDEX(FINI_grouping_for_wheel[RoC selected PV],MATCH(Table15[[#This Row],[Material]],FINI_grouping_for_wheel[Material],0)))</f>
        <v>1</v>
      </c>
    </row>
    <row r="273" spans="1:4">
      <c r="A273" t="s">
        <v>1257</v>
      </c>
      <c r="B273">
        <v>6</v>
      </c>
      <c r="C273">
        <v>63</v>
      </c>
      <c r="D273" t="b">
        <f ca="1">EXACT(Table15[[#This Row],[RoC selected PV]],INDEX(FINI_grouping_for_wheel[RoC selected PV],MATCH(Table15[[#This Row],[Material]],FINI_grouping_for_wheel[Material],0)))</f>
        <v>1</v>
      </c>
    </row>
    <row r="274" spans="1:4">
      <c r="A274" t="s">
        <v>1260</v>
      </c>
      <c r="B274">
        <v>1</v>
      </c>
      <c r="C274">
        <v>7</v>
      </c>
      <c r="D274" t="b">
        <f ca="1">EXACT(Table15[[#This Row],[RoC selected PV]],INDEX(FINI_grouping_for_wheel[RoC selected PV],MATCH(Table15[[#This Row],[Material]],FINI_grouping_for_wheel[Material],0)))</f>
        <v>1</v>
      </c>
    </row>
    <row r="275" spans="1:4">
      <c r="A275" t="s">
        <v>1265</v>
      </c>
      <c r="B275">
        <v>10</v>
      </c>
      <c r="C275">
        <v>47</v>
      </c>
      <c r="D275" t="b">
        <f ca="1">EXACT(Table15[[#This Row],[RoC selected PV]],INDEX(FINI_grouping_for_wheel[RoC selected PV],MATCH(Table15[[#This Row],[Material]],FINI_grouping_for_wheel[Material],0)))</f>
        <v>1</v>
      </c>
    </row>
    <row r="276" spans="1:4">
      <c r="A276" t="s">
        <v>1268</v>
      </c>
      <c r="B276">
        <v>11</v>
      </c>
      <c r="C276">
        <v>9</v>
      </c>
      <c r="D276" t="b">
        <f ca="1">EXACT(Table15[[#This Row],[RoC selected PV]],INDEX(FINI_grouping_for_wheel[RoC selected PV],MATCH(Table15[[#This Row],[Material]],FINI_grouping_for_wheel[Material],0)))</f>
        <v>1</v>
      </c>
    </row>
    <row r="277" spans="1:4">
      <c r="A277" t="s">
        <v>1273</v>
      </c>
      <c r="B277">
        <v>9</v>
      </c>
      <c r="C277">
        <v>60</v>
      </c>
      <c r="D277" t="b">
        <f ca="1">EXACT(Table15[[#This Row],[RoC selected PV]],INDEX(FINI_grouping_for_wheel[RoC selected PV],MATCH(Table15[[#This Row],[Material]],FINI_grouping_for_wheel[Material],0)))</f>
        <v>1</v>
      </c>
    </row>
    <row r="278" spans="1:4">
      <c r="A278" t="s">
        <v>1276</v>
      </c>
      <c r="B278">
        <v>9</v>
      </c>
      <c r="C278">
        <v>60</v>
      </c>
      <c r="D278" t="b">
        <f ca="1">EXACT(Table15[[#This Row],[RoC selected PV]],INDEX(FINI_grouping_for_wheel[RoC selected PV],MATCH(Table15[[#This Row],[Material]],FINI_grouping_for_wheel[Material],0)))</f>
        <v>1</v>
      </c>
    </row>
    <row r="279" spans="1:4">
      <c r="A279" t="s">
        <v>1279</v>
      </c>
      <c r="B279">
        <v>4</v>
      </c>
      <c r="C279">
        <v>36</v>
      </c>
      <c r="D279" t="b">
        <f ca="1">EXACT(Table15[[#This Row],[RoC selected PV]],INDEX(FINI_grouping_for_wheel[RoC selected PV],MATCH(Table15[[#This Row],[Material]],FINI_grouping_for_wheel[Material],0)))</f>
        <v>1</v>
      </c>
    </row>
    <row r="280" spans="1:4">
      <c r="A280" t="s">
        <v>1282</v>
      </c>
      <c r="B280">
        <v>5</v>
      </c>
      <c r="C280">
        <v>27</v>
      </c>
      <c r="D280" t="b">
        <f ca="1">EXACT(Table15[[#This Row],[RoC selected PV]],INDEX(FINI_grouping_for_wheel[RoC selected PV],MATCH(Table15[[#This Row],[Material]],FINI_grouping_for_wheel[Material],0)))</f>
        <v>1</v>
      </c>
    </row>
    <row r="281" spans="1:4">
      <c r="A281" t="s">
        <v>1287</v>
      </c>
      <c r="B281">
        <v>5</v>
      </c>
      <c r="C281">
        <v>27</v>
      </c>
      <c r="D281" t="b">
        <f ca="1">EXACT(Table15[[#This Row],[RoC selected PV]],INDEX(FINI_grouping_for_wheel[RoC selected PV],MATCH(Table15[[#This Row],[Material]],FINI_grouping_for_wheel[Material],0)))</f>
        <v>1</v>
      </c>
    </row>
    <row r="282" spans="1:4">
      <c r="A282" t="s">
        <v>1290</v>
      </c>
      <c r="B282">
        <v>5</v>
      </c>
      <c r="C282">
        <v>27</v>
      </c>
      <c r="D282" t="b">
        <f ca="1">EXACT(Table15[[#This Row],[RoC selected PV]],INDEX(FINI_grouping_for_wheel[RoC selected PV],MATCH(Table15[[#This Row],[Material]],FINI_grouping_for_wheel[Material],0)))</f>
        <v>1</v>
      </c>
    </row>
    <row r="283" spans="1:4">
      <c r="A283" t="s">
        <v>1293</v>
      </c>
      <c r="B283">
        <v>5</v>
      </c>
      <c r="C283">
        <v>27</v>
      </c>
      <c r="D283" t="b">
        <f ca="1">EXACT(Table15[[#This Row],[RoC selected PV]],INDEX(FINI_grouping_for_wheel[RoC selected PV],MATCH(Table15[[#This Row],[Material]],FINI_grouping_for_wheel[Material],0)))</f>
        <v>1</v>
      </c>
    </row>
    <row r="284" spans="1:4">
      <c r="A284" t="s">
        <v>1296</v>
      </c>
      <c r="B284">
        <v>3</v>
      </c>
      <c r="C284">
        <v>268</v>
      </c>
      <c r="D284" t="b">
        <f ca="1">EXACT(Table15[[#This Row],[RoC selected PV]],INDEX(FINI_grouping_for_wheel[RoC selected PV],MATCH(Table15[[#This Row],[Material]],FINI_grouping_for_wheel[Material],0)))</f>
        <v>1</v>
      </c>
    </row>
    <row r="285" spans="1:4">
      <c r="A285" t="s">
        <v>1299</v>
      </c>
      <c r="B285">
        <v>2</v>
      </c>
      <c r="C285">
        <v>9</v>
      </c>
      <c r="D285" t="b">
        <f ca="1">EXACT(Table15[[#This Row],[RoC selected PV]],INDEX(FINI_grouping_for_wheel[RoC selected PV],MATCH(Table15[[#This Row],[Material]],FINI_grouping_for_wheel[Material],0)))</f>
        <v>1</v>
      </c>
    </row>
    <row r="286" spans="1:4">
      <c r="A286" t="s">
        <v>1303</v>
      </c>
      <c r="B286">
        <v>4</v>
      </c>
      <c r="C286">
        <v>53</v>
      </c>
      <c r="D286" t="b">
        <f ca="1">EXACT(Table15[[#This Row],[RoC selected PV]],INDEX(FINI_grouping_for_wheel[RoC selected PV],MATCH(Table15[[#This Row],[Material]],FINI_grouping_for_wheel[Material],0)))</f>
        <v>1</v>
      </c>
    </row>
    <row r="287" spans="1:4">
      <c r="A287" t="s">
        <v>1309</v>
      </c>
      <c r="B287">
        <v>6</v>
      </c>
      <c r="C287">
        <v>113</v>
      </c>
      <c r="D287" t="b">
        <f ca="1">EXACT(Table15[[#This Row],[RoC selected PV]],INDEX(FINI_grouping_for_wheel[RoC selected PV],MATCH(Table15[[#This Row],[Material]],FINI_grouping_for_wheel[Material],0)))</f>
        <v>1</v>
      </c>
    </row>
    <row r="288" spans="1:4">
      <c r="A288" t="s">
        <v>1312</v>
      </c>
      <c r="B288">
        <v>8</v>
      </c>
      <c r="C288">
        <v>61</v>
      </c>
      <c r="D288" t="b">
        <f ca="1">EXACT(Table15[[#This Row],[RoC selected PV]],INDEX(FINI_grouping_for_wheel[RoC selected PV],MATCH(Table15[[#This Row],[Material]],FINI_grouping_for_wheel[Material],0)))</f>
        <v>1</v>
      </c>
    </row>
    <row r="289" spans="1:4">
      <c r="A289" t="s">
        <v>1318</v>
      </c>
      <c r="B289">
        <v>11</v>
      </c>
      <c r="C289">
        <v>215</v>
      </c>
      <c r="D289" t="b">
        <f ca="1">EXACT(Table15[[#This Row],[RoC selected PV]],INDEX(FINI_grouping_for_wheel[RoC selected PV],MATCH(Table15[[#This Row],[Material]],FINI_grouping_for_wheel[Material],0)))</f>
        <v>1</v>
      </c>
    </row>
    <row r="290" spans="1:4">
      <c r="A290" t="s">
        <v>1321</v>
      </c>
      <c r="B290">
        <v>9</v>
      </c>
      <c r="C290">
        <v>346</v>
      </c>
      <c r="D290" t="b">
        <f ca="1">EXACT(Table15[[#This Row],[RoC selected PV]],INDEX(FINI_grouping_for_wheel[RoC selected PV],MATCH(Table15[[#This Row],[Material]],FINI_grouping_for_wheel[Material],0)))</f>
        <v>1</v>
      </c>
    </row>
    <row r="291" spans="1:4">
      <c r="A291" t="s">
        <v>1324</v>
      </c>
      <c r="B291">
        <v>6</v>
      </c>
      <c r="C291">
        <v>113</v>
      </c>
      <c r="D291" t="b">
        <f ca="1">EXACT(Table15[[#This Row],[RoC selected PV]],INDEX(FINI_grouping_for_wheel[RoC selected PV],MATCH(Table15[[#This Row],[Material]],FINI_grouping_for_wheel[Material],0)))</f>
        <v>1</v>
      </c>
    </row>
    <row r="292" spans="1:4">
      <c r="A292" t="s">
        <v>1327</v>
      </c>
      <c r="B292">
        <v>6</v>
      </c>
      <c r="C292">
        <v>113</v>
      </c>
      <c r="D292" t="b">
        <f ca="1">EXACT(Table15[[#This Row],[RoC selected PV]],INDEX(FINI_grouping_for_wheel[RoC selected PV],MATCH(Table15[[#This Row],[Material]],FINI_grouping_for_wheel[Material],0)))</f>
        <v>1</v>
      </c>
    </row>
    <row r="293" spans="1:4">
      <c r="A293" t="s">
        <v>1330</v>
      </c>
      <c r="B293">
        <v>6</v>
      </c>
      <c r="C293">
        <v>113</v>
      </c>
      <c r="D293" t="b">
        <f ca="1">EXACT(Table15[[#This Row],[RoC selected PV]],INDEX(FINI_grouping_for_wheel[RoC selected PV],MATCH(Table15[[#This Row],[Material]],FINI_grouping_for_wheel[Material],0)))</f>
        <v>1</v>
      </c>
    </row>
    <row r="294" spans="1:4">
      <c r="A294" t="s">
        <v>1333</v>
      </c>
      <c r="B294">
        <v>11</v>
      </c>
      <c r="C294">
        <v>215</v>
      </c>
      <c r="D294" t="b">
        <f ca="1">EXACT(Table15[[#This Row],[RoC selected PV]],INDEX(FINI_grouping_for_wheel[RoC selected PV],MATCH(Table15[[#This Row],[Material]],FINI_grouping_for_wheel[Material],0)))</f>
        <v>1</v>
      </c>
    </row>
    <row r="295" spans="1:4">
      <c r="A295" t="s">
        <v>1336</v>
      </c>
      <c r="B295">
        <v>10</v>
      </c>
      <c r="C295">
        <v>77</v>
      </c>
      <c r="D295" t="b">
        <f ca="1">EXACT(Table15[[#This Row],[RoC selected PV]],INDEX(FINI_grouping_for_wheel[RoC selected PV],MATCH(Table15[[#This Row],[Material]],FINI_grouping_for_wheel[Material],0)))</f>
        <v>1</v>
      </c>
    </row>
    <row r="296" spans="1:4">
      <c r="A296" t="s">
        <v>1339</v>
      </c>
      <c r="B296">
        <v>11</v>
      </c>
      <c r="C296">
        <v>215</v>
      </c>
      <c r="D296" t="b">
        <f ca="1">EXACT(Table15[[#This Row],[RoC selected PV]],INDEX(FINI_grouping_for_wheel[RoC selected PV],MATCH(Table15[[#This Row],[Material]],FINI_grouping_for_wheel[Material],0)))</f>
        <v>1</v>
      </c>
    </row>
    <row r="297" spans="1:4">
      <c r="A297" t="s">
        <v>1342</v>
      </c>
      <c r="B297">
        <v>11</v>
      </c>
      <c r="C297">
        <v>215</v>
      </c>
      <c r="D297" t="b">
        <f ca="1">EXACT(Table15[[#This Row],[RoC selected PV]],INDEX(FINI_grouping_for_wheel[RoC selected PV],MATCH(Table15[[#This Row],[Material]],FINI_grouping_for_wheel[Material],0)))</f>
        <v>1</v>
      </c>
    </row>
    <row r="298" spans="1:4">
      <c r="A298" t="s">
        <v>1345</v>
      </c>
      <c r="B298">
        <v>9</v>
      </c>
      <c r="C298">
        <v>346</v>
      </c>
      <c r="D298" t="b">
        <f ca="1">EXACT(Table15[[#This Row],[RoC selected PV]],INDEX(FINI_grouping_for_wheel[RoC selected PV],MATCH(Table15[[#This Row],[Material]],FINI_grouping_for_wheel[Material],0)))</f>
        <v>1</v>
      </c>
    </row>
    <row r="299" spans="1:4">
      <c r="A299" t="s">
        <v>1348</v>
      </c>
      <c r="B299">
        <v>9</v>
      </c>
      <c r="C299">
        <v>346</v>
      </c>
      <c r="D299" t="b">
        <f ca="1">EXACT(Table15[[#This Row],[RoC selected PV]],INDEX(FINI_grouping_for_wheel[RoC selected PV],MATCH(Table15[[#This Row],[Material]],FINI_grouping_for_wheel[Material],0)))</f>
        <v>1</v>
      </c>
    </row>
    <row r="300" spans="1:4">
      <c r="A300" t="s">
        <v>1351</v>
      </c>
      <c r="B300">
        <v>9</v>
      </c>
      <c r="C300">
        <v>346</v>
      </c>
      <c r="D300" t="b">
        <f ca="1">EXACT(Table15[[#This Row],[RoC selected PV]],INDEX(FINI_grouping_for_wheel[RoC selected PV],MATCH(Table15[[#This Row],[Material]],FINI_grouping_for_wheel[Material],0)))</f>
        <v>1</v>
      </c>
    </row>
    <row r="301" spans="1:4">
      <c r="A301" t="s">
        <v>1354</v>
      </c>
      <c r="B301">
        <v>7</v>
      </c>
      <c r="C301">
        <v>55</v>
      </c>
      <c r="D301" t="b">
        <f ca="1">EXACT(Table15[[#This Row],[RoC selected PV]],INDEX(FINI_grouping_for_wheel[RoC selected PV],MATCH(Table15[[#This Row],[Material]],FINI_grouping_for_wheel[Material],0)))</f>
        <v>1</v>
      </c>
    </row>
    <row r="302" spans="1:4">
      <c r="A302" t="s">
        <v>1359</v>
      </c>
      <c r="B302">
        <v>4</v>
      </c>
      <c r="C302">
        <v>53</v>
      </c>
      <c r="D302" t="b">
        <f ca="1">EXACT(Table15[[#This Row],[RoC selected PV]],INDEX(FINI_grouping_for_wheel[RoC selected PV],MATCH(Table15[[#This Row],[Material]],FINI_grouping_for_wheel[Material],0)))</f>
        <v>1</v>
      </c>
    </row>
    <row r="303" spans="1:4">
      <c r="A303" t="s">
        <v>1362</v>
      </c>
      <c r="B303">
        <v>6</v>
      </c>
      <c r="C303">
        <v>113</v>
      </c>
      <c r="D303" t="b">
        <f ca="1">EXACT(Table15[[#This Row],[RoC selected PV]],INDEX(FINI_grouping_for_wheel[RoC selected PV],MATCH(Table15[[#This Row],[Material]],FINI_grouping_for_wheel[Material],0)))</f>
        <v>1</v>
      </c>
    </row>
    <row r="304" spans="1:4">
      <c r="A304" t="s">
        <v>1365</v>
      </c>
      <c r="B304">
        <v>4</v>
      </c>
      <c r="C304">
        <v>53</v>
      </c>
      <c r="D304" t="b">
        <f ca="1">EXACT(Table15[[#This Row],[RoC selected PV]],INDEX(FINI_grouping_for_wheel[RoC selected PV],MATCH(Table15[[#This Row],[Material]],FINI_grouping_for_wheel[Material],0)))</f>
        <v>1</v>
      </c>
    </row>
    <row r="305" spans="1:4">
      <c r="A305" t="s">
        <v>1370</v>
      </c>
      <c r="B305">
        <v>1</v>
      </c>
      <c r="C305">
        <v>4</v>
      </c>
      <c r="D305" t="b">
        <f ca="1">EXACT(Table15[[#This Row],[RoC selected PV]],INDEX(FINI_grouping_for_wheel[RoC selected PV],MATCH(Table15[[#This Row],[Material]],FINI_grouping_for_wheel[Material],0)))</f>
        <v>1</v>
      </c>
    </row>
    <row r="306" spans="1:4">
      <c r="A306" t="s">
        <v>1375</v>
      </c>
      <c r="B306">
        <v>10</v>
      </c>
      <c r="C306">
        <v>77</v>
      </c>
      <c r="D306" t="b">
        <f ca="1">EXACT(Table15[[#This Row],[RoC selected PV]],INDEX(FINI_grouping_for_wheel[RoC selected PV],MATCH(Table15[[#This Row],[Material]],FINI_grouping_for_wheel[Material],0)))</f>
        <v>1</v>
      </c>
    </row>
    <row r="307" spans="1:4">
      <c r="A307" t="s">
        <v>1378</v>
      </c>
      <c r="B307">
        <v>2</v>
      </c>
      <c r="C307">
        <v>13</v>
      </c>
      <c r="D307" t="b">
        <f ca="1">EXACT(Table15[[#This Row],[RoC selected PV]],INDEX(FINI_grouping_for_wheel[RoC selected PV],MATCH(Table15[[#This Row],[Material]],FINI_grouping_for_wheel[Material],0)))</f>
        <v>1</v>
      </c>
    </row>
    <row r="308" spans="1:4">
      <c r="A308" t="s">
        <v>1383</v>
      </c>
      <c r="B308">
        <v>3</v>
      </c>
      <c r="C308">
        <v>19</v>
      </c>
      <c r="D308" t="b">
        <f ca="1">EXACT(Table15[[#This Row],[RoC selected PV]],INDEX(FINI_grouping_for_wheel[RoC selected PV],MATCH(Table15[[#This Row],[Material]],FINI_grouping_for_wheel[Material],0)))</f>
        <v>1</v>
      </c>
    </row>
    <row r="309" spans="1:4">
      <c r="A309" t="s">
        <v>1389</v>
      </c>
      <c r="B309">
        <v>3</v>
      </c>
      <c r="C309">
        <v>43</v>
      </c>
      <c r="D309" t="b">
        <f ca="1">EXACT(Table15[[#This Row],[RoC selected PV]],INDEX(FINI_grouping_for_wheel[RoC selected PV],MATCH(Table15[[#This Row],[Material]],FINI_grouping_for_wheel[Material],0)))</f>
        <v>1</v>
      </c>
    </row>
    <row r="310" spans="1:4">
      <c r="A310" t="s">
        <v>1393</v>
      </c>
      <c r="B310">
        <v>2</v>
      </c>
      <c r="C310">
        <v>33</v>
      </c>
      <c r="D310" t="b">
        <f ca="1">EXACT(Table15[[#This Row],[RoC selected PV]],INDEX(FINI_grouping_for_wheel[RoC selected PV],MATCH(Table15[[#This Row],[Material]],FINI_grouping_for_wheel[Material],0)))</f>
        <v>1</v>
      </c>
    </row>
    <row r="311" spans="1:4">
      <c r="A311" t="s">
        <v>1396</v>
      </c>
      <c r="B311">
        <v>4</v>
      </c>
      <c r="C311">
        <v>18</v>
      </c>
      <c r="D311" t="b">
        <f ca="1">EXACT(Table15[[#This Row],[RoC selected PV]],INDEX(FINI_grouping_for_wheel[RoC selected PV],MATCH(Table15[[#This Row],[Material]],FINI_grouping_for_wheel[Material],0)))</f>
        <v>1</v>
      </c>
    </row>
    <row r="312" spans="1:4">
      <c r="A312" t="s">
        <v>1401</v>
      </c>
      <c r="B312">
        <v>3</v>
      </c>
      <c r="C312">
        <v>43</v>
      </c>
      <c r="D312" t="b">
        <f ca="1">EXACT(Table15[[#This Row],[RoC selected PV]],INDEX(FINI_grouping_for_wheel[RoC selected PV],MATCH(Table15[[#This Row],[Material]],FINI_grouping_for_wheel[Material],0)))</f>
        <v>1</v>
      </c>
    </row>
    <row r="313" spans="1:4">
      <c r="A313" t="s">
        <v>1404</v>
      </c>
      <c r="B313">
        <v>3</v>
      </c>
      <c r="C313">
        <v>43</v>
      </c>
      <c r="D313" t="b">
        <f ca="1">EXACT(Table15[[#This Row],[RoC selected PV]],INDEX(FINI_grouping_for_wheel[RoC selected PV],MATCH(Table15[[#This Row],[Material]],FINI_grouping_for_wheel[Material],0)))</f>
        <v>1</v>
      </c>
    </row>
    <row r="314" spans="1:4">
      <c r="A314" t="s">
        <v>1407</v>
      </c>
      <c r="B314">
        <v>4</v>
      </c>
      <c r="C314">
        <v>18</v>
      </c>
      <c r="D314" t="b">
        <f ca="1">EXACT(Table15[[#This Row],[RoC selected PV]],INDEX(FINI_grouping_for_wheel[RoC selected PV],MATCH(Table15[[#This Row],[Material]],FINI_grouping_for_wheel[Material],0)))</f>
        <v>1</v>
      </c>
    </row>
    <row r="315" spans="1:4">
      <c r="A315" t="s">
        <v>1412</v>
      </c>
      <c r="B315">
        <v>5</v>
      </c>
      <c r="C315">
        <v>18</v>
      </c>
      <c r="D315" t="b">
        <f ca="1">EXACT(Table15[[#This Row],[RoC selected PV]],INDEX(FINI_grouping_for_wheel[RoC selected PV],MATCH(Table15[[#This Row],[Material]],FINI_grouping_for_wheel[Material],0)))</f>
        <v>1</v>
      </c>
    </row>
    <row r="316" spans="1:4">
      <c r="A316" t="s">
        <v>1417</v>
      </c>
      <c r="B316">
        <v>7</v>
      </c>
      <c r="C316">
        <v>126</v>
      </c>
      <c r="D316" t="b">
        <f ca="1">EXACT(Table15[[#This Row],[RoC selected PV]],INDEX(FINI_grouping_for_wheel[RoC selected PV],MATCH(Table15[[#This Row],[Material]],FINI_grouping_for_wheel[Material],0)))</f>
        <v>1</v>
      </c>
    </row>
    <row r="317" spans="1:4">
      <c r="A317" t="s">
        <v>1422</v>
      </c>
      <c r="B317">
        <v>7</v>
      </c>
      <c r="C317">
        <v>126</v>
      </c>
      <c r="D317" t="b">
        <f ca="1">EXACT(Table15[[#This Row],[RoC selected PV]],INDEX(FINI_grouping_for_wheel[RoC selected PV],MATCH(Table15[[#This Row],[Material]],FINI_grouping_for_wheel[Material],0)))</f>
        <v>1</v>
      </c>
    </row>
    <row r="318" spans="1:4">
      <c r="A318" t="s">
        <v>1427</v>
      </c>
      <c r="B318">
        <v>6</v>
      </c>
      <c r="C318">
        <v>18</v>
      </c>
      <c r="D318" t="b">
        <f ca="1">EXACT(Table15[[#This Row],[RoC selected PV]],INDEX(FINI_grouping_for_wheel[RoC selected PV],MATCH(Table15[[#This Row],[Material]],FINI_grouping_for_wheel[Material],0)))</f>
        <v>1</v>
      </c>
    </row>
    <row r="319" spans="1:4">
      <c r="A319" t="s">
        <v>1432</v>
      </c>
      <c r="B319">
        <v>2</v>
      </c>
      <c r="C319">
        <v>33</v>
      </c>
      <c r="D319" t="b">
        <f ca="1">EXACT(Table15[[#This Row],[RoC selected PV]],INDEX(FINI_grouping_for_wheel[RoC selected PV],MATCH(Table15[[#This Row],[Material]],FINI_grouping_for_wheel[Material],0)))</f>
        <v>1</v>
      </c>
    </row>
    <row r="320" spans="1:4">
      <c r="A320" t="s">
        <v>1435</v>
      </c>
      <c r="B320">
        <v>3</v>
      </c>
      <c r="C320">
        <v>43</v>
      </c>
      <c r="D320" t="b">
        <f ca="1">EXACT(Table15[[#This Row],[RoC selected PV]],INDEX(FINI_grouping_for_wheel[RoC selected PV],MATCH(Table15[[#This Row],[Material]],FINI_grouping_for_wheel[Material],0)))</f>
        <v>1</v>
      </c>
    </row>
    <row r="321" spans="1:4">
      <c r="A321" t="s">
        <v>1438</v>
      </c>
      <c r="B321">
        <v>1</v>
      </c>
      <c r="C321">
        <v>4</v>
      </c>
      <c r="D321" t="b">
        <f ca="1">EXACT(Table15[[#This Row],[RoC selected PV]],INDEX(FINI_grouping_for_wheel[RoC selected PV],MATCH(Table15[[#This Row],[Material]],FINI_grouping_for_wheel[Material],0)))</f>
        <v>1</v>
      </c>
    </row>
    <row r="322" spans="1:4">
      <c r="A322" t="s">
        <v>1444</v>
      </c>
      <c r="B322">
        <v>9</v>
      </c>
      <c r="C322">
        <v>145</v>
      </c>
      <c r="D322" t="b">
        <f ca="1">EXACT(Table15[[#This Row],[RoC selected PV]],INDEX(FINI_grouping_for_wheel[RoC selected PV],MATCH(Table15[[#This Row],[Material]],FINI_grouping_for_wheel[Material],0)))</f>
        <v>1</v>
      </c>
    </row>
    <row r="323" spans="1:4">
      <c r="A323" t="s">
        <v>1448</v>
      </c>
      <c r="B323">
        <v>9</v>
      </c>
      <c r="C323">
        <v>145</v>
      </c>
      <c r="D323" t="b">
        <f ca="1">EXACT(Table15[[#This Row],[RoC selected PV]],INDEX(FINI_grouping_for_wheel[RoC selected PV],MATCH(Table15[[#This Row],[Material]],FINI_grouping_for_wheel[Material],0)))</f>
        <v>1</v>
      </c>
    </row>
    <row r="324" spans="1:4">
      <c r="A324" t="s">
        <v>1451</v>
      </c>
      <c r="B324">
        <v>11</v>
      </c>
      <c r="C324">
        <v>164</v>
      </c>
      <c r="D324" t="b">
        <f ca="1">EXACT(Table15[[#This Row],[RoC selected PV]],INDEX(FINI_grouping_for_wheel[RoC selected PV],MATCH(Table15[[#This Row],[Material]],FINI_grouping_for_wheel[Material],0)))</f>
        <v>1</v>
      </c>
    </row>
    <row r="325" spans="1:4">
      <c r="A325" t="s">
        <v>1454</v>
      </c>
      <c r="B325">
        <v>7</v>
      </c>
      <c r="C325">
        <v>161</v>
      </c>
      <c r="D325" t="b">
        <f ca="1">EXACT(Table15[[#This Row],[RoC selected PV]],INDEX(FINI_grouping_for_wheel[RoC selected PV],MATCH(Table15[[#This Row],[Material]],FINI_grouping_for_wheel[Material],0)))</f>
        <v>1</v>
      </c>
    </row>
    <row r="326" spans="1:4">
      <c r="A326" t="s">
        <v>1457</v>
      </c>
      <c r="B326">
        <v>10</v>
      </c>
      <c r="C326">
        <v>81</v>
      </c>
      <c r="D326" t="b">
        <f ca="1">EXACT(Table15[[#This Row],[RoC selected PV]],INDEX(FINI_grouping_for_wheel[RoC selected PV],MATCH(Table15[[#This Row],[Material]],FINI_grouping_for_wheel[Material],0)))</f>
        <v>1</v>
      </c>
    </row>
    <row r="327" spans="1:4">
      <c r="A327" t="s">
        <v>1462</v>
      </c>
      <c r="B327">
        <v>11</v>
      </c>
      <c r="C327">
        <v>164</v>
      </c>
      <c r="D327" t="b">
        <f ca="1">EXACT(Table15[[#This Row],[RoC selected PV]],INDEX(FINI_grouping_for_wheel[RoC selected PV],MATCH(Table15[[#This Row],[Material]],FINI_grouping_for_wheel[Material],0)))</f>
        <v>1</v>
      </c>
    </row>
    <row r="328" spans="1:4">
      <c r="A328" t="s">
        <v>1467</v>
      </c>
      <c r="B328">
        <v>3</v>
      </c>
      <c r="C328">
        <v>38</v>
      </c>
      <c r="D328" t="b">
        <f ca="1">EXACT(Table15[[#This Row],[RoC selected PV]],INDEX(FINI_grouping_for_wheel[RoC selected PV],MATCH(Table15[[#This Row],[Material]],FINI_grouping_for_wheel[Material],0)))</f>
        <v>1</v>
      </c>
    </row>
    <row r="329" spans="1:4">
      <c r="A329" t="s">
        <v>1470</v>
      </c>
      <c r="B329">
        <v>4</v>
      </c>
      <c r="C329">
        <v>24</v>
      </c>
      <c r="D329" t="b">
        <f ca="1">EXACT(Table15[[#This Row],[RoC selected PV]],INDEX(FINI_grouping_for_wheel[RoC selected PV],MATCH(Table15[[#This Row],[Material]],FINI_grouping_for_wheel[Material],0)))</f>
        <v>1</v>
      </c>
    </row>
    <row r="330" spans="1:4">
      <c r="A330" t="s">
        <v>1473</v>
      </c>
      <c r="B330">
        <v>4</v>
      </c>
      <c r="C330">
        <v>24</v>
      </c>
      <c r="D330" t="b">
        <f ca="1">EXACT(Table15[[#This Row],[RoC selected PV]],INDEX(FINI_grouping_for_wheel[RoC selected PV],MATCH(Table15[[#This Row],[Material]],FINI_grouping_for_wheel[Material],0)))</f>
        <v>1</v>
      </c>
    </row>
    <row r="331" spans="1:4">
      <c r="A331" t="s">
        <v>1476</v>
      </c>
      <c r="B331">
        <v>3</v>
      </c>
      <c r="C331">
        <v>38</v>
      </c>
      <c r="D331" t="b">
        <f ca="1">EXACT(Table15[[#This Row],[RoC selected PV]],INDEX(FINI_grouping_for_wheel[RoC selected PV],MATCH(Table15[[#This Row],[Material]],FINI_grouping_for_wheel[Material],0)))</f>
        <v>1</v>
      </c>
    </row>
    <row r="332" spans="1:4">
      <c r="A332" t="s">
        <v>1481</v>
      </c>
      <c r="B332">
        <v>7</v>
      </c>
      <c r="C332">
        <v>161</v>
      </c>
      <c r="D332" t="b">
        <f ca="1">EXACT(Table15[[#This Row],[RoC selected PV]],INDEX(FINI_grouping_for_wheel[RoC selected PV],MATCH(Table15[[#This Row],[Material]],FINI_grouping_for_wheel[Material],0)))</f>
        <v>1</v>
      </c>
    </row>
    <row r="333" spans="1:4">
      <c r="A333" t="s">
        <v>1484</v>
      </c>
      <c r="B333">
        <v>7</v>
      </c>
      <c r="C333">
        <v>161</v>
      </c>
      <c r="D333" t="b">
        <f ca="1">EXACT(Table15[[#This Row],[RoC selected PV]],INDEX(FINI_grouping_for_wheel[RoC selected PV],MATCH(Table15[[#This Row],[Material]],FINI_grouping_for_wheel[Material],0)))</f>
        <v>1</v>
      </c>
    </row>
    <row r="334" spans="1:4">
      <c r="A334" t="s">
        <v>1487</v>
      </c>
      <c r="B334">
        <v>6</v>
      </c>
      <c r="C334">
        <v>37</v>
      </c>
      <c r="D334" t="b">
        <f ca="1">EXACT(Table15[[#This Row],[RoC selected PV]],INDEX(FINI_grouping_for_wheel[RoC selected PV],MATCH(Table15[[#This Row],[Material]],FINI_grouping_for_wheel[Material],0)))</f>
        <v>1</v>
      </c>
    </row>
    <row r="335" spans="1:4">
      <c r="A335" t="s">
        <v>1493</v>
      </c>
      <c r="B335">
        <v>11</v>
      </c>
      <c r="C335">
        <v>164</v>
      </c>
      <c r="D335" t="b">
        <f ca="1">EXACT(Table15[[#This Row],[RoC selected PV]],INDEX(FINI_grouping_for_wheel[RoC selected PV],MATCH(Table15[[#This Row],[Material]],FINI_grouping_for_wheel[Material],0)))</f>
        <v>1</v>
      </c>
    </row>
    <row r="336" spans="1:4">
      <c r="A336" t="s">
        <v>1496</v>
      </c>
      <c r="B336">
        <v>9</v>
      </c>
      <c r="C336">
        <v>145</v>
      </c>
      <c r="D336" t="b">
        <f ca="1">EXACT(Table15[[#This Row],[RoC selected PV]],INDEX(FINI_grouping_for_wheel[RoC selected PV],MATCH(Table15[[#This Row],[Material]],FINI_grouping_for_wheel[Material],0)))</f>
        <v>1</v>
      </c>
    </row>
    <row r="337" spans="1:4">
      <c r="A337" t="s">
        <v>1499</v>
      </c>
      <c r="B337">
        <v>10</v>
      </c>
      <c r="C337">
        <v>81</v>
      </c>
      <c r="D337" t="b">
        <f ca="1">EXACT(Table15[[#This Row],[RoC selected PV]],INDEX(FINI_grouping_for_wheel[RoC selected PV],MATCH(Table15[[#This Row],[Material]],FINI_grouping_for_wheel[Material],0)))</f>
        <v>1</v>
      </c>
    </row>
    <row r="338" spans="1:4">
      <c r="A338" t="s">
        <v>1504</v>
      </c>
      <c r="B338">
        <v>8</v>
      </c>
      <c r="C338">
        <v>29</v>
      </c>
      <c r="D338" t="b">
        <f ca="1">EXACT(Table15[[#This Row],[RoC selected PV]],INDEX(FINI_grouping_for_wheel[RoC selected PV],MATCH(Table15[[#This Row],[Material]],FINI_grouping_for_wheel[Material],0)))</f>
        <v>1</v>
      </c>
    </row>
    <row r="339" spans="1:4">
      <c r="A339" t="s">
        <v>1509</v>
      </c>
      <c r="B339">
        <v>8</v>
      </c>
      <c r="C339">
        <v>29</v>
      </c>
      <c r="D339" t="b">
        <f ca="1">EXACT(Table15[[#This Row],[RoC selected PV]],INDEX(FINI_grouping_for_wheel[RoC selected PV],MATCH(Table15[[#This Row],[Material]],FINI_grouping_for_wheel[Material],0)))</f>
        <v>1</v>
      </c>
    </row>
    <row r="340" spans="1:4">
      <c r="A340" t="s">
        <v>1512</v>
      </c>
      <c r="B340">
        <v>1</v>
      </c>
      <c r="C340">
        <v>6</v>
      </c>
      <c r="D340" t="b">
        <f ca="1">EXACT(Table15[[#This Row],[RoC selected PV]],INDEX(FINI_grouping_for_wheel[RoC selected PV],MATCH(Table15[[#This Row],[Material]],FINI_grouping_for_wheel[Material],0)))</f>
        <v>1</v>
      </c>
    </row>
    <row r="341" spans="1:4">
      <c r="A341" t="s">
        <v>1517</v>
      </c>
      <c r="B341">
        <v>5</v>
      </c>
      <c r="C341">
        <v>23</v>
      </c>
      <c r="D341" t="b">
        <f ca="1">EXACT(Table15[[#This Row],[RoC selected PV]],INDEX(FINI_grouping_for_wheel[RoC selected PV],MATCH(Table15[[#This Row],[Material]],FINI_grouping_for_wheel[Material],0)))</f>
        <v>1</v>
      </c>
    </row>
    <row r="342" spans="1:4">
      <c r="A342" t="s">
        <v>1520</v>
      </c>
      <c r="B342">
        <v>3</v>
      </c>
      <c r="C342">
        <v>38</v>
      </c>
      <c r="D342" t="b">
        <f ca="1">EXACT(Table15[[#This Row],[RoC selected PV]],INDEX(FINI_grouping_for_wheel[RoC selected PV],MATCH(Table15[[#This Row],[Material]],FINI_grouping_for_wheel[Material],0)))</f>
        <v>1</v>
      </c>
    </row>
    <row r="343" spans="1:4">
      <c r="A343" t="s">
        <v>1523</v>
      </c>
      <c r="B343">
        <v>2</v>
      </c>
      <c r="C343">
        <v>20</v>
      </c>
      <c r="D343" t="b">
        <f ca="1">EXACT(Table15[[#This Row],[RoC selected PV]],INDEX(FINI_grouping_for_wheel[RoC selected PV],MATCH(Table15[[#This Row],[Material]],FINI_grouping_for_wheel[Material],0)))</f>
        <v>1</v>
      </c>
    </row>
    <row r="344" spans="1:4">
      <c r="A344" t="s">
        <v>1527</v>
      </c>
      <c r="B344">
        <v>17</v>
      </c>
      <c r="C344">
        <v>148</v>
      </c>
      <c r="D344" t="b">
        <f ca="1">EXACT(Table15[[#This Row],[RoC selected PV]],INDEX(FINI_grouping_for_wheel[RoC selected PV],MATCH(Table15[[#This Row],[Material]],FINI_grouping_for_wheel[Material],0)))</f>
        <v>1</v>
      </c>
    </row>
    <row r="345" spans="1:4">
      <c r="A345" t="s">
        <v>1533</v>
      </c>
      <c r="B345">
        <v>11</v>
      </c>
      <c r="C345">
        <v>39</v>
      </c>
      <c r="D345" t="b">
        <f ca="1">EXACT(Table15[[#This Row],[RoC selected PV]],INDEX(FINI_grouping_for_wheel[RoC selected PV],MATCH(Table15[[#This Row],[Material]],FINI_grouping_for_wheel[Material],0)))</f>
        <v>1</v>
      </c>
    </row>
    <row r="346" spans="1:4">
      <c r="A346" t="s">
        <v>1536</v>
      </c>
      <c r="B346">
        <v>17</v>
      </c>
      <c r="C346">
        <v>148</v>
      </c>
      <c r="D346" t="b">
        <f ca="1">EXACT(Table15[[#This Row],[RoC selected PV]],INDEX(FINI_grouping_for_wheel[RoC selected PV],MATCH(Table15[[#This Row],[Material]],FINI_grouping_for_wheel[Material],0)))</f>
        <v>1</v>
      </c>
    </row>
    <row r="347" spans="1:4">
      <c r="A347" t="s">
        <v>1539</v>
      </c>
      <c r="B347">
        <v>10</v>
      </c>
      <c r="C347">
        <v>26</v>
      </c>
      <c r="D347" t="b">
        <f ca="1">EXACT(Table15[[#This Row],[RoC selected PV]],INDEX(FINI_grouping_for_wheel[RoC selected PV],MATCH(Table15[[#This Row],[Material]],FINI_grouping_for_wheel[Material],0)))</f>
        <v>1</v>
      </c>
    </row>
    <row r="348" spans="1:4">
      <c r="A348" t="s">
        <v>1544</v>
      </c>
      <c r="B348">
        <v>6</v>
      </c>
      <c r="C348">
        <v>115</v>
      </c>
      <c r="D348" t="b">
        <f ca="1">EXACT(Table15[[#This Row],[RoC selected PV]],INDEX(FINI_grouping_for_wheel[RoC selected PV],MATCH(Table15[[#This Row],[Material]],FINI_grouping_for_wheel[Material],0)))</f>
        <v>1</v>
      </c>
    </row>
    <row r="349" spans="1:4">
      <c r="A349" t="s">
        <v>1547</v>
      </c>
      <c r="B349">
        <v>1</v>
      </c>
      <c r="C349">
        <v>72</v>
      </c>
      <c r="D349" t="b">
        <f ca="1">EXACT(Table15[[#This Row],[RoC selected PV]],INDEX(FINI_grouping_for_wheel[RoC selected PV],MATCH(Table15[[#This Row],[Material]],FINI_grouping_for_wheel[Material],0)))</f>
        <v>1</v>
      </c>
    </row>
    <row r="350" spans="1:4">
      <c r="A350" t="s">
        <v>1550</v>
      </c>
      <c r="B350">
        <v>1</v>
      </c>
      <c r="C350">
        <v>72</v>
      </c>
      <c r="D350" t="b">
        <f ca="1">EXACT(Table15[[#This Row],[RoC selected PV]],INDEX(FINI_grouping_for_wheel[RoC selected PV],MATCH(Table15[[#This Row],[Material]],FINI_grouping_for_wheel[Material],0)))</f>
        <v>1</v>
      </c>
    </row>
    <row r="351" spans="1:4">
      <c r="A351" t="s">
        <v>1553</v>
      </c>
      <c r="B351">
        <v>2</v>
      </c>
      <c r="C351">
        <v>245</v>
      </c>
      <c r="D351" t="b">
        <f ca="1">EXACT(Table15[[#This Row],[RoC selected PV]],INDEX(FINI_grouping_for_wheel[RoC selected PV],MATCH(Table15[[#This Row],[Material]],FINI_grouping_for_wheel[Material],0)))</f>
        <v>1</v>
      </c>
    </row>
    <row r="352" spans="1:4">
      <c r="A352" t="s">
        <v>1556</v>
      </c>
      <c r="B352">
        <v>2</v>
      </c>
      <c r="C352">
        <v>245</v>
      </c>
      <c r="D352" t="b">
        <f ca="1">EXACT(Table15[[#This Row],[RoC selected PV]],INDEX(FINI_grouping_for_wheel[RoC selected PV],MATCH(Table15[[#This Row],[Material]],FINI_grouping_for_wheel[Material],0)))</f>
        <v>1</v>
      </c>
    </row>
    <row r="353" spans="1:4">
      <c r="A353" t="s">
        <v>1561</v>
      </c>
      <c r="B353">
        <v>3</v>
      </c>
      <c r="C353">
        <v>196</v>
      </c>
      <c r="D353" t="b">
        <f ca="1">EXACT(Table15[[#This Row],[RoC selected PV]],INDEX(FINI_grouping_for_wheel[RoC selected PV],MATCH(Table15[[#This Row],[Material]],FINI_grouping_for_wheel[Material],0)))</f>
        <v>1</v>
      </c>
    </row>
    <row r="354" spans="1:4">
      <c r="A354" t="s">
        <v>1564</v>
      </c>
      <c r="B354">
        <v>9</v>
      </c>
      <c r="C354">
        <v>9</v>
      </c>
      <c r="D354" t="b">
        <f ca="1">EXACT(Table15[[#This Row],[RoC selected PV]],INDEX(FINI_grouping_for_wheel[RoC selected PV],MATCH(Table15[[#This Row],[Material]],FINI_grouping_for_wheel[Material],0)))</f>
        <v>1</v>
      </c>
    </row>
    <row r="355" spans="1:4">
      <c r="A355" t="s">
        <v>1569</v>
      </c>
      <c r="B355">
        <v>5</v>
      </c>
      <c r="C355">
        <v>146</v>
      </c>
      <c r="D355" t="b">
        <f ca="1">EXACT(Table15[[#This Row],[RoC selected PV]],INDEX(FINI_grouping_for_wheel[RoC selected PV],MATCH(Table15[[#This Row],[Material]],FINI_grouping_for_wheel[Material],0)))</f>
        <v>1</v>
      </c>
    </row>
    <row r="356" spans="1:4">
      <c r="A356" t="s">
        <v>1572</v>
      </c>
      <c r="B356">
        <v>11</v>
      </c>
      <c r="C356">
        <v>39</v>
      </c>
      <c r="D356" t="b">
        <f ca="1">EXACT(Table15[[#This Row],[RoC selected PV]],INDEX(FINI_grouping_for_wheel[RoC selected PV],MATCH(Table15[[#This Row],[Material]],FINI_grouping_for_wheel[Material],0)))</f>
        <v>1</v>
      </c>
    </row>
    <row r="357" spans="1:4">
      <c r="A357" t="s">
        <v>1575</v>
      </c>
      <c r="B357">
        <v>5</v>
      </c>
      <c r="C357">
        <v>146</v>
      </c>
      <c r="D357" t="b">
        <f ca="1">EXACT(Table15[[#This Row],[RoC selected PV]],INDEX(FINI_grouping_for_wheel[RoC selected PV],MATCH(Table15[[#This Row],[Material]],FINI_grouping_for_wheel[Material],0)))</f>
        <v>1</v>
      </c>
    </row>
    <row r="358" spans="1:4">
      <c r="A358" t="s">
        <v>1578</v>
      </c>
      <c r="B358">
        <v>4</v>
      </c>
      <c r="C358">
        <v>85</v>
      </c>
      <c r="D358" t="b">
        <f ca="1">EXACT(Table15[[#This Row],[RoC selected PV]],INDEX(FINI_grouping_for_wheel[RoC selected PV],MATCH(Table15[[#This Row],[Material]],FINI_grouping_for_wheel[Material],0)))</f>
        <v>1</v>
      </c>
    </row>
    <row r="359" spans="1:4">
      <c r="A359" t="s">
        <v>1581</v>
      </c>
      <c r="B359">
        <v>3</v>
      </c>
      <c r="C359">
        <v>196</v>
      </c>
      <c r="D359" t="b">
        <f ca="1">EXACT(Table15[[#This Row],[RoC selected PV]],INDEX(FINI_grouping_for_wheel[RoC selected PV],MATCH(Table15[[#This Row],[Material]],FINI_grouping_for_wheel[Material],0)))</f>
        <v>1</v>
      </c>
    </row>
    <row r="360" spans="1:4">
      <c r="A360" t="s">
        <v>1584</v>
      </c>
      <c r="B360">
        <v>16</v>
      </c>
      <c r="C360">
        <v>90</v>
      </c>
      <c r="D360" t="b">
        <f ca="1">EXACT(Table15[[#This Row],[RoC selected PV]],INDEX(FINI_grouping_for_wheel[RoC selected PV],MATCH(Table15[[#This Row],[Material]],FINI_grouping_for_wheel[Material],0)))</f>
        <v>1</v>
      </c>
    </row>
    <row r="361" spans="1:4">
      <c r="A361" t="s">
        <v>1589</v>
      </c>
      <c r="B361">
        <v>1</v>
      </c>
      <c r="C361">
        <v>72</v>
      </c>
      <c r="D361" t="b">
        <f ca="1">EXACT(Table15[[#This Row],[RoC selected PV]],INDEX(FINI_grouping_for_wheel[RoC selected PV],MATCH(Table15[[#This Row],[Material]],FINI_grouping_for_wheel[Material],0)))</f>
        <v>1</v>
      </c>
    </row>
    <row r="362" spans="1:4">
      <c r="A362" t="s">
        <v>1592</v>
      </c>
      <c r="B362">
        <v>2</v>
      </c>
      <c r="C362">
        <v>245</v>
      </c>
      <c r="D362" t="b">
        <f ca="1">EXACT(Table15[[#This Row],[RoC selected PV]],INDEX(FINI_grouping_for_wheel[RoC selected PV],MATCH(Table15[[#This Row],[Material]],FINI_grouping_for_wheel[Material],0)))</f>
        <v>1</v>
      </c>
    </row>
    <row r="363" spans="1:4">
      <c r="A363" t="s">
        <v>1595</v>
      </c>
      <c r="B363">
        <v>11</v>
      </c>
      <c r="C363">
        <v>39</v>
      </c>
      <c r="D363" t="b">
        <f ca="1">EXACT(Table15[[#This Row],[RoC selected PV]],INDEX(FINI_grouping_for_wheel[RoC selected PV],MATCH(Table15[[#This Row],[Material]],FINI_grouping_for_wheel[Material],0)))</f>
        <v>1</v>
      </c>
    </row>
    <row r="364" spans="1:4">
      <c r="A364" t="s">
        <v>1598</v>
      </c>
      <c r="B364">
        <v>10</v>
      </c>
      <c r="C364">
        <v>26</v>
      </c>
      <c r="D364" t="b">
        <f ca="1">EXACT(Table15[[#This Row],[RoC selected PV]],INDEX(FINI_grouping_for_wheel[RoC selected PV],MATCH(Table15[[#This Row],[Material]],FINI_grouping_for_wheel[Material],0)))</f>
        <v>1</v>
      </c>
    </row>
    <row r="365" spans="1:4">
      <c r="A365" t="s">
        <v>1601</v>
      </c>
      <c r="B365">
        <v>12</v>
      </c>
      <c r="C365">
        <v>54</v>
      </c>
      <c r="D365" t="b">
        <f ca="1">EXACT(Table15[[#This Row],[RoC selected PV]],INDEX(FINI_grouping_for_wheel[RoC selected PV],MATCH(Table15[[#This Row],[Material]],FINI_grouping_for_wheel[Material],0)))</f>
        <v>1</v>
      </c>
    </row>
    <row r="366" spans="1:4">
      <c r="A366" t="s">
        <v>1606</v>
      </c>
      <c r="B366">
        <v>8</v>
      </c>
      <c r="C366">
        <v>114</v>
      </c>
      <c r="D366" t="b">
        <f ca="1">EXACT(Table15[[#This Row],[RoC selected PV]],INDEX(FINI_grouping_for_wheel[RoC selected PV],MATCH(Table15[[#This Row],[Material]],FINI_grouping_for_wheel[Material],0)))</f>
        <v>1</v>
      </c>
    </row>
    <row r="367" spans="1:4">
      <c r="A367" t="s">
        <v>1609</v>
      </c>
      <c r="B367">
        <v>8</v>
      </c>
      <c r="C367">
        <v>114</v>
      </c>
      <c r="D367" t="b">
        <f ca="1">EXACT(Table15[[#This Row],[RoC selected PV]],INDEX(FINI_grouping_for_wheel[RoC selected PV],MATCH(Table15[[#This Row],[Material]],FINI_grouping_for_wheel[Material],0)))</f>
        <v>1</v>
      </c>
    </row>
    <row r="368" spans="1:4">
      <c r="A368" t="s">
        <v>1615</v>
      </c>
      <c r="B368">
        <v>4</v>
      </c>
      <c r="C368">
        <v>85</v>
      </c>
      <c r="D368" t="b">
        <f ca="1">EXACT(Table15[[#This Row],[RoC selected PV]],INDEX(FINI_grouping_for_wheel[RoC selected PV],MATCH(Table15[[#This Row],[Material]],FINI_grouping_for_wheel[Material],0)))</f>
        <v>1</v>
      </c>
    </row>
    <row r="369" spans="1:4">
      <c r="A369" t="s">
        <v>1618</v>
      </c>
      <c r="B369">
        <v>8</v>
      </c>
      <c r="C369">
        <v>114</v>
      </c>
      <c r="D369" t="b">
        <f ca="1">EXACT(Table15[[#This Row],[RoC selected PV]],INDEX(FINI_grouping_for_wheel[RoC selected PV],MATCH(Table15[[#This Row],[Material]],FINI_grouping_for_wheel[Material],0)))</f>
        <v>1</v>
      </c>
    </row>
    <row r="370" spans="1:4">
      <c r="A370" t="s">
        <v>1621</v>
      </c>
      <c r="B370">
        <v>6</v>
      </c>
      <c r="C370">
        <v>115</v>
      </c>
      <c r="D370" t="b">
        <f ca="1">EXACT(Table15[[#This Row],[RoC selected PV]],INDEX(FINI_grouping_for_wheel[RoC selected PV],MATCH(Table15[[#This Row],[Material]],FINI_grouping_for_wheel[Material],0)))</f>
        <v>1</v>
      </c>
    </row>
    <row r="371" spans="1:4">
      <c r="A371" t="s">
        <v>1624</v>
      </c>
      <c r="B371">
        <v>2</v>
      </c>
      <c r="C371">
        <v>245</v>
      </c>
      <c r="D371" t="b">
        <f ca="1">EXACT(Table15[[#This Row],[RoC selected PV]],INDEX(FINI_grouping_for_wheel[RoC selected PV],MATCH(Table15[[#This Row],[Material]],FINI_grouping_for_wheel[Material],0)))</f>
        <v>1</v>
      </c>
    </row>
    <row r="372" spans="1:4">
      <c r="A372" t="s">
        <v>1627</v>
      </c>
      <c r="B372">
        <v>3</v>
      </c>
      <c r="C372">
        <v>196</v>
      </c>
      <c r="D372" t="b">
        <f ca="1">EXACT(Table15[[#This Row],[RoC selected PV]],INDEX(FINI_grouping_for_wheel[RoC selected PV],MATCH(Table15[[#This Row],[Material]],FINI_grouping_for_wheel[Material],0)))</f>
        <v>1</v>
      </c>
    </row>
    <row r="373" spans="1:4">
      <c r="A373" t="s">
        <v>1630</v>
      </c>
      <c r="B373">
        <v>6</v>
      </c>
      <c r="C373">
        <v>115</v>
      </c>
      <c r="D373" t="b">
        <f ca="1">EXACT(Table15[[#This Row],[RoC selected PV]],INDEX(FINI_grouping_for_wheel[RoC selected PV],MATCH(Table15[[#This Row],[Material]],FINI_grouping_for_wheel[Material],0)))</f>
        <v>1</v>
      </c>
    </row>
    <row r="374" spans="1:4">
      <c r="A374" t="s">
        <v>1633</v>
      </c>
      <c r="B374">
        <v>1</v>
      </c>
      <c r="C374">
        <v>72</v>
      </c>
      <c r="D374" t="b">
        <f ca="1">EXACT(Table15[[#This Row],[RoC selected PV]],INDEX(FINI_grouping_for_wheel[RoC selected PV],MATCH(Table15[[#This Row],[Material]],FINI_grouping_for_wheel[Material],0)))</f>
        <v>1</v>
      </c>
    </row>
    <row r="375" spans="1:4">
      <c r="A375" t="s">
        <v>1636</v>
      </c>
      <c r="B375">
        <v>8</v>
      </c>
      <c r="C375">
        <v>114</v>
      </c>
      <c r="D375" t="b">
        <f ca="1">EXACT(Table15[[#This Row],[RoC selected PV]],INDEX(FINI_grouping_for_wheel[RoC selected PV],MATCH(Table15[[#This Row],[Material]],FINI_grouping_for_wheel[Material],0)))</f>
        <v>1</v>
      </c>
    </row>
    <row r="376" spans="1:4">
      <c r="A376" t="s">
        <v>1639</v>
      </c>
      <c r="B376">
        <v>16</v>
      </c>
      <c r="C376">
        <v>90</v>
      </c>
      <c r="D376" t="b">
        <f ca="1">EXACT(Table15[[#This Row],[RoC selected PV]],INDEX(FINI_grouping_for_wheel[RoC selected PV],MATCH(Table15[[#This Row],[Material]],FINI_grouping_for_wheel[Material],0)))</f>
        <v>1</v>
      </c>
    </row>
    <row r="377" spans="1:4">
      <c r="A377" t="s">
        <v>1642</v>
      </c>
      <c r="B377">
        <v>2</v>
      </c>
      <c r="C377">
        <v>245</v>
      </c>
      <c r="D377" t="b">
        <f ca="1">EXACT(Table15[[#This Row],[RoC selected PV]],INDEX(FINI_grouping_for_wheel[RoC selected PV],MATCH(Table15[[#This Row],[Material]],FINI_grouping_for_wheel[Material],0)))</f>
        <v>1</v>
      </c>
    </row>
    <row r="378" spans="1:4">
      <c r="A378" t="s">
        <v>1645</v>
      </c>
      <c r="B378">
        <v>8</v>
      </c>
      <c r="C378">
        <v>114</v>
      </c>
      <c r="D378" t="b">
        <f ca="1">EXACT(Table15[[#This Row],[RoC selected PV]],INDEX(FINI_grouping_for_wheel[RoC selected PV],MATCH(Table15[[#This Row],[Material]],FINI_grouping_for_wheel[Material],0)))</f>
        <v>1</v>
      </c>
    </row>
    <row r="379" spans="1:4">
      <c r="A379" t="s">
        <v>1648</v>
      </c>
      <c r="B379">
        <v>6</v>
      </c>
      <c r="C379">
        <v>115</v>
      </c>
      <c r="D379" t="b">
        <f ca="1">EXACT(Table15[[#This Row],[RoC selected PV]],INDEX(FINI_grouping_for_wheel[RoC selected PV],MATCH(Table15[[#This Row],[Material]],FINI_grouping_for_wheel[Material],0)))</f>
        <v>1</v>
      </c>
    </row>
    <row r="380" spans="1:4">
      <c r="A380" t="s">
        <v>1651</v>
      </c>
      <c r="B380">
        <v>5</v>
      </c>
      <c r="C380">
        <v>146</v>
      </c>
      <c r="D380" t="b">
        <f ca="1">EXACT(Table15[[#This Row],[RoC selected PV]],INDEX(FINI_grouping_for_wheel[RoC selected PV],MATCH(Table15[[#This Row],[Material]],FINI_grouping_for_wheel[Material],0)))</f>
        <v>1</v>
      </c>
    </row>
    <row r="381" spans="1:4">
      <c r="A381" t="s">
        <v>1654</v>
      </c>
      <c r="B381">
        <v>14</v>
      </c>
      <c r="C381">
        <v>28</v>
      </c>
      <c r="D381" t="b">
        <f ca="1">EXACT(Table15[[#This Row],[RoC selected PV]],INDEX(FINI_grouping_for_wheel[RoC selected PV],MATCH(Table15[[#This Row],[Material]],FINI_grouping_for_wheel[Material],0)))</f>
        <v>1</v>
      </c>
    </row>
    <row r="382" spans="1:4">
      <c r="A382" t="s">
        <v>1657</v>
      </c>
      <c r="B382">
        <v>13</v>
      </c>
      <c r="C382">
        <v>36</v>
      </c>
      <c r="D382" t="b">
        <f ca="1">EXACT(Table15[[#This Row],[RoC selected PV]],INDEX(FINI_grouping_for_wheel[RoC selected PV],MATCH(Table15[[#This Row],[Material]],FINI_grouping_for_wheel[Material],0)))</f>
        <v>1</v>
      </c>
    </row>
    <row r="383" spans="1:4">
      <c r="A383" t="s">
        <v>1662</v>
      </c>
      <c r="B383">
        <v>14</v>
      </c>
      <c r="C383">
        <v>28</v>
      </c>
      <c r="D383" t="b">
        <f ca="1">EXACT(Table15[[#This Row],[RoC selected PV]],INDEX(FINI_grouping_for_wheel[RoC selected PV],MATCH(Table15[[#This Row],[Material]],FINI_grouping_for_wheel[Material],0)))</f>
        <v>1</v>
      </c>
    </row>
    <row r="384" spans="1:4">
      <c r="A384" t="s">
        <v>1667</v>
      </c>
      <c r="B384">
        <v>14</v>
      </c>
      <c r="C384">
        <v>28</v>
      </c>
      <c r="D384" t="b">
        <f ca="1">EXACT(Table15[[#This Row],[RoC selected PV]],INDEX(FINI_grouping_for_wheel[RoC selected PV],MATCH(Table15[[#This Row],[Material]],FINI_grouping_for_wheel[Material],0)))</f>
        <v>1</v>
      </c>
    </row>
    <row r="385" spans="1:4">
      <c r="A385" t="s">
        <v>1672</v>
      </c>
      <c r="B385">
        <v>12</v>
      </c>
      <c r="C385">
        <v>54</v>
      </c>
      <c r="D385" t="b">
        <f ca="1">EXACT(Table15[[#This Row],[RoC selected PV]],INDEX(FINI_grouping_for_wheel[RoC selected PV],MATCH(Table15[[#This Row],[Material]],FINI_grouping_for_wheel[Material],0)))</f>
        <v>1</v>
      </c>
    </row>
    <row r="386" spans="1:4">
      <c r="A386" t="s">
        <v>1675</v>
      </c>
      <c r="B386">
        <v>12</v>
      </c>
      <c r="C386">
        <v>54</v>
      </c>
      <c r="D386" t="b">
        <f ca="1">EXACT(Table15[[#This Row],[RoC selected PV]],INDEX(FINI_grouping_for_wheel[RoC selected PV],MATCH(Table15[[#This Row],[Material]],FINI_grouping_for_wheel[Material],0)))</f>
        <v>1</v>
      </c>
    </row>
    <row r="387" spans="1:4">
      <c r="A387" t="s">
        <v>1678</v>
      </c>
      <c r="B387">
        <v>16</v>
      </c>
      <c r="C387">
        <v>90</v>
      </c>
      <c r="D387" t="b">
        <f ca="1">EXACT(Table15[[#This Row],[RoC selected PV]],INDEX(FINI_grouping_for_wheel[RoC selected PV],MATCH(Table15[[#This Row],[Material]],FINI_grouping_for_wheel[Material],0)))</f>
        <v>1</v>
      </c>
    </row>
    <row r="388" spans="1:4">
      <c r="A388" t="s">
        <v>1681</v>
      </c>
      <c r="B388">
        <v>17</v>
      </c>
      <c r="C388">
        <v>148</v>
      </c>
      <c r="D388" t="b">
        <f ca="1">EXACT(Table15[[#This Row],[RoC selected PV]],INDEX(FINI_grouping_for_wheel[RoC selected PV],MATCH(Table15[[#This Row],[Material]],FINI_grouping_for_wheel[Material],0)))</f>
        <v>1</v>
      </c>
    </row>
    <row r="389" spans="1:4">
      <c r="A389" t="s">
        <v>1684</v>
      </c>
      <c r="B389">
        <v>12</v>
      </c>
      <c r="C389">
        <v>54</v>
      </c>
      <c r="D389" t="b">
        <f ca="1">EXACT(Table15[[#This Row],[RoC selected PV]],INDEX(FINI_grouping_for_wheel[RoC selected PV],MATCH(Table15[[#This Row],[Material]],FINI_grouping_for_wheel[Material],0)))</f>
        <v>1</v>
      </c>
    </row>
    <row r="390" spans="1:4">
      <c r="A390" t="s">
        <v>1687</v>
      </c>
      <c r="B390">
        <v>13</v>
      </c>
      <c r="C390">
        <v>36</v>
      </c>
      <c r="D390" t="b">
        <f ca="1">EXACT(Table15[[#This Row],[RoC selected PV]],INDEX(FINI_grouping_for_wheel[RoC selected PV],MATCH(Table15[[#This Row],[Material]],FINI_grouping_for_wheel[Material],0)))</f>
        <v>1</v>
      </c>
    </row>
    <row r="391" spans="1:4">
      <c r="A391" t="s">
        <v>1692</v>
      </c>
      <c r="B391">
        <v>15</v>
      </c>
      <c r="C391">
        <v>30</v>
      </c>
      <c r="D391" t="b">
        <f ca="1">EXACT(Table15[[#This Row],[RoC selected PV]],INDEX(FINI_grouping_for_wheel[RoC selected PV],MATCH(Table15[[#This Row],[Material]],FINI_grouping_for_wheel[Material],0)))</f>
        <v>1</v>
      </c>
    </row>
    <row r="392" spans="1:4">
      <c r="A392" t="s">
        <v>1698</v>
      </c>
      <c r="B392">
        <v>6</v>
      </c>
      <c r="C392">
        <v>47</v>
      </c>
      <c r="D392" t="b">
        <f ca="1">EXACT(Table15[[#This Row],[RoC selected PV]],INDEX(FINI_grouping_for_wheel[RoC selected PV],MATCH(Table15[[#This Row],[Material]],FINI_grouping_for_wheel[Material],0)))</f>
        <v>1</v>
      </c>
    </row>
    <row r="393" spans="1:4">
      <c r="A393" t="s">
        <v>1704</v>
      </c>
      <c r="B393">
        <v>3</v>
      </c>
      <c r="C393">
        <v>24</v>
      </c>
      <c r="D393" t="b">
        <f ca="1">EXACT(Table15[[#This Row],[RoC selected PV]],INDEX(FINI_grouping_for_wheel[RoC selected PV],MATCH(Table15[[#This Row],[Material]],FINI_grouping_for_wheel[Material],0)))</f>
        <v>1</v>
      </c>
    </row>
    <row r="394" spans="1:4">
      <c r="A394" t="s">
        <v>1707</v>
      </c>
      <c r="B394">
        <v>2</v>
      </c>
      <c r="C394">
        <v>24</v>
      </c>
      <c r="D394" t="b">
        <f ca="1">EXACT(Table15[[#This Row],[RoC selected PV]],INDEX(FINI_grouping_for_wheel[RoC selected PV],MATCH(Table15[[#This Row],[Material]],FINI_grouping_for_wheel[Material],0)))</f>
        <v>1</v>
      </c>
    </row>
    <row r="395" spans="1:4">
      <c r="A395" t="s">
        <v>1712</v>
      </c>
      <c r="B395">
        <v>3</v>
      </c>
      <c r="C395">
        <v>24</v>
      </c>
      <c r="D395" t="b">
        <f ca="1">EXACT(Table15[[#This Row],[RoC selected PV]],INDEX(FINI_grouping_for_wheel[RoC selected PV],MATCH(Table15[[#This Row],[Material]],FINI_grouping_for_wheel[Material],0)))</f>
        <v>1</v>
      </c>
    </row>
    <row r="396" spans="1:4">
      <c r="A396" t="s">
        <v>1715</v>
      </c>
      <c r="B396">
        <v>5</v>
      </c>
      <c r="C396">
        <v>22</v>
      </c>
      <c r="D396" t="b">
        <f ca="1">EXACT(Table15[[#This Row],[RoC selected PV]],INDEX(FINI_grouping_for_wheel[RoC selected PV],MATCH(Table15[[#This Row],[Material]],FINI_grouping_for_wheel[Material],0)))</f>
        <v>1</v>
      </c>
    </row>
    <row r="397" spans="1:4">
      <c r="A397" t="s">
        <v>1719</v>
      </c>
      <c r="B397">
        <v>4</v>
      </c>
      <c r="C397">
        <v>53</v>
      </c>
      <c r="D397" t="b">
        <f ca="1">EXACT(Table15[[#This Row],[RoC selected PV]],INDEX(FINI_grouping_for_wheel[RoC selected PV],MATCH(Table15[[#This Row],[Material]],FINI_grouping_for_wheel[Material],0)))</f>
        <v>1</v>
      </c>
    </row>
    <row r="398" spans="1:4">
      <c r="A398" t="s">
        <v>1722</v>
      </c>
      <c r="B398">
        <v>6</v>
      </c>
      <c r="C398">
        <v>47</v>
      </c>
      <c r="D398" t="b">
        <f ca="1">EXACT(Table15[[#This Row],[RoC selected PV]],INDEX(FINI_grouping_for_wheel[RoC selected PV],MATCH(Table15[[#This Row],[Material]],FINI_grouping_for_wheel[Material],0)))</f>
        <v>1</v>
      </c>
    </row>
    <row r="399" spans="1:4">
      <c r="A399" t="s">
        <v>1727</v>
      </c>
      <c r="B399">
        <v>7</v>
      </c>
      <c r="C399">
        <v>75</v>
      </c>
      <c r="D399" t="b">
        <f ca="1">EXACT(Table15[[#This Row],[RoC selected PV]],INDEX(FINI_grouping_for_wheel[RoC selected PV],MATCH(Table15[[#This Row],[Material]],FINI_grouping_for_wheel[Material],0)))</f>
        <v>1</v>
      </c>
    </row>
    <row r="400" spans="1:4">
      <c r="A400" t="s">
        <v>1730</v>
      </c>
      <c r="B400">
        <v>7</v>
      </c>
      <c r="C400">
        <v>75</v>
      </c>
      <c r="D400" t="b">
        <f ca="1">EXACT(Table15[[#This Row],[RoC selected PV]],INDEX(FINI_grouping_for_wheel[RoC selected PV],MATCH(Table15[[#This Row],[Material]],FINI_grouping_for_wheel[Material],0)))</f>
        <v>1</v>
      </c>
    </row>
    <row r="401" spans="1:4">
      <c r="A401" t="s">
        <v>1733</v>
      </c>
      <c r="B401">
        <v>7</v>
      </c>
      <c r="C401">
        <v>75</v>
      </c>
      <c r="D401" t="b">
        <f ca="1">EXACT(Table15[[#This Row],[RoC selected PV]],INDEX(FINI_grouping_for_wheel[RoC selected PV],MATCH(Table15[[#This Row],[Material]],FINI_grouping_for_wheel[Material],0)))</f>
        <v>1</v>
      </c>
    </row>
    <row r="402" spans="1:4">
      <c r="A402" t="s">
        <v>1736</v>
      </c>
      <c r="B402">
        <v>4</v>
      </c>
      <c r="C402">
        <v>53</v>
      </c>
      <c r="D402" t="b">
        <f ca="1">EXACT(Table15[[#This Row],[RoC selected PV]],INDEX(FINI_grouping_for_wheel[RoC selected PV],MATCH(Table15[[#This Row],[Material]],FINI_grouping_for_wheel[Material],0)))</f>
        <v>1</v>
      </c>
    </row>
    <row r="403" spans="1:4">
      <c r="A403" t="s">
        <v>1741</v>
      </c>
      <c r="B403">
        <v>1</v>
      </c>
      <c r="C403">
        <v>6</v>
      </c>
      <c r="D403" t="b">
        <f ca="1">EXACT(Table15[[#This Row],[RoC selected PV]],INDEX(FINI_grouping_for_wheel[RoC selected PV],MATCH(Table15[[#This Row],[Material]],FINI_grouping_for_wheel[Material],0)))</f>
        <v>1</v>
      </c>
    </row>
    <row r="404" spans="1:4">
      <c r="A404" t="s">
        <v>1747</v>
      </c>
      <c r="B404">
        <v>6</v>
      </c>
      <c r="C404">
        <v>292</v>
      </c>
      <c r="D404" t="b">
        <f ca="1">EXACT(Table15[[#This Row],[RoC selected PV]],INDEX(FINI_grouping_for_wheel[RoC selected PV],MATCH(Table15[[#This Row],[Material]],FINI_grouping_for_wheel[Material],0)))</f>
        <v>1</v>
      </c>
    </row>
    <row r="405" spans="1:4">
      <c r="A405" t="s">
        <v>1751</v>
      </c>
      <c r="B405">
        <v>6</v>
      </c>
      <c r="C405">
        <v>292</v>
      </c>
      <c r="D405" t="b">
        <f ca="1">EXACT(Table15[[#This Row],[RoC selected PV]],INDEX(FINI_grouping_for_wheel[RoC selected PV],MATCH(Table15[[#This Row],[Material]],FINI_grouping_for_wheel[Material],0)))</f>
        <v>1</v>
      </c>
    </row>
    <row r="406" spans="1:4">
      <c r="A406" t="s">
        <v>1754</v>
      </c>
      <c r="B406">
        <v>3</v>
      </c>
      <c r="C406">
        <v>690</v>
      </c>
      <c r="D406" t="b">
        <f ca="1">EXACT(Table15[[#This Row],[RoC selected PV]],INDEX(FINI_grouping_for_wheel[RoC selected PV],MATCH(Table15[[#This Row],[Material]],FINI_grouping_for_wheel[Material],0)))</f>
        <v>1</v>
      </c>
    </row>
    <row r="407" spans="1:4">
      <c r="A407" t="s">
        <v>1757</v>
      </c>
      <c r="B407">
        <v>5</v>
      </c>
      <c r="C407">
        <v>33</v>
      </c>
      <c r="D407" t="b">
        <f ca="1">EXACT(Table15[[#This Row],[RoC selected PV]],INDEX(FINI_grouping_for_wheel[RoC selected PV],MATCH(Table15[[#This Row],[Material]],FINI_grouping_for_wheel[Material],0)))</f>
        <v>1</v>
      </c>
    </row>
    <row r="408" spans="1:4">
      <c r="A408" t="s">
        <v>1762</v>
      </c>
      <c r="B408">
        <v>5</v>
      </c>
      <c r="C408">
        <v>33</v>
      </c>
      <c r="D408" t="b">
        <f ca="1">EXACT(Table15[[#This Row],[RoC selected PV]],INDEX(FINI_grouping_for_wheel[RoC selected PV],MATCH(Table15[[#This Row],[Material]],FINI_grouping_for_wheel[Material],0)))</f>
        <v>1</v>
      </c>
    </row>
    <row r="409" spans="1:4">
      <c r="A409" t="s">
        <v>1767</v>
      </c>
      <c r="B409">
        <v>2</v>
      </c>
      <c r="C409">
        <v>12</v>
      </c>
      <c r="D409" t="b">
        <f ca="1">EXACT(Table15[[#This Row],[RoC selected PV]],INDEX(FINI_grouping_for_wheel[RoC selected PV],MATCH(Table15[[#This Row],[Material]],FINI_grouping_for_wheel[Material],0)))</f>
        <v>1</v>
      </c>
    </row>
    <row r="410" spans="1:4">
      <c r="A410" t="s">
        <v>1770</v>
      </c>
      <c r="B410">
        <v>4</v>
      </c>
      <c r="C410">
        <v>27</v>
      </c>
      <c r="D410" t="b">
        <f ca="1">EXACT(Table15[[#This Row],[RoC selected PV]],INDEX(FINI_grouping_for_wheel[RoC selected PV],MATCH(Table15[[#This Row],[Material]],FINI_grouping_for_wheel[Material],0)))</f>
        <v>1</v>
      </c>
    </row>
    <row r="411" spans="1:4">
      <c r="A411" t="s">
        <v>1775</v>
      </c>
      <c r="B411">
        <v>6</v>
      </c>
      <c r="C411">
        <v>292</v>
      </c>
      <c r="D411" t="b">
        <f ca="1">EXACT(Table15[[#This Row],[RoC selected PV]],INDEX(FINI_grouping_for_wheel[RoC selected PV],MATCH(Table15[[#This Row],[Material]],FINI_grouping_for_wheel[Material],0)))</f>
        <v>1</v>
      </c>
    </row>
    <row r="412" spans="1:4">
      <c r="A412" t="s">
        <v>1778</v>
      </c>
      <c r="B412">
        <v>3</v>
      </c>
      <c r="C412">
        <v>690</v>
      </c>
      <c r="D412" t="b">
        <f ca="1">EXACT(Table15[[#This Row],[RoC selected PV]],INDEX(FINI_grouping_for_wheel[RoC selected PV],MATCH(Table15[[#This Row],[Material]],FINI_grouping_for_wheel[Material],0)))</f>
        <v>1</v>
      </c>
    </row>
    <row r="413" spans="1:4">
      <c r="A413" t="s">
        <v>1781</v>
      </c>
      <c r="B413">
        <v>1</v>
      </c>
      <c r="C413">
        <v>7</v>
      </c>
      <c r="D413" t="b">
        <f ca="1">EXACT(Table15[[#This Row],[RoC selected PV]],INDEX(FINI_grouping_for_wheel[RoC selected PV],MATCH(Table15[[#This Row],[Material]],FINI_grouping_for_wheel[Material],0)))</f>
        <v>1</v>
      </c>
    </row>
    <row r="414" spans="1:4">
      <c r="A414" t="s">
        <v>1787</v>
      </c>
      <c r="B414">
        <v>60</v>
      </c>
      <c r="C414">
        <v>726</v>
      </c>
      <c r="D414" t="b">
        <f ca="1">EXACT(Table15[[#This Row],[RoC selected PV]],INDEX(FINI_grouping_for_wheel[RoC selected PV],MATCH(Table15[[#This Row],[Material]],FINI_grouping_for_wheel[Material],0)))</f>
        <v>1</v>
      </c>
    </row>
    <row r="415" spans="1:4">
      <c r="A415" t="s">
        <v>1791</v>
      </c>
      <c r="B415">
        <v>50</v>
      </c>
      <c r="C415">
        <v>405</v>
      </c>
      <c r="D415" t="b">
        <f ca="1">EXACT(Table15[[#This Row],[RoC selected PV]],INDEX(FINI_grouping_for_wheel[RoC selected PV],MATCH(Table15[[#This Row],[Material]],FINI_grouping_for_wheel[Material],0)))</f>
        <v>1</v>
      </c>
    </row>
    <row r="416" spans="1:4">
      <c r="A416" t="s">
        <v>1794</v>
      </c>
      <c r="B416">
        <v>60</v>
      </c>
      <c r="C416">
        <v>726</v>
      </c>
      <c r="D416" t="b">
        <f ca="1">EXACT(Table15[[#This Row],[RoC selected PV]],INDEX(FINI_grouping_for_wheel[RoC selected PV],MATCH(Table15[[#This Row],[Material]],FINI_grouping_for_wheel[Material],0)))</f>
        <v>1</v>
      </c>
    </row>
    <row r="417" spans="1:4">
      <c r="A417" t="s">
        <v>1797</v>
      </c>
      <c r="B417">
        <v>4</v>
      </c>
      <c r="C417">
        <v>50</v>
      </c>
      <c r="D417" t="b">
        <f ca="1">EXACT(Table15[[#This Row],[RoC selected PV]],INDEX(FINI_grouping_for_wheel[RoC selected PV],MATCH(Table15[[#This Row],[Material]],FINI_grouping_for_wheel[Material],0)))</f>
        <v>1</v>
      </c>
    </row>
    <row r="418" spans="1:4">
      <c r="A418" t="s">
        <v>1800</v>
      </c>
      <c r="B418">
        <v>5</v>
      </c>
      <c r="C418">
        <v>45</v>
      </c>
      <c r="D418" t="b">
        <f ca="1">EXACT(Table15[[#This Row],[RoC selected PV]],INDEX(FINI_grouping_for_wheel[RoC selected PV],MATCH(Table15[[#This Row],[Material]],FINI_grouping_for_wheel[Material],0)))</f>
        <v>1</v>
      </c>
    </row>
    <row r="419" spans="1:4">
      <c r="A419" t="s">
        <v>1803</v>
      </c>
      <c r="B419">
        <v>5</v>
      </c>
      <c r="C419">
        <v>45</v>
      </c>
      <c r="D419" t="b">
        <f ca="1">EXACT(Table15[[#This Row],[RoC selected PV]],INDEX(FINI_grouping_for_wheel[RoC selected PV],MATCH(Table15[[#This Row],[Material]],FINI_grouping_for_wheel[Material],0)))</f>
        <v>1</v>
      </c>
    </row>
    <row r="420" spans="1:4">
      <c r="A420" t="s">
        <v>1808</v>
      </c>
      <c r="B420">
        <v>60</v>
      </c>
      <c r="C420">
        <v>726</v>
      </c>
      <c r="D420" t="b">
        <f ca="1">EXACT(Table15[[#This Row],[RoC selected PV]],INDEX(FINI_grouping_for_wheel[RoC selected PV],MATCH(Table15[[#This Row],[Material]],FINI_grouping_for_wheel[Material],0)))</f>
        <v>1</v>
      </c>
    </row>
    <row r="421" spans="1:4">
      <c r="A421" t="s">
        <v>1811</v>
      </c>
      <c r="B421">
        <v>60</v>
      </c>
      <c r="C421">
        <v>726</v>
      </c>
      <c r="D421" t="b">
        <f ca="1">EXACT(Table15[[#This Row],[RoC selected PV]],INDEX(FINI_grouping_for_wheel[RoC selected PV],MATCH(Table15[[#This Row],[Material]],FINI_grouping_for_wheel[Material],0)))</f>
        <v>1</v>
      </c>
    </row>
    <row r="422" spans="1:4">
      <c r="A422" t="s">
        <v>1814</v>
      </c>
      <c r="B422">
        <v>4</v>
      </c>
      <c r="C422">
        <v>50</v>
      </c>
      <c r="D422" t="b">
        <f ca="1">EXACT(Table15[[#This Row],[RoC selected PV]],INDEX(FINI_grouping_for_wheel[RoC selected PV],MATCH(Table15[[#This Row],[Material]],FINI_grouping_for_wheel[Material],0)))</f>
        <v>1</v>
      </c>
    </row>
    <row r="423" spans="1:4">
      <c r="A423" t="s">
        <v>1819</v>
      </c>
      <c r="B423">
        <v>5</v>
      </c>
      <c r="C423">
        <v>45</v>
      </c>
      <c r="D423" t="b">
        <f ca="1">EXACT(Table15[[#This Row],[RoC selected PV]],INDEX(FINI_grouping_for_wheel[RoC selected PV],MATCH(Table15[[#This Row],[Material]],FINI_grouping_for_wheel[Material],0)))</f>
        <v>1</v>
      </c>
    </row>
    <row r="424" spans="1:4">
      <c r="A424" t="s">
        <v>1824</v>
      </c>
      <c r="B424">
        <v>6</v>
      </c>
      <c r="C424">
        <v>77</v>
      </c>
      <c r="D424" t="b">
        <f ca="1">EXACT(Table15[[#This Row],[RoC selected PV]],INDEX(FINI_grouping_for_wheel[RoC selected PV],MATCH(Table15[[#This Row],[Material]],FINI_grouping_for_wheel[Material],0)))</f>
        <v>1</v>
      </c>
    </row>
    <row r="425" spans="1:4">
      <c r="A425" t="s">
        <v>1827</v>
      </c>
      <c r="B425">
        <v>6</v>
      </c>
      <c r="C425">
        <v>77</v>
      </c>
      <c r="D425" t="b">
        <f ca="1">EXACT(Table15[[#This Row],[RoC selected PV]],INDEX(FINI_grouping_for_wheel[RoC selected PV],MATCH(Table15[[#This Row],[Material]],FINI_grouping_for_wheel[Material],0)))</f>
        <v>1</v>
      </c>
    </row>
    <row r="426" spans="1:4">
      <c r="A426" t="s">
        <v>1830</v>
      </c>
      <c r="B426">
        <v>50</v>
      </c>
      <c r="C426">
        <v>405</v>
      </c>
      <c r="D426" t="b">
        <f ca="1">EXACT(Table15[[#This Row],[RoC selected PV]],INDEX(FINI_grouping_for_wheel[RoC selected PV],MATCH(Table15[[#This Row],[Material]],FINI_grouping_for_wheel[Material],0)))</f>
        <v>1</v>
      </c>
    </row>
    <row r="427" spans="1:4">
      <c r="A427" t="s">
        <v>1833</v>
      </c>
      <c r="B427">
        <v>50</v>
      </c>
      <c r="C427">
        <v>405</v>
      </c>
      <c r="D427" t="b">
        <f ca="1">EXACT(Table15[[#This Row],[RoC selected PV]],INDEX(FINI_grouping_for_wheel[RoC selected PV],MATCH(Table15[[#This Row],[Material]],FINI_grouping_for_wheel[Material],0)))</f>
        <v>1</v>
      </c>
    </row>
    <row r="428" spans="1:4">
      <c r="A428" t="s">
        <v>1836</v>
      </c>
      <c r="B428">
        <v>6</v>
      </c>
      <c r="C428">
        <v>77</v>
      </c>
      <c r="D428" t="b">
        <f ca="1">EXACT(Table15[[#This Row],[RoC selected PV]],INDEX(FINI_grouping_for_wheel[RoC selected PV],MATCH(Table15[[#This Row],[Material]],FINI_grouping_for_wheel[Material],0)))</f>
        <v>1</v>
      </c>
    </row>
    <row r="429" spans="1:4">
      <c r="A429" t="s">
        <v>1842</v>
      </c>
      <c r="B429">
        <v>7</v>
      </c>
      <c r="C429">
        <v>33</v>
      </c>
      <c r="D429" t="b">
        <f ca="1">EXACT(Table15[[#This Row],[RoC selected PV]],INDEX(FINI_grouping_for_wheel[RoC selected PV],MATCH(Table15[[#This Row],[Material]],FINI_grouping_for_wheel[Material],0)))</f>
        <v>1</v>
      </c>
    </row>
    <row r="430" spans="1:4">
      <c r="A430" t="s">
        <v>1847</v>
      </c>
      <c r="B430">
        <v>7</v>
      </c>
      <c r="C430">
        <v>33</v>
      </c>
      <c r="D430" t="b">
        <f ca="1">EXACT(Table15[[#This Row],[RoC selected PV]],INDEX(FINI_grouping_for_wheel[RoC selected PV],MATCH(Table15[[#This Row],[Material]],FINI_grouping_for_wheel[Material],0)))</f>
        <v>1</v>
      </c>
    </row>
    <row r="431" spans="1:4">
      <c r="A431" t="s">
        <v>1852</v>
      </c>
      <c r="B431">
        <v>7</v>
      </c>
      <c r="C431">
        <v>33</v>
      </c>
      <c r="D431" t="b">
        <f ca="1">EXACT(Table15[[#This Row],[RoC selected PV]],INDEX(FINI_grouping_for_wheel[RoC selected PV],MATCH(Table15[[#This Row],[Material]],FINI_grouping_for_wheel[Material],0)))</f>
        <v>1</v>
      </c>
    </row>
    <row r="432" spans="1:4">
      <c r="A432" t="s">
        <v>1855</v>
      </c>
      <c r="B432">
        <v>3</v>
      </c>
      <c r="C432">
        <v>46</v>
      </c>
      <c r="D432" t="b">
        <f ca="1">EXACT(Table15[[#This Row],[RoC selected PV]],INDEX(FINI_grouping_for_wheel[RoC selected PV],MATCH(Table15[[#This Row],[Material]],FINI_grouping_for_wheel[Material],0)))</f>
        <v>1</v>
      </c>
    </row>
    <row r="433" spans="1:4">
      <c r="A433" t="s">
        <v>1858</v>
      </c>
      <c r="B433">
        <v>3</v>
      </c>
      <c r="C433">
        <v>46</v>
      </c>
      <c r="D433" t="b">
        <f ca="1">EXACT(Table15[[#This Row],[RoC selected PV]],INDEX(FINI_grouping_for_wheel[RoC selected PV],MATCH(Table15[[#This Row],[Material]],FINI_grouping_for_wheel[Material],0)))</f>
        <v>1</v>
      </c>
    </row>
    <row r="434" spans="1:4">
      <c r="A434" t="s">
        <v>1861</v>
      </c>
      <c r="B434">
        <v>1</v>
      </c>
      <c r="C434">
        <v>8</v>
      </c>
      <c r="D434" t="b">
        <f ca="1">EXACT(Table15[[#This Row],[RoC selected PV]],INDEX(FINI_grouping_for_wheel[RoC selected PV],MATCH(Table15[[#This Row],[Material]],FINI_grouping_for_wheel[Material],0)))</f>
        <v>1</v>
      </c>
    </row>
    <row r="435" spans="1:4">
      <c r="A435" t="s">
        <v>1866</v>
      </c>
      <c r="B435">
        <v>2</v>
      </c>
      <c r="C435">
        <v>17</v>
      </c>
      <c r="D435" t="b">
        <f ca="1">EXACT(Table15[[#This Row],[RoC selected PV]],INDEX(FINI_grouping_for_wheel[RoC selected PV],MATCH(Table15[[#This Row],[Material]],FINI_grouping_for_wheel[Material],0)))</f>
        <v>1</v>
      </c>
    </row>
    <row r="436" spans="1:4">
      <c r="A436" t="s">
        <v>1872</v>
      </c>
      <c r="B436">
        <v>7</v>
      </c>
      <c r="C436">
        <v>99</v>
      </c>
      <c r="D436" t="b">
        <f ca="1">EXACT(Table15[[#This Row],[RoC selected PV]],INDEX(FINI_grouping_for_wheel[RoC selected PV],MATCH(Table15[[#This Row],[Material]],FINI_grouping_for_wheel[Material],0)))</f>
        <v>1</v>
      </c>
    </row>
    <row r="437" spans="1:4">
      <c r="A437" t="s">
        <v>1876</v>
      </c>
      <c r="B437">
        <v>6</v>
      </c>
      <c r="C437">
        <v>43</v>
      </c>
      <c r="D437" t="b">
        <f ca="1">EXACT(Table15[[#This Row],[RoC selected PV]],INDEX(FINI_grouping_for_wheel[RoC selected PV],MATCH(Table15[[#This Row],[Material]],FINI_grouping_for_wheel[Material],0)))</f>
        <v>1</v>
      </c>
    </row>
    <row r="438" spans="1:4">
      <c r="A438" t="s">
        <v>1879</v>
      </c>
      <c r="B438">
        <v>3</v>
      </c>
      <c r="C438">
        <v>51</v>
      </c>
      <c r="D438" t="b">
        <f ca="1">EXACT(Table15[[#This Row],[RoC selected PV]],INDEX(FINI_grouping_for_wheel[RoC selected PV],MATCH(Table15[[#This Row],[Material]],FINI_grouping_for_wheel[Material],0)))</f>
        <v>0</v>
      </c>
    </row>
    <row r="439" spans="1:4">
      <c r="A439" t="s">
        <v>1882</v>
      </c>
      <c r="B439">
        <v>8</v>
      </c>
      <c r="C439">
        <v>383</v>
      </c>
      <c r="D439" t="b">
        <f ca="1">EXACT(Table15[[#This Row],[RoC selected PV]],INDEX(FINI_grouping_for_wheel[RoC selected PV],MATCH(Table15[[#This Row],[Material]],FINI_grouping_for_wheel[Material],0)))</f>
        <v>1</v>
      </c>
    </row>
    <row r="440" spans="1:4">
      <c r="A440" t="s">
        <v>1885</v>
      </c>
      <c r="B440">
        <v>8</v>
      </c>
      <c r="C440">
        <v>383</v>
      </c>
      <c r="D440" t="b">
        <f ca="1">EXACT(Table15[[#This Row],[RoC selected PV]],INDEX(FINI_grouping_for_wheel[RoC selected PV],MATCH(Table15[[#This Row],[Material]],FINI_grouping_for_wheel[Material],0)))</f>
        <v>1</v>
      </c>
    </row>
    <row r="441" spans="1:4">
      <c r="A441" t="s">
        <v>1888</v>
      </c>
      <c r="B441">
        <v>8</v>
      </c>
      <c r="C441">
        <v>383</v>
      </c>
      <c r="D441" t="b">
        <f ca="1">EXACT(Table15[[#This Row],[RoC selected PV]],INDEX(FINI_grouping_for_wheel[RoC selected PV],MATCH(Table15[[#This Row],[Material]],FINI_grouping_for_wheel[Material],0)))</f>
        <v>1</v>
      </c>
    </row>
    <row r="442" spans="1:4">
      <c r="A442" t="s">
        <v>1891</v>
      </c>
      <c r="B442">
        <v>5</v>
      </c>
      <c r="C442">
        <v>113</v>
      </c>
      <c r="D442" t="b">
        <f ca="1">EXACT(Table15[[#This Row],[RoC selected PV]],INDEX(FINI_grouping_for_wheel[RoC selected PV],MATCH(Table15[[#This Row],[Material]],FINI_grouping_for_wheel[Material],0)))</f>
        <v>1</v>
      </c>
    </row>
    <row r="443" spans="1:4">
      <c r="A443" t="s">
        <v>1894</v>
      </c>
      <c r="B443">
        <v>4</v>
      </c>
      <c r="C443">
        <v>64</v>
      </c>
      <c r="D443" t="b">
        <f ca="1">EXACT(Table15[[#This Row],[RoC selected PV]],INDEX(FINI_grouping_for_wheel[RoC selected PV],MATCH(Table15[[#This Row],[Material]],FINI_grouping_for_wheel[Material],0)))</f>
        <v>0</v>
      </c>
    </row>
    <row r="444" spans="1:4">
      <c r="A444" t="s">
        <v>1897</v>
      </c>
      <c r="B444">
        <v>5</v>
      </c>
      <c r="C444">
        <v>113</v>
      </c>
      <c r="D444" t="b">
        <f ca="1">EXACT(Table15[[#This Row],[RoC selected PV]],INDEX(FINI_grouping_for_wheel[RoC selected PV],MATCH(Table15[[#This Row],[Material]],FINI_grouping_for_wheel[Material],0)))</f>
        <v>1</v>
      </c>
    </row>
    <row r="445" spans="1:4">
      <c r="A445" t="s">
        <v>1900</v>
      </c>
      <c r="B445">
        <v>7</v>
      </c>
      <c r="C445">
        <v>99</v>
      </c>
      <c r="D445" t="b">
        <f ca="1">EXACT(Table15[[#This Row],[RoC selected PV]],INDEX(FINI_grouping_for_wheel[RoC selected PV],MATCH(Table15[[#This Row],[Material]],FINI_grouping_for_wheel[Material],0)))</f>
        <v>1</v>
      </c>
    </row>
    <row r="446" spans="1:4">
      <c r="A446" t="s">
        <v>1903</v>
      </c>
      <c r="B446">
        <v>7</v>
      </c>
      <c r="C446">
        <v>99</v>
      </c>
      <c r="D446" t="b">
        <f ca="1">EXACT(Table15[[#This Row],[RoC selected PV]],INDEX(FINI_grouping_for_wheel[RoC selected PV],MATCH(Table15[[#This Row],[Material]],FINI_grouping_for_wheel[Material],0)))</f>
        <v>1</v>
      </c>
    </row>
    <row r="447" spans="1:4">
      <c r="A447" t="s">
        <v>1906</v>
      </c>
      <c r="B447">
        <v>7</v>
      </c>
      <c r="C447">
        <v>99</v>
      </c>
      <c r="D447" t="b">
        <f ca="1">EXACT(Table15[[#This Row],[RoC selected PV]],INDEX(FINI_grouping_for_wheel[RoC selected PV],MATCH(Table15[[#This Row],[Material]],FINI_grouping_for_wheel[Material],0)))</f>
        <v>1</v>
      </c>
    </row>
    <row r="448" spans="1:4">
      <c r="A448" t="s">
        <v>1909</v>
      </c>
      <c r="B448">
        <v>9</v>
      </c>
      <c r="C448">
        <v>62</v>
      </c>
      <c r="D448" t="b">
        <f ca="1">EXACT(Table15[[#This Row],[RoC selected PV]],INDEX(FINI_grouping_for_wheel[RoC selected PV],MATCH(Table15[[#This Row],[Material]],FINI_grouping_for_wheel[Material],0)))</f>
        <v>1</v>
      </c>
    </row>
    <row r="449" spans="1:4">
      <c r="A449" t="s">
        <v>1912</v>
      </c>
      <c r="B449">
        <v>8</v>
      </c>
      <c r="C449">
        <v>383</v>
      </c>
      <c r="D449" t="b">
        <f ca="1">EXACT(Table15[[#This Row],[RoC selected PV]],INDEX(FINI_grouping_for_wheel[RoC selected PV],MATCH(Table15[[#This Row],[Material]],FINI_grouping_for_wheel[Material],0)))</f>
        <v>1</v>
      </c>
    </row>
    <row r="450" spans="1:4">
      <c r="A450" t="s">
        <v>1915</v>
      </c>
      <c r="B450">
        <v>8</v>
      </c>
      <c r="C450">
        <v>383</v>
      </c>
      <c r="D450" t="b">
        <f ca="1">EXACT(Table15[[#This Row],[RoC selected PV]],INDEX(FINI_grouping_for_wheel[RoC selected PV],MATCH(Table15[[#This Row],[Material]],FINI_grouping_for_wheel[Material],0)))</f>
        <v>1</v>
      </c>
    </row>
    <row r="451" spans="1:4">
      <c r="A451" t="s">
        <v>1918</v>
      </c>
      <c r="B451">
        <v>9</v>
      </c>
      <c r="C451">
        <v>62</v>
      </c>
      <c r="D451" t="b">
        <f ca="1">EXACT(Table15[[#This Row],[RoC selected PV]],INDEX(FINI_grouping_for_wheel[RoC selected PV],MATCH(Table15[[#This Row],[Material]],FINI_grouping_for_wheel[Material],0)))</f>
        <v>1</v>
      </c>
    </row>
    <row r="452" spans="1:4">
      <c r="A452" t="s">
        <v>1921</v>
      </c>
      <c r="B452">
        <v>9</v>
      </c>
      <c r="C452">
        <v>62</v>
      </c>
      <c r="D452" t="b">
        <f ca="1">EXACT(Table15[[#This Row],[RoC selected PV]],INDEX(FINI_grouping_for_wheel[RoC selected PV],MATCH(Table15[[#This Row],[Material]],FINI_grouping_for_wheel[Material],0)))</f>
        <v>1</v>
      </c>
    </row>
    <row r="453" spans="1:4">
      <c r="A453" t="s">
        <v>1926</v>
      </c>
      <c r="B453">
        <v>6</v>
      </c>
      <c r="C453">
        <v>43</v>
      </c>
      <c r="D453" t="b">
        <f ca="1">EXACT(Table15[[#This Row],[RoC selected PV]],INDEX(FINI_grouping_for_wheel[RoC selected PV],MATCH(Table15[[#This Row],[Material]],FINI_grouping_for_wheel[Material],0)))</f>
        <v>1</v>
      </c>
    </row>
    <row r="454" spans="1:4">
      <c r="A454" t="s">
        <v>1931</v>
      </c>
      <c r="B454">
        <v>1</v>
      </c>
      <c r="C454">
        <v>18</v>
      </c>
      <c r="D454" t="b">
        <f ca="1">EXACT(Table15[[#This Row],[RoC selected PV]],INDEX(FINI_grouping_for_wheel[RoC selected PV],MATCH(Table15[[#This Row],[Material]],FINI_grouping_for_wheel[Material],0)))</f>
        <v>0</v>
      </c>
    </row>
    <row r="455" spans="1:4">
      <c r="A455" t="s">
        <v>1934</v>
      </c>
      <c r="B455">
        <v>2</v>
      </c>
      <c r="C455">
        <v>57</v>
      </c>
      <c r="D455" t="b">
        <f ca="1">EXACT(Table15[[#This Row],[RoC selected PV]],INDEX(FINI_grouping_for_wheel[RoC selected PV],MATCH(Table15[[#This Row],[Material]],FINI_grouping_for_wheel[Material],0)))</f>
        <v>0</v>
      </c>
    </row>
    <row r="456" spans="1:4">
      <c r="A456" t="s">
        <v>1937</v>
      </c>
      <c r="B456">
        <v>3</v>
      </c>
      <c r="C456">
        <v>51</v>
      </c>
      <c r="D456" t="b">
        <f ca="1">EXACT(Table15[[#This Row],[RoC selected PV]],INDEX(FINI_grouping_for_wheel[RoC selected PV],MATCH(Table15[[#This Row],[Material]],FINI_grouping_for_wheel[Material],0)))</f>
        <v>0</v>
      </c>
    </row>
    <row r="457" spans="1:4">
      <c r="A457" t="s">
        <v>1942</v>
      </c>
      <c r="B457">
        <v>4</v>
      </c>
      <c r="C457">
        <v>64</v>
      </c>
      <c r="D457" t="b">
        <f ca="1">EXACT(Table15[[#This Row],[RoC selected PV]],INDEX(FINI_grouping_for_wheel[RoC selected PV],MATCH(Table15[[#This Row],[Material]],FINI_grouping_for_wheel[Material],0)))</f>
        <v>0</v>
      </c>
    </row>
    <row r="458" spans="1:4">
      <c r="A458" t="s">
        <v>1946</v>
      </c>
      <c r="B458">
        <v>4</v>
      </c>
      <c r="C458">
        <v>70</v>
      </c>
      <c r="D458" t="b">
        <f ca="1">EXACT(Table15[[#This Row],[RoC selected PV]],INDEX(FINI_grouping_for_wheel[RoC selected PV],MATCH(Table15[[#This Row],[Material]],FINI_grouping_for_wheel[Material],0)))</f>
        <v>1</v>
      </c>
    </row>
    <row r="459" spans="1:4">
      <c r="A459" t="s">
        <v>1953</v>
      </c>
      <c r="B459">
        <v>5</v>
      </c>
      <c r="C459">
        <v>55</v>
      </c>
      <c r="D459" t="b">
        <f ca="1">EXACT(Table15[[#This Row],[RoC selected PV]],INDEX(FINI_grouping_for_wheel[RoC selected PV],MATCH(Table15[[#This Row],[Material]],FINI_grouping_for_wheel[Material],0)))</f>
        <v>1</v>
      </c>
    </row>
    <row r="460" spans="1:4">
      <c r="A460" t="s">
        <v>1958</v>
      </c>
      <c r="B460">
        <v>1</v>
      </c>
      <c r="C460">
        <v>6</v>
      </c>
      <c r="D460" t="b">
        <f ca="1">EXACT(Table15[[#This Row],[RoC selected PV]],INDEX(FINI_grouping_for_wheel[RoC selected PV],MATCH(Table15[[#This Row],[Material]],FINI_grouping_for_wheel[Material],0)))</f>
        <v>1</v>
      </c>
    </row>
    <row r="461" spans="1:4">
      <c r="A461" t="s">
        <v>1961</v>
      </c>
      <c r="B461">
        <v>4</v>
      </c>
      <c r="C461">
        <v>70</v>
      </c>
      <c r="D461" t="b">
        <f ca="1">EXACT(Table15[[#This Row],[RoC selected PV]],INDEX(FINI_grouping_for_wheel[RoC selected PV],MATCH(Table15[[#This Row],[Material]],FINI_grouping_for_wheel[Material],0)))</f>
        <v>1</v>
      </c>
    </row>
    <row r="462" spans="1:4">
      <c r="A462" t="s">
        <v>1966</v>
      </c>
      <c r="B462">
        <v>3</v>
      </c>
      <c r="C462">
        <v>704</v>
      </c>
      <c r="D462" t="b">
        <f ca="1">EXACT(Table15[[#This Row],[RoC selected PV]],INDEX(FINI_grouping_for_wheel[RoC selected PV],MATCH(Table15[[#This Row],[Material]],FINI_grouping_for_wheel[Material],0)))</f>
        <v>1</v>
      </c>
    </row>
    <row r="463" spans="1:4">
      <c r="A463" t="s">
        <v>1969</v>
      </c>
      <c r="B463">
        <v>2</v>
      </c>
      <c r="C463">
        <v>11</v>
      </c>
      <c r="D463" t="b">
        <f ca="1">EXACT(Table15[[#This Row],[RoC selected PV]],INDEX(FINI_grouping_for_wheel[RoC selected PV],MATCH(Table15[[#This Row],[Material]],FINI_grouping_for_wheel[Material],0)))</f>
        <v>1</v>
      </c>
    </row>
    <row r="464" spans="1:4">
      <c r="A464" t="s">
        <v>1975</v>
      </c>
      <c r="B464">
        <v>1</v>
      </c>
      <c r="C464">
        <v>4</v>
      </c>
      <c r="D464" t="b">
        <f ca="1">EXACT(Table15[[#This Row],[RoC selected PV]],INDEX(FINI_grouping_for_wheel[RoC selected PV],MATCH(Table15[[#This Row],[Material]],FINI_grouping_for_wheel[Material],0)))</f>
        <v>1</v>
      </c>
    </row>
    <row r="465" spans="1:4">
      <c r="A465" t="s">
        <v>1980</v>
      </c>
      <c r="B465">
        <v>3</v>
      </c>
      <c r="C465">
        <v>30</v>
      </c>
      <c r="D465" t="b">
        <f ca="1">EXACT(Table15[[#This Row],[RoC selected PV]],INDEX(FINI_grouping_for_wheel[RoC selected PV],MATCH(Table15[[#This Row],[Material]],FINI_grouping_for_wheel[Material],0)))</f>
        <v>1</v>
      </c>
    </row>
    <row r="466" spans="1:4">
      <c r="A466" t="s">
        <v>1986</v>
      </c>
      <c r="B466">
        <v>1</v>
      </c>
      <c r="C466">
        <v>94</v>
      </c>
      <c r="D466" t="b">
        <f ca="1">EXACT(Table15[[#This Row],[RoC selected PV]],INDEX(FINI_grouping_for_wheel[RoC selected PV],MATCH(Table15[[#This Row],[Material]],FINI_grouping_for_wheel[Material],0)))</f>
        <v>1</v>
      </c>
    </row>
    <row r="467" spans="1:4">
      <c r="A467" t="s">
        <v>1989</v>
      </c>
      <c r="B467">
        <v>1</v>
      </c>
      <c r="C467">
        <v>94</v>
      </c>
      <c r="D467" t="b">
        <f ca="1">EXACT(Table15[[#This Row],[RoC selected PV]],INDEX(FINI_grouping_for_wheel[RoC selected PV],MATCH(Table15[[#This Row],[Material]],FINI_grouping_for_wheel[Material],0)))</f>
        <v>1</v>
      </c>
    </row>
    <row r="468" spans="1:4">
      <c r="A468" t="s">
        <v>1992</v>
      </c>
      <c r="B468">
        <v>1</v>
      </c>
      <c r="C468">
        <v>94</v>
      </c>
      <c r="D468" t="b">
        <f ca="1">EXACT(Table15[[#This Row],[RoC selected PV]],INDEX(FINI_grouping_for_wheel[RoC selected PV],MATCH(Table15[[#This Row],[Material]],FINI_grouping_for_wheel[Material],0)))</f>
        <v>1</v>
      </c>
    </row>
    <row r="469" spans="1:4">
      <c r="A469" t="s">
        <v>1995</v>
      </c>
      <c r="B469">
        <v>4</v>
      </c>
      <c r="C469">
        <v>80</v>
      </c>
      <c r="D469" t="b">
        <f ca="1">EXACT(Table15[[#This Row],[RoC selected PV]],INDEX(FINI_grouping_for_wheel[RoC selected PV],MATCH(Table15[[#This Row],[Material]],FINI_grouping_for_wheel[Material],0)))</f>
        <v>1</v>
      </c>
    </row>
    <row r="470" spans="1:4">
      <c r="A470" t="s">
        <v>1998</v>
      </c>
      <c r="B470">
        <v>9</v>
      </c>
      <c r="C470">
        <v>177</v>
      </c>
      <c r="D470" t="b">
        <f ca="1">EXACT(Table15[[#This Row],[RoC selected PV]],INDEX(FINI_grouping_for_wheel[RoC selected PV],MATCH(Table15[[#This Row],[Material]],FINI_grouping_for_wheel[Material],0)))</f>
        <v>1</v>
      </c>
    </row>
    <row r="471" spans="1:4">
      <c r="A471" t="s">
        <v>2001</v>
      </c>
      <c r="B471">
        <v>8</v>
      </c>
      <c r="C471">
        <v>21</v>
      </c>
      <c r="D471" t="b">
        <f ca="1">EXACT(Table15[[#This Row],[RoC selected PV]],INDEX(FINI_grouping_for_wheel[RoC selected PV],MATCH(Table15[[#This Row],[Material]],FINI_grouping_for_wheel[Material],0)))</f>
        <v>1</v>
      </c>
    </row>
    <row r="472" spans="1:4">
      <c r="A472" t="s">
        <v>2004</v>
      </c>
      <c r="B472">
        <v>9</v>
      </c>
      <c r="C472">
        <v>177</v>
      </c>
      <c r="D472" t="b">
        <f ca="1">EXACT(Table15[[#This Row],[RoC selected PV]],INDEX(FINI_grouping_for_wheel[RoC selected PV],MATCH(Table15[[#This Row],[Material]],FINI_grouping_for_wheel[Material],0)))</f>
        <v>1</v>
      </c>
    </row>
    <row r="473" spans="1:4">
      <c r="A473" t="s">
        <v>2007</v>
      </c>
      <c r="B473">
        <v>9</v>
      </c>
      <c r="C473">
        <v>177</v>
      </c>
      <c r="D473" t="b">
        <f ca="1">EXACT(Table15[[#This Row],[RoC selected PV]],INDEX(FINI_grouping_for_wheel[RoC selected PV],MATCH(Table15[[#This Row],[Material]],FINI_grouping_for_wheel[Material],0)))</f>
        <v>1</v>
      </c>
    </row>
    <row r="474" spans="1:4">
      <c r="A474" t="s">
        <v>2010</v>
      </c>
      <c r="B474">
        <v>2</v>
      </c>
      <c r="C474">
        <v>194</v>
      </c>
      <c r="D474" t="b">
        <f ca="1">EXACT(Table15[[#This Row],[RoC selected PV]],INDEX(FINI_grouping_for_wheel[RoC selected PV],MATCH(Table15[[#This Row],[Material]],FINI_grouping_for_wheel[Material],0)))</f>
        <v>1</v>
      </c>
    </row>
    <row r="475" spans="1:4">
      <c r="A475" t="s">
        <v>2013</v>
      </c>
      <c r="B475">
        <v>5</v>
      </c>
      <c r="C475">
        <v>42</v>
      </c>
      <c r="D475" t="b">
        <f ca="1">EXACT(Table15[[#This Row],[RoC selected PV]],INDEX(FINI_grouping_for_wheel[RoC selected PV],MATCH(Table15[[#This Row],[Material]],FINI_grouping_for_wheel[Material],0)))</f>
        <v>1</v>
      </c>
    </row>
    <row r="476" spans="1:4">
      <c r="A476" t="s">
        <v>2018</v>
      </c>
      <c r="B476">
        <v>5</v>
      </c>
      <c r="C476">
        <v>42</v>
      </c>
      <c r="D476" t="b">
        <f ca="1">EXACT(Table15[[#This Row],[RoC selected PV]],INDEX(FINI_grouping_for_wheel[RoC selected PV],MATCH(Table15[[#This Row],[Material]],FINI_grouping_for_wheel[Material],0)))</f>
        <v>1</v>
      </c>
    </row>
    <row r="477" spans="1:4">
      <c r="A477" t="s">
        <v>2023</v>
      </c>
      <c r="B477">
        <v>4</v>
      </c>
      <c r="C477">
        <v>80</v>
      </c>
      <c r="D477" t="b">
        <f ca="1">EXACT(Table15[[#This Row],[RoC selected PV]],INDEX(FINI_grouping_for_wheel[RoC selected PV],MATCH(Table15[[#This Row],[Material]],FINI_grouping_for_wheel[Material],0)))</f>
        <v>1</v>
      </c>
    </row>
    <row r="478" spans="1:4">
      <c r="A478" t="s">
        <v>2026</v>
      </c>
      <c r="B478">
        <v>2</v>
      </c>
      <c r="C478">
        <v>194</v>
      </c>
      <c r="D478" t="b">
        <f ca="1">EXACT(Table15[[#This Row],[RoC selected PV]],INDEX(FINI_grouping_for_wheel[RoC selected PV],MATCH(Table15[[#This Row],[Material]],FINI_grouping_for_wheel[Material],0)))</f>
        <v>1</v>
      </c>
    </row>
    <row r="479" spans="1:4">
      <c r="A479" t="s">
        <v>2029</v>
      </c>
      <c r="B479">
        <v>3</v>
      </c>
      <c r="C479">
        <v>30</v>
      </c>
      <c r="D479" t="b">
        <f ca="1">EXACT(Table15[[#This Row],[RoC selected PV]],INDEX(FINI_grouping_for_wheel[RoC selected PV],MATCH(Table15[[#This Row],[Material]],FINI_grouping_for_wheel[Material],0)))</f>
        <v>1</v>
      </c>
    </row>
    <row r="480" spans="1:4">
      <c r="A480" t="s">
        <v>2034</v>
      </c>
      <c r="B480">
        <v>3</v>
      </c>
      <c r="C480">
        <v>30</v>
      </c>
      <c r="D480" t="b">
        <f ca="1">EXACT(Table15[[#This Row],[RoC selected PV]],INDEX(FINI_grouping_for_wheel[RoC selected PV],MATCH(Table15[[#This Row],[Material]],FINI_grouping_for_wheel[Material],0)))</f>
        <v>1</v>
      </c>
    </row>
    <row r="481" spans="1:4">
      <c r="A481" t="s">
        <v>2039</v>
      </c>
      <c r="B481">
        <v>3</v>
      </c>
      <c r="C481">
        <v>30</v>
      </c>
      <c r="D481" t="b">
        <f ca="1">EXACT(Table15[[#This Row],[RoC selected PV]],INDEX(FINI_grouping_for_wheel[RoC selected PV],MATCH(Table15[[#This Row],[Material]],FINI_grouping_for_wheel[Material],0)))</f>
        <v>1</v>
      </c>
    </row>
    <row r="482" spans="1:4">
      <c r="A482" t="s">
        <v>2044</v>
      </c>
      <c r="B482">
        <v>6</v>
      </c>
      <c r="C482">
        <v>11</v>
      </c>
      <c r="D482" t="b">
        <f ca="1">EXACT(Table15[[#This Row],[RoC selected PV]],INDEX(FINI_grouping_for_wheel[RoC selected PV],MATCH(Table15[[#This Row],[Material]],FINI_grouping_for_wheel[Material],0)))</f>
        <v>1</v>
      </c>
    </row>
    <row r="483" spans="1:4">
      <c r="A483" t="s">
        <v>2047</v>
      </c>
      <c r="B483">
        <v>7</v>
      </c>
      <c r="C483">
        <v>33</v>
      </c>
      <c r="D483" t="b">
        <f ca="1">EXACT(Table15[[#This Row],[RoC selected PV]],INDEX(FINI_grouping_for_wheel[RoC selected PV],MATCH(Table15[[#This Row],[Material]],FINI_grouping_for_wheel[Material],0)))</f>
        <v>1</v>
      </c>
    </row>
    <row r="484" spans="1:4">
      <c r="A484" t="s">
        <v>2053</v>
      </c>
      <c r="B484">
        <v>4</v>
      </c>
      <c r="C484">
        <v>258</v>
      </c>
      <c r="D484" t="b">
        <f ca="1">EXACT(Table15[[#This Row],[RoC selected PV]],INDEX(FINI_grouping_for_wheel[RoC selected PV],MATCH(Table15[[#This Row],[Material]],FINI_grouping_for_wheel[Material],0)))</f>
        <v>1</v>
      </c>
    </row>
    <row r="485" spans="1:4">
      <c r="A485" t="s">
        <v>2057</v>
      </c>
      <c r="B485">
        <v>3</v>
      </c>
      <c r="C485">
        <v>110</v>
      </c>
      <c r="D485" t="b">
        <f ca="1">EXACT(Table15[[#This Row],[RoC selected PV]],INDEX(FINI_grouping_for_wheel[RoC selected PV],MATCH(Table15[[#This Row],[Material]],FINI_grouping_for_wheel[Material],0)))</f>
        <v>1</v>
      </c>
    </row>
    <row r="486" spans="1:4">
      <c r="A486" t="s">
        <v>2060</v>
      </c>
      <c r="B486">
        <v>3</v>
      </c>
      <c r="C486">
        <v>110</v>
      </c>
      <c r="D486" t="b">
        <f ca="1">EXACT(Table15[[#This Row],[RoC selected PV]],INDEX(FINI_grouping_for_wheel[RoC selected PV],MATCH(Table15[[#This Row],[Material]],FINI_grouping_for_wheel[Material],0)))</f>
        <v>1</v>
      </c>
    </row>
    <row r="487" spans="1:4">
      <c r="A487" t="s">
        <v>2063</v>
      </c>
      <c r="B487">
        <v>3</v>
      </c>
      <c r="C487">
        <v>110</v>
      </c>
      <c r="D487" t="b">
        <f ca="1">EXACT(Table15[[#This Row],[RoC selected PV]],INDEX(FINI_grouping_for_wheel[RoC selected PV],MATCH(Table15[[#This Row],[Material]],FINI_grouping_for_wheel[Material],0)))</f>
        <v>1</v>
      </c>
    </row>
    <row r="488" spans="1:4">
      <c r="A488" t="s">
        <v>2066</v>
      </c>
      <c r="B488">
        <v>6</v>
      </c>
      <c r="C488">
        <v>61</v>
      </c>
      <c r="D488" t="b">
        <f ca="1">EXACT(Table15[[#This Row],[RoC selected PV]],INDEX(FINI_grouping_for_wheel[RoC selected PV],MATCH(Table15[[#This Row],[Material]],FINI_grouping_for_wheel[Material],0)))</f>
        <v>1</v>
      </c>
    </row>
    <row r="489" spans="1:4">
      <c r="A489" t="s">
        <v>2069</v>
      </c>
      <c r="B489">
        <v>6</v>
      </c>
      <c r="C489">
        <v>61</v>
      </c>
      <c r="D489" t="b">
        <f ca="1">EXACT(Table15[[#This Row],[RoC selected PV]],INDEX(FINI_grouping_for_wheel[RoC selected PV],MATCH(Table15[[#This Row],[Material]],FINI_grouping_for_wheel[Material],0)))</f>
        <v>1</v>
      </c>
    </row>
    <row r="490" spans="1:4">
      <c r="A490" t="s">
        <v>2072</v>
      </c>
      <c r="B490">
        <v>7</v>
      </c>
      <c r="C490">
        <v>59</v>
      </c>
      <c r="D490" t="b">
        <f ca="1">EXACT(Table15[[#This Row],[RoC selected PV]],INDEX(FINI_grouping_for_wheel[RoC selected PV],MATCH(Table15[[#This Row],[Material]],FINI_grouping_for_wheel[Material],0)))</f>
        <v>1</v>
      </c>
    </row>
    <row r="491" spans="1:4">
      <c r="A491" t="s">
        <v>2075</v>
      </c>
      <c r="B491">
        <v>1</v>
      </c>
      <c r="C491">
        <v>15</v>
      </c>
      <c r="D491" t="b">
        <f ca="1">EXACT(Table15[[#This Row],[RoC selected PV]],INDEX(FINI_grouping_for_wheel[RoC selected PV],MATCH(Table15[[#This Row],[Material]],FINI_grouping_for_wheel[Material],0)))</f>
        <v>1</v>
      </c>
    </row>
    <row r="492" spans="1:4">
      <c r="A492" t="s">
        <v>2078</v>
      </c>
      <c r="B492">
        <v>5</v>
      </c>
      <c r="C492">
        <v>77</v>
      </c>
      <c r="D492" t="b">
        <f ca="1">EXACT(Table15[[#This Row],[RoC selected PV]],INDEX(FINI_grouping_for_wheel[RoC selected PV],MATCH(Table15[[#This Row],[Material]],FINI_grouping_for_wheel[Material],0)))</f>
        <v>1</v>
      </c>
    </row>
    <row r="493" spans="1:4">
      <c r="A493" t="s">
        <v>2081</v>
      </c>
      <c r="B493">
        <v>5</v>
      </c>
      <c r="C493">
        <v>77</v>
      </c>
      <c r="D493" t="b">
        <f ca="1">EXACT(Table15[[#This Row],[RoC selected PV]],INDEX(FINI_grouping_for_wheel[RoC selected PV],MATCH(Table15[[#This Row],[Material]],FINI_grouping_for_wheel[Material],0)))</f>
        <v>1</v>
      </c>
    </row>
    <row r="494" spans="1:4">
      <c r="A494" t="s">
        <v>2084</v>
      </c>
      <c r="B494">
        <v>3</v>
      </c>
      <c r="C494">
        <v>110</v>
      </c>
      <c r="D494" t="b">
        <f ca="1">EXACT(Table15[[#This Row],[RoC selected PV]],INDEX(FINI_grouping_for_wheel[RoC selected PV],MATCH(Table15[[#This Row],[Material]],FINI_grouping_for_wheel[Material],0)))</f>
        <v>1</v>
      </c>
    </row>
    <row r="495" spans="1:4">
      <c r="A495" t="s">
        <v>2087</v>
      </c>
      <c r="B495">
        <v>8</v>
      </c>
      <c r="C495">
        <v>441</v>
      </c>
      <c r="D495" t="b">
        <f ca="1">EXACT(Table15[[#This Row],[RoC selected PV]],INDEX(FINI_grouping_for_wheel[RoC selected PV],MATCH(Table15[[#This Row],[Material]],FINI_grouping_for_wheel[Material],0)))</f>
        <v>1</v>
      </c>
    </row>
    <row r="496" spans="1:4">
      <c r="A496" t="s">
        <v>2090</v>
      </c>
      <c r="B496">
        <v>8</v>
      </c>
      <c r="C496">
        <v>441</v>
      </c>
      <c r="D496" t="b">
        <f ca="1">EXACT(Table15[[#This Row],[RoC selected PV]],INDEX(FINI_grouping_for_wheel[RoC selected PV],MATCH(Table15[[#This Row],[Material]],FINI_grouping_for_wheel[Material],0)))</f>
        <v>1</v>
      </c>
    </row>
    <row r="497" spans="1:4">
      <c r="A497" t="s">
        <v>2093</v>
      </c>
      <c r="B497">
        <v>8</v>
      </c>
      <c r="C497">
        <v>441</v>
      </c>
      <c r="D497" t="b">
        <f ca="1">EXACT(Table15[[#This Row],[RoC selected PV]],INDEX(FINI_grouping_for_wheel[RoC selected PV],MATCH(Table15[[#This Row],[Material]],FINI_grouping_for_wheel[Material],0)))</f>
        <v>1</v>
      </c>
    </row>
    <row r="498" spans="1:4">
      <c r="A498" t="s">
        <v>2096</v>
      </c>
      <c r="B498">
        <v>4</v>
      </c>
      <c r="C498">
        <v>258</v>
      </c>
      <c r="D498" t="b">
        <f ca="1">EXACT(Table15[[#This Row],[RoC selected PV]],INDEX(FINI_grouping_for_wheel[RoC selected PV],MATCH(Table15[[#This Row],[Material]],FINI_grouping_for_wheel[Material],0)))</f>
        <v>1</v>
      </c>
    </row>
    <row r="499" spans="1:4">
      <c r="A499" t="s">
        <v>2099</v>
      </c>
      <c r="B499">
        <v>2</v>
      </c>
      <c r="C499">
        <v>8</v>
      </c>
      <c r="D499" t="b">
        <f ca="1">EXACT(Table15[[#This Row],[RoC selected PV]],INDEX(FINI_grouping_for_wheel[RoC selected PV],MATCH(Table15[[#This Row],[Material]],FINI_grouping_for_wheel[Material],0)))</f>
        <v>1</v>
      </c>
    </row>
    <row r="500" spans="1:4">
      <c r="A500" t="s">
        <v>2102</v>
      </c>
      <c r="B500">
        <v>7</v>
      </c>
      <c r="C500">
        <v>59</v>
      </c>
      <c r="D500" t="b">
        <f ca="1">EXACT(Table15[[#This Row],[RoC selected PV]],INDEX(FINI_grouping_for_wheel[RoC selected PV],MATCH(Table15[[#This Row],[Material]],FINI_grouping_for_wheel[Material],0)))</f>
        <v>1</v>
      </c>
    </row>
    <row r="501" spans="1:4">
      <c r="A501" t="s">
        <v>2106</v>
      </c>
      <c r="B501">
        <v>1</v>
      </c>
      <c r="C501">
        <v>4</v>
      </c>
      <c r="D501" t="b">
        <f ca="1">EXACT(Table15[[#This Row],[RoC selected PV]],INDEX(FINI_grouping_for_wheel[RoC selected PV],MATCH(Table15[[#This Row],[Material]],FINI_grouping_for_wheel[Material],0)))</f>
        <v>1</v>
      </c>
    </row>
    <row r="502" spans="1:4">
      <c r="A502" t="s">
        <v>2112</v>
      </c>
      <c r="B502">
        <v>1</v>
      </c>
      <c r="C502">
        <v>4</v>
      </c>
      <c r="D502" t="b">
        <f ca="1">EXACT(Table15[[#This Row],[RoC selected PV]],INDEX(FINI_grouping_for_wheel[RoC selected PV],MATCH(Table15[[#This Row],[Material]],FINI_grouping_for_wheel[Material],0)))</f>
        <v>1</v>
      </c>
    </row>
    <row r="503" spans="1:4">
      <c r="A503" t="s">
        <v>2116</v>
      </c>
      <c r="B503">
        <v>6</v>
      </c>
      <c r="C503">
        <v>135</v>
      </c>
      <c r="D503" t="b">
        <f ca="1">EXACT(Table15[[#This Row],[RoC selected PV]],INDEX(FINI_grouping_for_wheel[RoC selected PV],MATCH(Table15[[#This Row],[Material]],FINI_grouping_for_wheel[Material],0)))</f>
        <v>1</v>
      </c>
    </row>
    <row r="504" spans="1:4">
      <c r="A504" t="s">
        <v>2120</v>
      </c>
      <c r="B504">
        <v>3</v>
      </c>
      <c r="C504">
        <v>61</v>
      </c>
      <c r="D504" t="b">
        <f ca="1">EXACT(Table15[[#This Row],[RoC selected PV]],INDEX(FINI_grouping_for_wheel[RoC selected PV],MATCH(Table15[[#This Row],[Material]],FINI_grouping_for_wheel[Material],0)))</f>
        <v>1</v>
      </c>
    </row>
    <row r="505" spans="1:4">
      <c r="A505" t="s">
        <v>2123</v>
      </c>
      <c r="B505">
        <v>2</v>
      </c>
      <c r="C505">
        <v>18</v>
      </c>
      <c r="D505" t="b">
        <f ca="1">EXACT(Table15[[#This Row],[RoC selected PV]],INDEX(FINI_grouping_for_wheel[RoC selected PV],MATCH(Table15[[#This Row],[Material]],FINI_grouping_for_wheel[Material],0)))</f>
        <v>1</v>
      </c>
    </row>
    <row r="506" spans="1:4">
      <c r="A506" t="s">
        <v>2126</v>
      </c>
      <c r="B506">
        <v>4</v>
      </c>
      <c r="C506">
        <v>111</v>
      </c>
      <c r="D506" t="b">
        <f ca="1">EXACT(Table15[[#This Row],[RoC selected PV]],INDEX(FINI_grouping_for_wheel[RoC selected PV],MATCH(Table15[[#This Row],[Material]],FINI_grouping_for_wheel[Material],0)))</f>
        <v>1</v>
      </c>
    </row>
    <row r="507" spans="1:4">
      <c r="A507" t="s">
        <v>2129</v>
      </c>
      <c r="B507">
        <v>6</v>
      </c>
      <c r="C507">
        <v>135</v>
      </c>
      <c r="D507" t="b">
        <f ca="1">EXACT(Table15[[#This Row],[RoC selected PV]],INDEX(FINI_grouping_for_wheel[RoC selected PV],MATCH(Table15[[#This Row],[Material]],FINI_grouping_for_wheel[Material],0)))</f>
        <v>1</v>
      </c>
    </row>
    <row r="508" spans="1:4">
      <c r="A508" t="s">
        <v>2132</v>
      </c>
      <c r="B508">
        <v>3</v>
      </c>
      <c r="C508">
        <v>61</v>
      </c>
      <c r="D508" t="b">
        <f ca="1">EXACT(Table15[[#This Row],[RoC selected PV]],INDEX(FINI_grouping_for_wheel[RoC selected PV],MATCH(Table15[[#This Row],[Material]],FINI_grouping_for_wheel[Material],0)))</f>
        <v>1</v>
      </c>
    </row>
    <row r="509" spans="1:4">
      <c r="A509" t="s">
        <v>2135</v>
      </c>
      <c r="B509">
        <v>6</v>
      </c>
      <c r="C509">
        <v>135</v>
      </c>
      <c r="D509" t="b">
        <f ca="1">EXACT(Table15[[#This Row],[RoC selected PV]],INDEX(FINI_grouping_for_wheel[RoC selected PV],MATCH(Table15[[#This Row],[Material]],FINI_grouping_for_wheel[Material],0)))</f>
        <v>1</v>
      </c>
    </row>
    <row r="510" spans="1:4">
      <c r="A510" t="s">
        <v>2138</v>
      </c>
      <c r="B510">
        <v>5</v>
      </c>
      <c r="C510">
        <v>144</v>
      </c>
      <c r="D510" t="b">
        <f ca="1">EXACT(Table15[[#This Row],[RoC selected PV]],INDEX(FINI_grouping_for_wheel[RoC selected PV],MATCH(Table15[[#This Row],[Material]],FINI_grouping_for_wheel[Material],0)))</f>
        <v>1</v>
      </c>
    </row>
    <row r="511" spans="1:4">
      <c r="A511" t="s">
        <v>2141</v>
      </c>
      <c r="B511">
        <v>3</v>
      </c>
      <c r="C511">
        <v>61</v>
      </c>
      <c r="D511" t="b">
        <f ca="1">EXACT(Table15[[#This Row],[RoC selected PV]],INDEX(FINI_grouping_for_wheel[RoC selected PV],MATCH(Table15[[#This Row],[Material]],FINI_grouping_for_wheel[Material],0)))</f>
        <v>1</v>
      </c>
    </row>
    <row r="512" spans="1:4">
      <c r="A512" t="s">
        <v>2144</v>
      </c>
      <c r="B512">
        <v>6</v>
      </c>
      <c r="C512">
        <v>135</v>
      </c>
      <c r="D512" t="b">
        <f ca="1">EXACT(Table15[[#This Row],[RoC selected PV]],INDEX(FINI_grouping_for_wheel[RoC selected PV],MATCH(Table15[[#This Row],[Material]],FINI_grouping_for_wheel[Material],0)))</f>
        <v>1</v>
      </c>
    </row>
    <row r="513" spans="1:4">
      <c r="A513" t="s">
        <v>2147</v>
      </c>
      <c r="B513">
        <v>6</v>
      </c>
      <c r="C513">
        <v>135</v>
      </c>
      <c r="D513" t="b">
        <f ca="1">EXACT(Table15[[#This Row],[RoC selected PV]],INDEX(FINI_grouping_for_wheel[RoC selected PV],MATCH(Table15[[#This Row],[Material]],FINI_grouping_for_wheel[Material],0)))</f>
        <v>1</v>
      </c>
    </row>
    <row r="514" spans="1:4">
      <c r="A514" t="s">
        <v>2150</v>
      </c>
      <c r="B514">
        <v>5</v>
      </c>
      <c r="C514">
        <v>144</v>
      </c>
      <c r="D514" t="b">
        <f ca="1">EXACT(Table15[[#This Row],[RoC selected PV]],INDEX(FINI_grouping_for_wheel[RoC selected PV],MATCH(Table15[[#This Row],[Material]],FINI_grouping_for_wheel[Material],0)))</f>
        <v>1</v>
      </c>
    </row>
    <row r="515" spans="1:4">
      <c r="A515" t="s">
        <v>2153</v>
      </c>
      <c r="B515">
        <v>6</v>
      </c>
      <c r="C515">
        <v>135</v>
      </c>
      <c r="D515" t="b">
        <f ca="1">EXACT(Table15[[#This Row],[RoC selected PV]],INDEX(FINI_grouping_for_wheel[RoC selected PV],MATCH(Table15[[#This Row],[Material]],FINI_grouping_for_wheel[Material],0)))</f>
        <v>1</v>
      </c>
    </row>
    <row r="516" spans="1:4">
      <c r="A516" t="s">
        <v>2156</v>
      </c>
      <c r="B516">
        <v>4</v>
      </c>
      <c r="C516">
        <v>111</v>
      </c>
      <c r="D516" t="b">
        <f ca="1">EXACT(Table15[[#This Row],[RoC selected PV]],INDEX(FINI_grouping_for_wheel[RoC selected PV],MATCH(Table15[[#This Row],[Material]],FINI_grouping_for_wheel[Material],0)))</f>
        <v>1</v>
      </c>
    </row>
    <row r="517" spans="1:4">
      <c r="A517" t="s">
        <v>2159</v>
      </c>
      <c r="B517">
        <v>1</v>
      </c>
      <c r="C517">
        <v>8</v>
      </c>
      <c r="D517" t="b">
        <f ca="1">EXACT(Table15[[#This Row],[RoC selected PV]],INDEX(FINI_grouping_for_wheel[RoC selected PV],MATCH(Table15[[#This Row],[Material]],FINI_grouping_for_wheel[Material],0)))</f>
        <v>1</v>
      </c>
    </row>
    <row r="518" spans="1:4">
      <c r="A518" t="s">
        <v>2163</v>
      </c>
      <c r="B518">
        <v>4</v>
      </c>
      <c r="C518">
        <v>51</v>
      </c>
      <c r="D518" t="b">
        <f ca="1">EXACT(Table15[[#This Row],[RoC selected PV]],INDEX(FINI_grouping_for_wheel[RoC selected PV],MATCH(Table15[[#This Row],[Material]],FINI_grouping_for_wheel[Material],0)))</f>
        <v>1</v>
      </c>
    </row>
    <row r="519" spans="1:4">
      <c r="A519" t="s">
        <v>2168</v>
      </c>
      <c r="B519">
        <v>4</v>
      </c>
      <c r="C519">
        <v>51</v>
      </c>
      <c r="D519" t="b">
        <f ca="1">EXACT(Table15[[#This Row],[RoC selected PV]],INDEX(FINI_grouping_for_wheel[RoC selected PV],MATCH(Table15[[#This Row],[Material]],FINI_grouping_for_wheel[Material],0)))</f>
        <v>1</v>
      </c>
    </row>
    <row r="520" spans="1:4">
      <c r="A520" t="s">
        <v>2173</v>
      </c>
      <c r="B520">
        <v>9</v>
      </c>
      <c r="C520">
        <v>72</v>
      </c>
      <c r="D520" t="b">
        <f ca="1">EXACT(Table15[[#This Row],[RoC selected PV]],INDEX(FINI_grouping_for_wheel[RoC selected PV],MATCH(Table15[[#This Row],[Material]],FINI_grouping_for_wheel[Material],0)))</f>
        <v>1</v>
      </c>
    </row>
    <row r="521" spans="1:4">
      <c r="A521" t="s">
        <v>2176</v>
      </c>
      <c r="B521">
        <v>8</v>
      </c>
      <c r="C521">
        <v>75</v>
      </c>
      <c r="D521" t="b">
        <f ca="1">EXACT(Table15[[#This Row],[RoC selected PV]],INDEX(FINI_grouping_for_wheel[RoC selected PV],MATCH(Table15[[#This Row],[Material]],FINI_grouping_for_wheel[Material],0)))</f>
        <v>1</v>
      </c>
    </row>
    <row r="522" spans="1:4">
      <c r="A522" t="s">
        <v>2179</v>
      </c>
      <c r="B522">
        <v>6</v>
      </c>
      <c r="C522">
        <v>224</v>
      </c>
      <c r="D522" t="b">
        <f ca="1">EXACT(Table15[[#This Row],[RoC selected PV]],INDEX(FINI_grouping_for_wheel[RoC selected PV],MATCH(Table15[[#This Row],[Material]],FINI_grouping_for_wheel[Material],0)))</f>
        <v>1</v>
      </c>
    </row>
    <row r="523" spans="1:4">
      <c r="A523" t="s">
        <v>2182</v>
      </c>
      <c r="B523">
        <v>6</v>
      </c>
      <c r="C523">
        <v>224</v>
      </c>
      <c r="D523" t="b">
        <f ca="1">EXACT(Table15[[#This Row],[RoC selected PV]],INDEX(FINI_grouping_for_wheel[RoC selected PV],MATCH(Table15[[#This Row],[Material]],FINI_grouping_for_wheel[Material],0)))</f>
        <v>1</v>
      </c>
    </row>
    <row r="524" spans="1:4">
      <c r="A524" t="s">
        <v>2185</v>
      </c>
      <c r="B524">
        <v>9</v>
      </c>
      <c r="C524">
        <v>72</v>
      </c>
      <c r="D524" t="b">
        <f ca="1">EXACT(Table15[[#This Row],[RoC selected PV]],INDEX(FINI_grouping_for_wheel[RoC selected PV],MATCH(Table15[[#This Row],[Material]],FINI_grouping_for_wheel[Material],0)))</f>
        <v>1</v>
      </c>
    </row>
    <row r="525" spans="1:4">
      <c r="A525" t="s">
        <v>2189</v>
      </c>
      <c r="B525">
        <v>4</v>
      </c>
      <c r="C525">
        <v>51</v>
      </c>
      <c r="D525" t="b">
        <f ca="1">EXACT(Table15[[#This Row],[RoC selected PV]],INDEX(FINI_grouping_for_wheel[RoC selected PV],MATCH(Table15[[#This Row],[Material]],FINI_grouping_for_wheel[Material],0)))</f>
        <v>1</v>
      </c>
    </row>
    <row r="526" spans="1:4">
      <c r="A526" t="s">
        <v>2192</v>
      </c>
      <c r="B526">
        <v>5</v>
      </c>
      <c r="C526">
        <v>115</v>
      </c>
      <c r="D526" t="b">
        <f ca="1">EXACT(Table15[[#This Row],[RoC selected PV]],INDEX(FINI_grouping_for_wheel[RoC selected PV],MATCH(Table15[[#This Row],[Material]],FINI_grouping_for_wheel[Material],0)))</f>
        <v>1</v>
      </c>
    </row>
    <row r="527" spans="1:4">
      <c r="A527" t="s">
        <v>2195</v>
      </c>
      <c r="B527">
        <v>6</v>
      </c>
      <c r="C527">
        <v>224</v>
      </c>
      <c r="D527" t="b">
        <f ca="1">EXACT(Table15[[#This Row],[RoC selected PV]],INDEX(FINI_grouping_for_wheel[RoC selected PV],MATCH(Table15[[#This Row],[Material]],FINI_grouping_for_wheel[Material],0)))</f>
        <v>1</v>
      </c>
    </row>
    <row r="528" spans="1:4">
      <c r="A528" t="s">
        <v>2198</v>
      </c>
      <c r="B528">
        <v>9</v>
      </c>
      <c r="C528">
        <v>72</v>
      </c>
      <c r="D528" t="b">
        <f ca="1">EXACT(Table15[[#This Row],[RoC selected PV]],INDEX(FINI_grouping_for_wheel[RoC selected PV],MATCH(Table15[[#This Row],[Material]],FINI_grouping_for_wheel[Material],0)))</f>
        <v>1</v>
      </c>
    </row>
    <row r="529" spans="1:4">
      <c r="A529" t="s">
        <v>2201</v>
      </c>
      <c r="B529">
        <v>6</v>
      </c>
      <c r="C529">
        <v>224</v>
      </c>
      <c r="D529" t="b">
        <f ca="1">EXACT(Table15[[#This Row],[RoC selected PV]],INDEX(FINI_grouping_for_wheel[RoC selected PV],MATCH(Table15[[#This Row],[Material]],FINI_grouping_for_wheel[Material],0)))</f>
        <v>1</v>
      </c>
    </row>
    <row r="530" spans="1:4">
      <c r="A530" t="s">
        <v>2204</v>
      </c>
      <c r="B530">
        <v>6</v>
      </c>
      <c r="C530">
        <v>224</v>
      </c>
      <c r="D530" t="b">
        <f ca="1">EXACT(Table15[[#This Row],[RoC selected PV]],INDEX(FINI_grouping_for_wheel[RoC selected PV],MATCH(Table15[[#This Row],[Material]],FINI_grouping_for_wheel[Material],0)))</f>
        <v>1</v>
      </c>
    </row>
    <row r="531" spans="1:4">
      <c r="A531" t="s">
        <v>2207</v>
      </c>
      <c r="B531">
        <v>6</v>
      </c>
      <c r="C531">
        <v>224</v>
      </c>
      <c r="D531" t="b">
        <f ca="1">EXACT(Table15[[#This Row],[RoC selected PV]],INDEX(FINI_grouping_for_wheel[RoC selected PV],MATCH(Table15[[#This Row],[Material]],FINI_grouping_for_wheel[Material],0)))</f>
        <v>1</v>
      </c>
    </row>
    <row r="532" spans="1:4">
      <c r="A532" t="s">
        <v>2210</v>
      </c>
      <c r="B532">
        <v>5</v>
      </c>
      <c r="C532">
        <v>115</v>
      </c>
      <c r="D532" t="b">
        <f ca="1">EXACT(Table15[[#This Row],[RoC selected PV]],INDEX(FINI_grouping_for_wheel[RoC selected PV],MATCH(Table15[[#This Row],[Material]],FINI_grouping_for_wheel[Material],0)))</f>
        <v>1</v>
      </c>
    </row>
    <row r="533" spans="1:4">
      <c r="A533" t="s">
        <v>2213</v>
      </c>
      <c r="B533">
        <v>5</v>
      </c>
      <c r="C533">
        <v>115</v>
      </c>
      <c r="D533" t="b">
        <f ca="1">EXACT(Table15[[#This Row],[RoC selected PV]],INDEX(FINI_grouping_for_wheel[RoC selected PV],MATCH(Table15[[#This Row],[Material]],FINI_grouping_for_wheel[Material],0)))</f>
        <v>1</v>
      </c>
    </row>
    <row r="534" spans="1:4">
      <c r="A534" t="s">
        <v>2218</v>
      </c>
      <c r="B534">
        <v>11</v>
      </c>
      <c r="C534">
        <v>141</v>
      </c>
      <c r="D534" t="b">
        <f ca="1">EXACT(Table15[[#This Row],[RoC selected PV]],INDEX(FINI_grouping_for_wheel[RoC selected PV],MATCH(Table15[[#This Row],[Material]],FINI_grouping_for_wheel[Material],0)))</f>
        <v>1</v>
      </c>
    </row>
    <row r="535" spans="1:4">
      <c r="A535" t="s">
        <v>2221</v>
      </c>
      <c r="B535">
        <v>10</v>
      </c>
      <c r="C535">
        <v>99</v>
      </c>
      <c r="D535" t="b">
        <f ca="1">EXACT(Table15[[#This Row],[RoC selected PV]],INDEX(FINI_grouping_for_wheel[RoC selected PV],MATCH(Table15[[#This Row],[Material]],FINI_grouping_for_wheel[Material],0)))</f>
        <v>1</v>
      </c>
    </row>
    <row r="536" spans="1:4">
      <c r="A536" t="s">
        <v>2224</v>
      </c>
      <c r="B536">
        <v>11</v>
      </c>
      <c r="C536">
        <v>141</v>
      </c>
      <c r="D536" t="b">
        <f ca="1">EXACT(Table15[[#This Row],[RoC selected PV]],INDEX(FINI_grouping_for_wheel[RoC selected PV],MATCH(Table15[[#This Row],[Material]],FINI_grouping_for_wheel[Material],0)))</f>
        <v>1</v>
      </c>
    </row>
    <row r="537" spans="1:4">
      <c r="A537" t="s">
        <v>2227</v>
      </c>
      <c r="B537">
        <v>11</v>
      </c>
      <c r="C537">
        <v>141</v>
      </c>
      <c r="D537" t="b">
        <f ca="1">EXACT(Table15[[#This Row],[RoC selected PV]],INDEX(FINI_grouping_for_wheel[RoC selected PV],MATCH(Table15[[#This Row],[Material]],FINI_grouping_for_wheel[Material],0)))</f>
        <v>1</v>
      </c>
    </row>
    <row r="538" spans="1:4">
      <c r="A538" t="s">
        <v>2232</v>
      </c>
      <c r="B538">
        <v>10</v>
      </c>
      <c r="C538">
        <v>99</v>
      </c>
      <c r="D538" t="b">
        <f ca="1">EXACT(Table15[[#This Row],[RoC selected PV]],INDEX(FINI_grouping_for_wheel[RoC selected PV],MATCH(Table15[[#This Row],[Material]],FINI_grouping_for_wheel[Material],0)))</f>
        <v>1</v>
      </c>
    </row>
    <row r="539" spans="1:4">
      <c r="A539" t="s">
        <v>2237</v>
      </c>
      <c r="B539">
        <v>8</v>
      </c>
      <c r="C539">
        <v>75</v>
      </c>
      <c r="D539" t="b">
        <f ca="1">EXACT(Table15[[#This Row],[RoC selected PV]],INDEX(FINI_grouping_for_wheel[RoC selected PV],MATCH(Table15[[#This Row],[Material]],FINI_grouping_for_wheel[Material],0)))</f>
        <v>1</v>
      </c>
    </row>
    <row r="540" spans="1:4">
      <c r="A540" t="s">
        <v>2240</v>
      </c>
      <c r="B540">
        <v>8</v>
      </c>
      <c r="C540">
        <v>75</v>
      </c>
      <c r="D540" t="b">
        <f ca="1">EXACT(Table15[[#This Row],[RoC selected PV]],INDEX(FINI_grouping_for_wheel[RoC selected PV],MATCH(Table15[[#This Row],[Material]],FINI_grouping_for_wheel[Material],0)))</f>
        <v>1</v>
      </c>
    </row>
    <row r="541" spans="1:4">
      <c r="A541" t="s">
        <v>2245</v>
      </c>
      <c r="B541">
        <v>3</v>
      </c>
      <c r="C541">
        <v>26</v>
      </c>
      <c r="D541" t="b">
        <f ca="1">EXACT(Table15[[#This Row],[RoC selected PV]],INDEX(FINI_grouping_for_wheel[RoC selected PV],MATCH(Table15[[#This Row],[Material]],FINI_grouping_for_wheel[Material],0)))</f>
        <v>1</v>
      </c>
    </row>
    <row r="542" spans="1:4">
      <c r="A542" t="s">
        <v>2250</v>
      </c>
      <c r="B542">
        <v>1</v>
      </c>
      <c r="C542">
        <v>13</v>
      </c>
      <c r="D542" t="b">
        <f ca="1">EXACT(Table15[[#This Row],[RoC selected PV]],INDEX(FINI_grouping_for_wheel[RoC selected PV],MATCH(Table15[[#This Row],[Material]],FINI_grouping_for_wheel[Material],0)))</f>
        <v>1</v>
      </c>
    </row>
    <row r="543" spans="1:4">
      <c r="A543" t="s">
        <v>2255</v>
      </c>
      <c r="B543">
        <v>2</v>
      </c>
      <c r="C543">
        <v>19</v>
      </c>
      <c r="D543" t="b">
        <f ca="1">EXACT(Table15[[#This Row],[RoC selected PV]],INDEX(FINI_grouping_for_wheel[RoC selected PV],MATCH(Table15[[#This Row],[Material]],FINI_grouping_for_wheel[Material],0)))</f>
        <v>1</v>
      </c>
    </row>
    <row r="544" spans="1:4">
      <c r="A544" t="s">
        <v>2261</v>
      </c>
      <c r="B544">
        <v>2</v>
      </c>
      <c r="C544">
        <v>39</v>
      </c>
      <c r="D544" t="b">
        <f ca="1">EXACT(Table15[[#This Row],[RoC selected PV]],INDEX(FINI_grouping_for_wheel[RoC selected PV],MATCH(Table15[[#This Row],[Material]],FINI_grouping_for_wheel[Material],0)))</f>
        <v>1</v>
      </c>
    </row>
    <row r="545" spans="1:4">
      <c r="A545" t="s">
        <v>2265</v>
      </c>
      <c r="B545">
        <v>3</v>
      </c>
      <c r="C545">
        <v>58</v>
      </c>
      <c r="D545" t="b">
        <f ca="1">EXACT(Table15[[#This Row],[RoC selected PV]],INDEX(FINI_grouping_for_wheel[RoC selected PV],MATCH(Table15[[#This Row],[Material]],FINI_grouping_for_wheel[Material],0)))</f>
        <v>1</v>
      </c>
    </row>
    <row r="546" spans="1:4">
      <c r="A546" t="s">
        <v>2268</v>
      </c>
      <c r="B546">
        <v>1</v>
      </c>
      <c r="C546">
        <v>6</v>
      </c>
      <c r="D546" t="b">
        <f ca="1">EXACT(Table15[[#This Row],[RoC selected PV]],INDEX(FINI_grouping_for_wheel[RoC selected PV],MATCH(Table15[[#This Row],[Material]],FINI_grouping_for_wheel[Material],0)))</f>
        <v>1</v>
      </c>
    </row>
    <row r="547" spans="1:4">
      <c r="A547" t="s">
        <v>2273</v>
      </c>
      <c r="B547">
        <v>3</v>
      </c>
      <c r="C547">
        <v>58</v>
      </c>
      <c r="D547" t="b">
        <f ca="1">EXACT(Table15[[#This Row],[RoC selected PV]],INDEX(FINI_grouping_for_wheel[RoC selected PV],MATCH(Table15[[#This Row],[Material]],FINI_grouping_for_wheel[Material],0)))</f>
        <v>1</v>
      </c>
    </row>
    <row r="548" spans="1:4">
      <c r="A548" t="s">
        <v>2276</v>
      </c>
      <c r="B548">
        <v>2</v>
      </c>
      <c r="C548">
        <v>39</v>
      </c>
      <c r="D548" t="b">
        <f ca="1">EXACT(Table15[[#This Row],[RoC selected PV]],INDEX(FINI_grouping_for_wheel[RoC selected PV],MATCH(Table15[[#This Row],[Material]],FINI_grouping_for_wheel[Material],0)))</f>
        <v>1</v>
      </c>
    </row>
    <row r="549" spans="1:4">
      <c r="A549" t="s">
        <v>2282</v>
      </c>
      <c r="B549">
        <v>3</v>
      </c>
      <c r="C549">
        <v>581</v>
      </c>
      <c r="D549" t="b">
        <f ca="1">EXACT(Table15[[#This Row],[RoC selected PV]],INDEX(FINI_grouping_for_wheel[RoC selected PV],MATCH(Table15[[#This Row],[Material]],FINI_grouping_for_wheel[Material],0)))</f>
        <v>1</v>
      </c>
    </row>
    <row r="550" spans="1:4">
      <c r="A550" t="s">
        <v>2286</v>
      </c>
      <c r="B550">
        <v>3</v>
      </c>
      <c r="C550">
        <v>581</v>
      </c>
      <c r="D550" t="b">
        <f ca="1">EXACT(Table15[[#This Row],[RoC selected PV]],INDEX(FINI_grouping_for_wheel[RoC selected PV],MATCH(Table15[[#This Row],[Material]],FINI_grouping_for_wheel[Material],0)))</f>
        <v>1</v>
      </c>
    </row>
    <row r="551" spans="1:4">
      <c r="A551" t="s">
        <v>2289</v>
      </c>
      <c r="B551">
        <v>2</v>
      </c>
      <c r="C551">
        <v>44</v>
      </c>
      <c r="D551" t="b">
        <f ca="1">EXACT(Table15[[#This Row],[RoC selected PV]],INDEX(FINI_grouping_for_wheel[RoC selected PV],MATCH(Table15[[#This Row],[Material]],FINI_grouping_for_wheel[Material],0)))</f>
        <v>1</v>
      </c>
    </row>
    <row r="552" spans="1:4">
      <c r="A552" t="s">
        <v>2294</v>
      </c>
      <c r="B552">
        <v>2</v>
      </c>
      <c r="C552">
        <v>44</v>
      </c>
      <c r="D552" t="b">
        <f ca="1">EXACT(Table15[[#This Row],[RoC selected PV]],INDEX(FINI_grouping_for_wheel[RoC selected PV],MATCH(Table15[[#This Row],[Material]],FINI_grouping_for_wheel[Material],0)))</f>
        <v>1</v>
      </c>
    </row>
    <row r="553" spans="1:4">
      <c r="A553" t="s">
        <v>2299</v>
      </c>
      <c r="B553">
        <v>3</v>
      </c>
      <c r="C553">
        <v>581</v>
      </c>
      <c r="D553" t="b">
        <f ca="1">EXACT(Table15[[#This Row],[RoC selected PV]],INDEX(FINI_grouping_for_wheel[RoC selected PV],MATCH(Table15[[#This Row],[Material]],FINI_grouping_for_wheel[Material],0)))</f>
        <v>1</v>
      </c>
    </row>
    <row r="554" spans="1:4">
      <c r="A554" t="s">
        <v>2302</v>
      </c>
      <c r="B554">
        <v>4</v>
      </c>
      <c r="C554">
        <v>30</v>
      </c>
      <c r="D554" t="b">
        <f ca="1">EXACT(Table15[[#This Row],[RoC selected PV]],INDEX(FINI_grouping_for_wheel[RoC selected PV],MATCH(Table15[[#This Row],[Material]],FINI_grouping_for_wheel[Material],0)))</f>
        <v>1</v>
      </c>
    </row>
    <row r="555" spans="1:4">
      <c r="A555" t="s">
        <v>2307</v>
      </c>
      <c r="B555">
        <v>5</v>
      </c>
      <c r="C555">
        <v>187</v>
      </c>
      <c r="D555" t="b">
        <f ca="1">EXACT(Table15[[#This Row],[RoC selected PV]],INDEX(FINI_grouping_for_wheel[RoC selected PV],MATCH(Table15[[#This Row],[Material]],FINI_grouping_for_wheel[Material],0)))</f>
        <v>1</v>
      </c>
    </row>
    <row r="556" spans="1:4">
      <c r="A556" t="s">
        <v>2312</v>
      </c>
      <c r="B556">
        <v>5</v>
      </c>
      <c r="C556">
        <v>187</v>
      </c>
      <c r="D556" t="b">
        <f ca="1">EXACT(Table15[[#This Row],[RoC selected PV]],INDEX(FINI_grouping_for_wheel[RoC selected PV],MATCH(Table15[[#This Row],[Material]],FINI_grouping_for_wheel[Material],0)))</f>
        <v>1</v>
      </c>
    </row>
    <row r="557" spans="1:4">
      <c r="A557" t="s">
        <v>2317</v>
      </c>
      <c r="B557">
        <v>1</v>
      </c>
      <c r="C557">
        <v>13</v>
      </c>
      <c r="D557" t="b">
        <f ca="1">EXACT(Table15[[#This Row],[RoC selected PV]],INDEX(FINI_grouping_for_wheel[RoC selected PV],MATCH(Table15[[#This Row],[Material]],FINI_grouping_for_wheel[Material],0)))</f>
        <v>1</v>
      </c>
    </row>
    <row r="558" spans="1:4">
      <c r="A558" t="s">
        <v>2322</v>
      </c>
      <c r="B558">
        <v>1</v>
      </c>
      <c r="C558">
        <v>13</v>
      </c>
      <c r="D558" t="b">
        <f ca="1">EXACT(Table15[[#This Row],[RoC selected PV]],INDEX(FINI_grouping_for_wheel[RoC selected PV],MATCH(Table15[[#This Row],[Material]],FINI_grouping_for_wheel[Material],0)))</f>
        <v>1</v>
      </c>
    </row>
    <row r="559" spans="1:4">
      <c r="A559" t="s">
        <v>2328</v>
      </c>
      <c r="B559">
        <v>4</v>
      </c>
      <c r="C559">
        <v>293</v>
      </c>
      <c r="D559" t="b">
        <f ca="1">EXACT(Table15[[#This Row],[RoC selected PV]],INDEX(FINI_grouping_for_wheel[RoC selected PV],MATCH(Table15[[#This Row],[Material]],FINI_grouping_for_wheel[Material],0)))</f>
        <v>1</v>
      </c>
    </row>
    <row r="560" spans="1:4">
      <c r="A560" t="s">
        <v>2332</v>
      </c>
      <c r="B560">
        <v>4</v>
      </c>
      <c r="C560">
        <v>293</v>
      </c>
      <c r="D560" t="b">
        <f ca="1">EXACT(Table15[[#This Row],[RoC selected PV]],INDEX(FINI_grouping_for_wheel[RoC selected PV],MATCH(Table15[[#This Row],[Material]],FINI_grouping_for_wheel[Material],0)))</f>
        <v>1</v>
      </c>
    </row>
    <row r="561" spans="1:4">
      <c r="A561" t="s">
        <v>2335</v>
      </c>
      <c r="B561">
        <v>5</v>
      </c>
      <c r="C561">
        <v>75</v>
      </c>
      <c r="D561" t="b">
        <f ca="1">EXACT(Table15[[#This Row],[RoC selected PV]],INDEX(FINI_grouping_for_wheel[RoC selected PV],MATCH(Table15[[#This Row],[Material]],FINI_grouping_for_wheel[Material],0)))</f>
        <v>1</v>
      </c>
    </row>
    <row r="562" spans="1:4">
      <c r="A562" t="s">
        <v>2338</v>
      </c>
      <c r="B562">
        <v>5</v>
      </c>
      <c r="C562">
        <v>75</v>
      </c>
      <c r="D562" t="b">
        <f ca="1">EXACT(Table15[[#This Row],[RoC selected PV]],INDEX(FINI_grouping_for_wheel[RoC selected PV],MATCH(Table15[[#This Row],[Material]],FINI_grouping_for_wheel[Material],0)))</f>
        <v>1</v>
      </c>
    </row>
    <row r="563" spans="1:4">
      <c r="A563" t="s">
        <v>2341</v>
      </c>
      <c r="B563">
        <v>4</v>
      </c>
      <c r="C563">
        <v>293</v>
      </c>
      <c r="D563" t="b">
        <f ca="1">EXACT(Table15[[#This Row],[RoC selected PV]],INDEX(FINI_grouping_for_wheel[RoC selected PV],MATCH(Table15[[#This Row],[Material]],FINI_grouping_for_wheel[Material],0)))</f>
        <v>1</v>
      </c>
    </row>
    <row r="564" spans="1:4">
      <c r="A564" t="s">
        <v>2344</v>
      </c>
      <c r="B564">
        <v>4</v>
      </c>
      <c r="C564">
        <v>293</v>
      </c>
      <c r="D564" t="b">
        <f ca="1">EXACT(Table15[[#This Row],[RoC selected PV]],INDEX(FINI_grouping_for_wheel[RoC selected PV],MATCH(Table15[[#This Row],[Material]],FINI_grouping_for_wheel[Material],0)))</f>
        <v>1</v>
      </c>
    </row>
    <row r="565" spans="1:4">
      <c r="A565" t="s">
        <v>2347</v>
      </c>
      <c r="B565">
        <v>3</v>
      </c>
      <c r="C565">
        <v>45</v>
      </c>
      <c r="D565" t="b">
        <f ca="1">EXACT(Table15[[#This Row],[RoC selected PV]],INDEX(FINI_grouping_for_wheel[RoC selected PV],MATCH(Table15[[#This Row],[Material]],FINI_grouping_for_wheel[Material],0)))</f>
        <v>1</v>
      </c>
    </row>
    <row r="566" spans="1:4">
      <c r="A566" t="s">
        <v>2352</v>
      </c>
      <c r="B566">
        <v>3</v>
      </c>
      <c r="C566">
        <v>45</v>
      </c>
      <c r="D566" t="b">
        <f ca="1">EXACT(Table15[[#This Row],[RoC selected PV]],INDEX(FINI_grouping_for_wheel[RoC selected PV],MATCH(Table15[[#This Row],[Material]],FINI_grouping_for_wheel[Material],0)))</f>
        <v>1</v>
      </c>
    </row>
    <row r="567" spans="1:4">
      <c r="A567" t="s">
        <v>2357</v>
      </c>
      <c r="B567">
        <v>1</v>
      </c>
      <c r="C567">
        <v>8</v>
      </c>
      <c r="D567" t="b">
        <f ca="1">EXACT(Table15[[#This Row],[RoC selected PV]],INDEX(FINI_grouping_for_wheel[RoC selected PV],MATCH(Table15[[#This Row],[Material]],FINI_grouping_for_wheel[Material],0)))</f>
        <v>1</v>
      </c>
    </row>
    <row r="568" spans="1:4">
      <c r="A568" t="s">
        <v>2360</v>
      </c>
      <c r="B568">
        <v>2</v>
      </c>
      <c r="C568">
        <v>20</v>
      </c>
      <c r="D568" t="b">
        <f ca="1">EXACT(Table15[[#This Row],[RoC selected PV]],INDEX(FINI_grouping_for_wheel[RoC selected PV],MATCH(Table15[[#This Row],[Material]],FINI_grouping_for_wheel[Material],0)))</f>
        <v>1</v>
      </c>
    </row>
    <row r="569" spans="1:4">
      <c r="A569" t="s">
        <v>2366</v>
      </c>
      <c r="B569">
        <v>7</v>
      </c>
      <c r="C569">
        <v>175</v>
      </c>
      <c r="D569" t="b">
        <f ca="1">EXACT(Table15[[#This Row],[RoC selected PV]],INDEX(FINI_grouping_for_wheel[RoC selected PV],MATCH(Table15[[#This Row],[Material]],FINI_grouping_for_wheel[Material],0)))</f>
        <v>1</v>
      </c>
    </row>
    <row r="570" spans="1:4">
      <c r="A570" t="s">
        <v>2370</v>
      </c>
      <c r="B570">
        <v>3</v>
      </c>
      <c r="C570">
        <v>134</v>
      </c>
      <c r="D570" t="b">
        <f ca="1">EXACT(Table15[[#This Row],[RoC selected PV]],INDEX(FINI_grouping_for_wheel[RoC selected PV],MATCH(Table15[[#This Row],[Material]],FINI_grouping_for_wheel[Material],0)))</f>
        <v>1</v>
      </c>
    </row>
    <row r="571" spans="1:4">
      <c r="A571" t="s">
        <v>2373</v>
      </c>
      <c r="B571">
        <v>7</v>
      </c>
      <c r="C571">
        <v>175</v>
      </c>
      <c r="D571" t="b">
        <f ca="1">EXACT(Table15[[#This Row],[RoC selected PV]],INDEX(FINI_grouping_for_wheel[RoC selected PV],MATCH(Table15[[#This Row],[Material]],FINI_grouping_for_wheel[Material],0)))</f>
        <v>1</v>
      </c>
    </row>
    <row r="572" spans="1:4">
      <c r="A572" t="s">
        <v>2376</v>
      </c>
      <c r="B572">
        <v>3</v>
      </c>
      <c r="C572">
        <v>134</v>
      </c>
      <c r="D572" t="b">
        <f ca="1">EXACT(Table15[[#This Row],[RoC selected PV]],INDEX(FINI_grouping_for_wheel[RoC selected PV],MATCH(Table15[[#This Row],[Material]],FINI_grouping_for_wheel[Material],0)))</f>
        <v>1</v>
      </c>
    </row>
    <row r="573" spans="1:4">
      <c r="A573" t="s">
        <v>2379</v>
      </c>
      <c r="B573">
        <v>7</v>
      </c>
      <c r="C573">
        <v>175</v>
      </c>
      <c r="D573" t="b">
        <f ca="1">EXACT(Table15[[#This Row],[RoC selected PV]],INDEX(FINI_grouping_for_wheel[RoC selected PV],MATCH(Table15[[#This Row],[Material]],FINI_grouping_for_wheel[Material],0)))</f>
        <v>1</v>
      </c>
    </row>
    <row r="574" spans="1:4">
      <c r="A574" t="s">
        <v>2382</v>
      </c>
      <c r="B574">
        <v>7</v>
      </c>
      <c r="C574">
        <v>175</v>
      </c>
      <c r="D574" t="b">
        <f ca="1">EXACT(Table15[[#This Row],[RoC selected PV]],INDEX(FINI_grouping_for_wheel[RoC selected PV],MATCH(Table15[[#This Row],[Material]],FINI_grouping_for_wheel[Material],0)))</f>
        <v>1</v>
      </c>
    </row>
    <row r="575" spans="1:4">
      <c r="A575" t="s">
        <v>2385</v>
      </c>
      <c r="B575">
        <v>5</v>
      </c>
      <c r="C575">
        <v>120</v>
      </c>
      <c r="D575" t="b">
        <f ca="1">EXACT(Table15[[#This Row],[RoC selected PV]],INDEX(FINI_grouping_for_wheel[RoC selected PV],MATCH(Table15[[#This Row],[Material]],FINI_grouping_for_wheel[Material],0)))</f>
        <v>1</v>
      </c>
    </row>
    <row r="576" spans="1:4">
      <c r="A576" t="s">
        <v>2390</v>
      </c>
      <c r="B576">
        <v>4</v>
      </c>
      <c r="C576">
        <v>136</v>
      </c>
      <c r="D576" t="b">
        <f ca="1">EXACT(Table15[[#This Row],[RoC selected PV]],INDEX(FINI_grouping_for_wheel[RoC selected PV],MATCH(Table15[[#This Row],[Material]],FINI_grouping_for_wheel[Material],0)))</f>
        <v>1</v>
      </c>
    </row>
    <row r="577" spans="1:4">
      <c r="A577" t="s">
        <v>2395</v>
      </c>
      <c r="B577">
        <v>2</v>
      </c>
      <c r="C577">
        <v>190</v>
      </c>
      <c r="D577" t="b">
        <f ca="1">EXACT(Table15[[#This Row],[RoC selected PV]],INDEX(FINI_grouping_for_wheel[RoC selected PV],MATCH(Table15[[#This Row],[Material]],FINI_grouping_for_wheel[Material],0)))</f>
        <v>1</v>
      </c>
    </row>
    <row r="578" spans="1:4">
      <c r="A578" t="s">
        <v>2398</v>
      </c>
      <c r="B578">
        <v>6</v>
      </c>
      <c r="C578">
        <v>80</v>
      </c>
      <c r="D578" t="b">
        <f ca="1">EXACT(Table15[[#This Row],[RoC selected PV]],INDEX(FINI_grouping_for_wheel[RoC selected PV],MATCH(Table15[[#This Row],[Material]],FINI_grouping_for_wheel[Material],0)))</f>
        <v>1</v>
      </c>
    </row>
    <row r="579" spans="1:4">
      <c r="A579" t="s">
        <v>2401</v>
      </c>
      <c r="B579">
        <v>12</v>
      </c>
      <c r="C579">
        <v>142</v>
      </c>
      <c r="D579" t="b">
        <f ca="1">EXACT(Table15[[#This Row],[RoC selected PV]],INDEX(FINI_grouping_for_wheel[RoC selected PV],MATCH(Table15[[#This Row],[Material]],FINI_grouping_for_wheel[Material],0)))</f>
        <v>1</v>
      </c>
    </row>
    <row r="580" spans="1:4">
      <c r="A580" t="s">
        <v>2404</v>
      </c>
      <c r="B580">
        <v>7</v>
      </c>
      <c r="C580">
        <v>175</v>
      </c>
      <c r="D580" t="b">
        <f ca="1">EXACT(Table15[[#This Row],[RoC selected PV]],INDEX(FINI_grouping_for_wheel[RoC selected PV],MATCH(Table15[[#This Row],[Material]],FINI_grouping_for_wheel[Material],0)))</f>
        <v>1</v>
      </c>
    </row>
    <row r="581" spans="1:4">
      <c r="A581" t="s">
        <v>2407</v>
      </c>
      <c r="B581">
        <v>9</v>
      </c>
      <c r="C581">
        <v>180</v>
      </c>
      <c r="D581" t="b">
        <f ca="1">EXACT(Table15[[#This Row],[RoC selected PV]],INDEX(FINI_grouping_for_wheel[RoC selected PV],MATCH(Table15[[#This Row],[Material]],FINI_grouping_for_wheel[Material],0)))</f>
        <v>1</v>
      </c>
    </row>
    <row r="582" spans="1:4">
      <c r="A582" t="s">
        <v>2410</v>
      </c>
      <c r="B582">
        <v>2</v>
      </c>
      <c r="C582">
        <v>190</v>
      </c>
      <c r="D582" t="b">
        <f ca="1">EXACT(Table15[[#This Row],[RoC selected PV]],INDEX(FINI_grouping_for_wheel[RoC selected PV],MATCH(Table15[[#This Row],[Material]],FINI_grouping_for_wheel[Material],0)))</f>
        <v>1</v>
      </c>
    </row>
    <row r="583" spans="1:4">
      <c r="A583" t="s">
        <v>2413</v>
      </c>
      <c r="B583">
        <v>3</v>
      </c>
      <c r="C583">
        <v>134</v>
      </c>
      <c r="D583" t="b">
        <f ca="1">EXACT(Table15[[#This Row],[RoC selected PV]],INDEX(FINI_grouping_for_wheel[RoC selected PV],MATCH(Table15[[#This Row],[Material]],FINI_grouping_for_wheel[Material],0)))</f>
        <v>1</v>
      </c>
    </row>
    <row r="584" spans="1:4">
      <c r="A584" t="s">
        <v>2416</v>
      </c>
      <c r="B584">
        <v>10</v>
      </c>
      <c r="C584">
        <v>244</v>
      </c>
      <c r="D584" t="b">
        <f ca="1">EXACT(Table15[[#This Row],[RoC selected PV]],INDEX(FINI_grouping_for_wheel[RoC selected PV],MATCH(Table15[[#This Row],[Material]],FINI_grouping_for_wheel[Material],0)))</f>
        <v>1</v>
      </c>
    </row>
    <row r="585" spans="1:4">
      <c r="A585" t="s">
        <v>2419</v>
      </c>
      <c r="B585">
        <v>5</v>
      </c>
      <c r="C585">
        <v>120</v>
      </c>
      <c r="D585" t="b">
        <f ca="1">EXACT(Table15[[#This Row],[RoC selected PV]],INDEX(FINI_grouping_for_wheel[RoC selected PV],MATCH(Table15[[#This Row],[Material]],FINI_grouping_for_wheel[Material],0)))</f>
        <v>1</v>
      </c>
    </row>
    <row r="586" spans="1:4">
      <c r="A586" t="s">
        <v>2424</v>
      </c>
      <c r="B586">
        <v>11</v>
      </c>
      <c r="C586">
        <v>112</v>
      </c>
      <c r="D586" t="b">
        <f ca="1">EXACT(Table15[[#This Row],[RoC selected PV]],INDEX(FINI_grouping_for_wheel[RoC selected PV],MATCH(Table15[[#This Row],[Material]],FINI_grouping_for_wheel[Material],0)))</f>
        <v>1</v>
      </c>
    </row>
    <row r="587" spans="1:4">
      <c r="A587" t="s">
        <v>2429</v>
      </c>
      <c r="B587">
        <v>12</v>
      </c>
      <c r="C587">
        <v>142</v>
      </c>
      <c r="D587" t="b">
        <f ca="1">EXACT(Table15[[#This Row],[RoC selected PV]],INDEX(FINI_grouping_for_wheel[RoC selected PV],MATCH(Table15[[#This Row],[Material]],FINI_grouping_for_wheel[Material],0)))</f>
        <v>1</v>
      </c>
    </row>
    <row r="588" spans="1:4">
      <c r="A588" t="s">
        <v>2432</v>
      </c>
      <c r="B588">
        <v>2</v>
      </c>
      <c r="C588">
        <v>190</v>
      </c>
      <c r="D588" t="b">
        <f ca="1">EXACT(Table15[[#This Row],[RoC selected PV]],INDEX(FINI_grouping_for_wheel[RoC selected PV],MATCH(Table15[[#This Row],[Material]],FINI_grouping_for_wheel[Material],0)))</f>
        <v>1</v>
      </c>
    </row>
    <row r="589" spans="1:4">
      <c r="A589" t="s">
        <v>2435</v>
      </c>
      <c r="B589">
        <v>4</v>
      </c>
      <c r="C589">
        <v>136</v>
      </c>
      <c r="D589" t="b">
        <f ca="1">EXACT(Table15[[#This Row],[RoC selected PV]],INDEX(FINI_grouping_for_wheel[RoC selected PV],MATCH(Table15[[#This Row],[Material]],FINI_grouping_for_wheel[Material],0)))</f>
        <v>1</v>
      </c>
    </row>
    <row r="590" spans="1:4">
      <c r="A590" t="s">
        <v>2438</v>
      </c>
      <c r="B590">
        <v>9</v>
      </c>
      <c r="C590">
        <v>180</v>
      </c>
      <c r="D590" t="b">
        <f ca="1">EXACT(Table15[[#This Row],[RoC selected PV]],INDEX(FINI_grouping_for_wheel[RoC selected PV],MATCH(Table15[[#This Row],[Material]],FINI_grouping_for_wheel[Material],0)))</f>
        <v>1</v>
      </c>
    </row>
    <row r="591" spans="1:4">
      <c r="A591" t="s">
        <v>2441</v>
      </c>
      <c r="B591">
        <v>2</v>
      </c>
      <c r="C591">
        <v>190</v>
      </c>
      <c r="D591" t="b">
        <f ca="1">EXACT(Table15[[#This Row],[RoC selected PV]],INDEX(FINI_grouping_for_wheel[RoC selected PV],MATCH(Table15[[#This Row],[Material]],FINI_grouping_for_wheel[Material],0)))</f>
        <v>1</v>
      </c>
    </row>
    <row r="592" spans="1:4">
      <c r="A592" t="s">
        <v>2444</v>
      </c>
      <c r="B592">
        <v>6</v>
      </c>
      <c r="C592">
        <v>80</v>
      </c>
      <c r="D592" t="b">
        <f ca="1">EXACT(Table15[[#This Row],[RoC selected PV]],INDEX(FINI_grouping_for_wheel[RoC selected PV],MATCH(Table15[[#This Row],[Material]],FINI_grouping_for_wheel[Material],0)))</f>
        <v>1</v>
      </c>
    </row>
    <row r="593" spans="1:4">
      <c r="A593" t="s">
        <v>2447</v>
      </c>
      <c r="B593">
        <v>8</v>
      </c>
      <c r="C593">
        <v>144</v>
      </c>
      <c r="D593" t="b">
        <f ca="1">EXACT(Table15[[#This Row],[RoC selected PV]],INDEX(FINI_grouping_for_wheel[RoC selected PV],MATCH(Table15[[#This Row],[Material]],FINI_grouping_for_wheel[Material],0)))</f>
        <v>1</v>
      </c>
    </row>
    <row r="594" spans="1:4">
      <c r="A594" t="s">
        <v>2450</v>
      </c>
      <c r="B594">
        <v>12</v>
      </c>
      <c r="C594">
        <v>142</v>
      </c>
      <c r="D594" t="b">
        <f ca="1">EXACT(Table15[[#This Row],[RoC selected PV]],INDEX(FINI_grouping_for_wheel[RoC selected PV],MATCH(Table15[[#This Row],[Material]],FINI_grouping_for_wheel[Material],0)))</f>
        <v>1</v>
      </c>
    </row>
    <row r="595" spans="1:4">
      <c r="A595" t="s">
        <v>2453</v>
      </c>
      <c r="B595">
        <v>11</v>
      </c>
      <c r="C595">
        <v>112</v>
      </c>
      <c r="D595" t="b">
        <f ca="1">EXACT(Table15[[#This Row],[RoC selected PV]],INDEX(FINI_grouping_for_wheel[RoC selected PV],MATCH(Table15[[#This Row],[Material]],FINI_grouping_for_wheel[Material],0)))</f>
        <v>1</v>
      </c>
    </row>
    <row r="596" spans="1:4">
      <c r="A596" t="s">
        <v>2458</v>
      </c>
      <c r="B596">
        <v>9</v>
      </c>
      <c r="C596">
        <v>180</v>
      </c>
      <c r="D596" t="b">
        <f ca="1">EXACT(Table15[[#This Row],[RoC selected PV]],INDEX(FINI_grouping_for_wheel[RoC selected PV],MATCH(Table15[[#This Row],[Material]],FINI_grouping_for_wheel[Material],0)))</f>
        <v>1</v>
      </c>
    </row>
    <row r="597" spans="1:4">
      <c r="A597" t="s">
        <v>2461</v>
      </c>
      <c r="B597">
        <v>13</v>
      </c>
      <c r="C597">
        <v>166</v>
      </c>
      <c r="D597" t="b">
        <f ca="1">EXACT(Table15[[#This Row],[RoC selected PV]],INDEX(FINI_grouping_for_wheel[RoC selected PV],MATCH(Table15[[#This Row],[Material]],FINI_grouping_for_wheel[Material],0)))</f>
        <v>1</v>
      </c>
    </row>
    <row r="598" spans="1:4">
      <c r="A598" t="s">
        <v>2464</v>
      </c>
      <c r="B598">
        <v>14</v>
      </c>
      <c r="C598">
        <v>151</v>
      </c>
      <c r="D598" t="b">
        <f ca="1">EXACT(Table15[[#This Row],[RoC selected PV]],INDEX(FINI_grouping_for_wheel[RoC selected PV],MATCH(Table15[[#This Row],[Material]],FINI_grouping_for_wheel[Material],0)))</f>
        <v>1</v>
      </c>
    </row>
    <row r="599" spans="1:4">
      <c r="A599" t="s">
        <v>2467</v>
      </c>
      <c r="B599">
        <v>13</v>
      </c>
      <c r="C599">
        <v>166</v>
      </c>
      <c r="D599" t="b">
        <f ca="1">EXACT(Table15[[#This Row],[RoC selected PV]],INDEX(FINI_grouping_for_wheel[RoC selected PV],MATCH(Table15[[#This Row],[Material]],FINI_grouping_for_wheel[Material],0)))</f>
        <v>1</v>
      </c>
    </row>
    <row r="600" spans="1:4">
      <c r="A600" t="s">
        <v>2470</v>
      </c>
      <c r="B600">
        <v>3</v>
      </c>
      <c r="C600">
        <v>134</v>
      </c>
      <c r="D600" t="b">
        <f ca="1">EXACT(Table15[[#This Row],[RoC selected PV]],INDEX(FINI_grouping_for_wheel[RoC selected PV],MATCH(Table15[[#This Row],[Material]],FINI_grouping_for_wheel[Material],0)))</f>
        <v>1</v>
      </c>
    </row>
    <row r="601" spans="1:4">
      <c r="A601" t="s">
        <v>2475</v>
      </c>
      <c r="B601">
        <v>13</v>
      </c>
      <c r="C601">
        <v>166</v>
      </c>
      <c r="D601" t="b">
        <f ca="1">EXACT(Table15[[#This Row],[RoC selected PV]],INDEX(FINI_grouping_for_wheel[RoC selected PV],MATCH(Table15[[#This Row],[Material]],FINI_grouping_for_wheel[Material],0)))</f>
        <v>1</v>
      </c>
    </row>
    <row r="602" spans="1:4">
      <c r="A602" t="s">
        <v>2478</v>
      </c>
      <c r="B602">
        <v>13</v>
      </c>
      <c r="C602">
        <v>166</v>
      </c>
      <c r="D602" t="b">
        <f ca="1">EXACT(Table15[[#This Row],[RoC selected PV]],INDEX(FINI_grouping_for_wheel[RoC selected PV],MATCH(Table15[[#This Row],[Material]],FINI_grouping_for_wheel[Material],0)))</f>
        <v>1</v>
      </c>
    </row>
    <row r="603" spans="1:4">
      <c r="A603" t="s">
        <v>2481</v>
      </c>
      <c r="B603">
        <v>10</v>
      </c>
      <c r="C603">
        <v>244</v>
      </c>
      <c r="D603" t="b">
        <f ca="1">EXACT(Table15[[#This Row],[RoC selected PV]],INDEX(FINI_grouping_for_wheel[RoC selected PV],MATCH(Table15[[#This Row],[Material]],FINI_grouping_for_wheel[Material],0)))</f>
        <v>1</v>
      </c>
    </row>
    <row r="604" spans="1:4">
      <c r="A604" t="s">
        <v>2484</v>
      </c>
      <c r="B604">
        <v>4</v>
      </c>
      <c r="C604">
        <v>136</v>
      </c>
      <c r="D604" t="b">
        <f ca="1">EXACT(Table15[[#This Row],[RoC selected PV]],INDEX(FINI_grouping_for_wheel[RoC selected PV],MATCH(Table15[[#This Row],[Material]],FINI_grouping_for_wheel[Material],0)))</f>
        <v>1</v>
      </c>
    </row>
    <row r="605" spans="1:4">
      <c r="A605" t="s">
        <v>2487</v>
      </c>
      <c r="B605">
        <v>5</v>
      </c>
      <c r="C605">
        <v>120</v>
      </c>
      <c r="D605" t="b">
        <f ca="1">EXACT(Table15[[#This Row],[RoC selected PV]],INDEX(FINI_grouping_for_wheel[RoC selected PV],MATCH(Table15[[#This Row],[Material]],FINI_grouping_for_wheel[Material],0)))</f>
        <v>1</v>
      </c>
    </row>
    <row r="606" spans="1:4">
      <c r="A606" t="s">
        <v>2492</v>
      </c>
      <c r="B606">
        <v>13</v>
      </c>
      <c r="C606">
        <v>166</v>
      </c>
      <c r="D606" t="b">
        <f ca="1">EXACT(Table15[[#This Row],[RoC selected PV]],INDEX(FINI_grouping_for_wheel[RoC selected PV],MATCH(Table15[[#This Row],[Material]],FINI_grouping_for_wheel[Material],0)))</f>
        <v>1</v>
      </c>
    </row>
    <row r="607" spans="1:4">
      <c r="A607" t="s">
        <v>2495</v>
      </c>
      <c r="B607">
        <v>2</v>
      </c>
      <c r="C607">
        <v>190</v>
      </c>
      <c r="D607" t="b">
        <f ca="1">EXACT(Table15[[#This Row],[RoC selected PV]],INDEX(FINI_grouping_for_wheel[RoC selected PV],MATCH(Table15[[#This Row],[Material]],FINI_grouping_for_wheel[Material],0)))</f>
        <v>1</v>
      </c>
    </row>
    <row r="608" spans="1:4">
      <c r="A608" t="s">
        <v>2498</v>
      </c>
      <c r="B608">
        <v>20</v>
      </c>
      <c r="C608">
        <v>64</v>
      </c>
      <c r="D608" t="b">
        <f ca="1">EXACT(Table15[[#This Row],[RoC selected PV]],INDEX(FINI_grouping_for_wheel[RoC selected PV],MATCH(Table15[[#This Row],[Material]],FINI_grouping_for_wheel[Material],0)))</f>
        <v>1</v>
      </c>
    </row>
    <row r="609" spans="1:4">
      <c r="A609" t="s">
        <v>2501</v>
      </c>
      <c r="B609">
        <v>1</v>
      </c>
      <c r="C609">
        <v>11</v>
      </c>
      <c r="D609" t="b">
        <f ca="1">EXACT(Table15[[#This Row],[RoC selected PV]],INDEX(FINI_grouping_for_wheel[RoC selected PV],MATCH(Table15[[#This Row],[Material]],FINI_grouping_for_wheel[Material],0)))</f>
        <v>1</v>
      </c>
    </row>
    <row r="610" spans="1:4">
      <c r="A610" t="s">
        <v>2507</v>
      </c>
      <c r="B610">
        <v>5</v>
      </c>
      <c r="C610">
        <v>438</v>
      </c>
      <c r="D610" t="b">
        <f ca="1">EXACT(Table15[[#This Row],[RoC selected PV]],INDEX(FINI_grouping_for_wheel[RoC selected PV],MATCH(Table15[[#This Row],[Material]],FINI_grouping_for_wheel[Material],0)))</f>
        <v>1</v>
      </c>
    </row>
    <row r="611" spans="1:4">
      <c r="A611" t="s">
        <v>2511</v>
      </c>
      <c r="B611">
        <v>6</v>
      </c>
      <c r="C611">
        <v>241</v>
      </c>
      <c r="D611" t="b">
        <f ca="1">EXACT(Table15[[#This Row],[RoC selected PV]],INDEX(FINI_grouping_for_wheel[RoC selected PV],MATCH(Table15[[#This Row],[Material]],FINI_grouping_for_wheel[Material],0)))</f>
        <v>1</v>
      </c>
    </row>
    <row r="612" spans="1:4">
      <c r="A612" t="s">
        <v>2516</v>
      </c>
      <c r="B612">
        <v>6</v>
      </c>
      <c r="C612">
        <v>241</v>
      </c>
      <c r="D612" t="b">
        <f ca="1">EXACT(Table15[[#This Row],[RoC selected PV]],INDEX(FINI_grouping_for_wheel[RoC selected PV],MATCH(Table15[[#This Row],[Material]],FINI_grouping_for_wheel[Material],0)))</f>
        <v>1</v>
      </c>
    </row>
    <row r="613" spans="1:4">
      <c r="A613" t="s">
        <v>2521</v>
      </c>
      <c r="B613">
        <v>6</v>
      </c>
      <c r="C613">
        <v>241</v>
      </c>
      <c r="D613" t="b">
        <f ca="1">EXACT(Table15[[#This Row],[RoC selected PV]],INDEX(FINI_grouping_for_wheel[RoC selected PV],MATCH(Table15[[#This Row],[Material]],FINI_grouping_for_wheel[Material],0)))</f>
        <v>1</v>
      </c>
    </row>
    <row r="614" spans="1:4">
      <c r="A614" t="s">
        <v>2524</v>
      </c>
      <c r="B614">
        <v>4</v>
      </c>
      <c r="C614">
        <v>96</v>
      </c>
      <c r="D614" t="b">
        <f ca="1">EXACT(Table15[[#This Row],[RoC selected PV]],INDEX(FINI_grouping_for_wheel[RoC selected PV],MATCH(Table15[[#This Row],[Material]],FINI_grouping_for_wheel[Material],0)))</f>
        <v>1</v>
      </c>
    </row>
    <row r="615" spans="1:4">
      <c r="A615" t="s">
        <v>2530</v>
      </c>
      <c r="B615">
        <v>3</v>
      </c>
      <c r="C615">
        <v>212</v>
      </c>
      <c r="D615" t="b">
        <f ca="1">EXACT(Table15[[#This Row],[RoC selected PV]],INDEX(FINI_grouping_for_wheel[RoC selected PV],MATCH(Table15[[#This Row],[Material]],FINI_grouping_for_wheel[Material],0)))</f>
        <v>1</v>
      </c>
    </row>
    <row r="616" spans="1:4">
      <c r="A616" t="s">
        <v>2535</v>
      </c>
      <c r="B616">
        <v>3</v>
      </c>
      <c r="C616">
        <v>212</v>
      </c>
      <c r="D616" t="b">
        <f ca="1">EXACT(Table15[[#This Row],[RoC selected PV]],INDEX(FINI_grouping_for_wheel[RoC selected PV],MATCH(Table15[[#This Row],[Material]],FINI_grouping_for_wheel[Material],0)))</f>
        <v>1</v>
      </c>
    </row>
    <row r="617" spans="1:4">
      <c r="A617" t="s">
        <v>2540</v>
      </c>
      <c r="B617">
        <v>3</v>
      </c>
      <c r="C617">
        <v>212</v>
      </c>
      <c r="D617" t="b">
        <f ca="1">EXACT(Table15[[#This Row],[RoC selected PV]],INDEX(FINI_grouping_for_wheel[RoC selected PV],MATCH(Table15[[#This Row],[Material]],FINI_grouping_for_wheel[Material],0)))</f>
        <v>1</v>
      </c>
    </row>
    <row r="618" spans="1:4">
      <c r="A618" t="s">
        <v>2545</v>
      </c>
      <c r="B618">
        <v>7</v>
      </c>
      <c r="C618">
        <v>289</v>
      </c>
      <c r="D618" t="b">
        <f ca="1">EXACT(Table15[[#This Row],[RoC selected PV]],INDEX(FINI_grouping_for_wheel[RoC selected PV],MATCH(Table15[[#This Row],[Material]],FINI_grouping_for_wheel[Material],0)))</f>
        <v>1</v>
      </c>
    </row>
    <row r="619" spans="1:4">
      <c r="A619" t="s">
        <v>2548</v>
      </c>
      <c r="B619">
        <v>5</v>
      </c>
      <c r="C619">
        <v>438</v>
      </c>
      <c r="D619" t="b">
        <f ca="1">EXACT(Table15[[#This Row],[RoC selected PV]],INDEX(FINI_grouping_for_wheel[RoC selected PV],MATCH(Table15[[#This Row],[Material]],FINI_grouping_for_wheel[Material],0)))</f>
        <v>1</v>
      </c>
    </row>
    <row r="620" spans="1:4">
      <c r="A620" t="s">
        <v>2551</v>
      </c>
      <c r="B620">
        <v>4</v>
      </c>
      <c r="C620">
        <v>96</v>
      </c>
      <c r="D620" t="b">
        <f ca="1">EXACT(Table15[[#This Row],[RoC selected PV]],INDEX(FINI_grouping_for_wheel[RoC selected PV],MATCH(Table15[[#This Row],[Material]],FINI_grouping_for_wheel[Material],0)))</f>
        <v>1</v>
      </c>
    </row>
    <row r="621" spans="1:4">
      <c r="A621" t="s">
        <v>2556</v>
      </c>
      <c r="B621">
        <v>4</v>
      </c>
      <c r="C621">
        <v>96</v>
      </c>
      <c r="D621" t="b">
        <f ca="1">EXACT(Table15[[#This Row],[RoC selected PV]],INDEX(FINI_grouping_for_wheel[RoC selected PV],MATCH(Table15[[#This Row],[Material]],FINI_grouping_for_wheel[Material],0)))</f>
        <v>1</v>
      </c>
    </row>
    <row r="622" spans="1:4">
      <c r="A622" t="s">
        <v>2561</v>
      </c>
      <c r="B622">
        <v>4</v>
      </c>
      <c r="C622">
        <v>96</v>
      </c>
      <c r="D622" t="b">
        <f ca="1">EXACT(Table15[[#This Row],[RoC selected PV]],INDEX(FINI_grouping_for_wheel[RoC selected PV],MATCH(Table15[[#This Row],[Material]],FINI_grouping_for_wheel[Material],0)))</f>
        <v>1</v>
      </c>
    </row>
    <row r="623" spans="1:4">
      <c r="A623" t="s">
        <v>2566</v>
      </c>
      <c r="B623">
        <v>7</v>
      </c>
      <c r="C623">
        <v>289</v>
      </c>
      <c r="D623" t="b">
        <f ca="1">EXACT(Table15[[#This Row],[RoC selected PV]],INDEX(FINI_grouping_for_wheel[RoC selected PV],MATCH(Table15[[#This Row],[Material]],FINI_grouping_for_wheel[Material],0)))</f>
        <v>1</v>
      </c>
    </row>
    <row r="624" spans="1:4">
      <c r="A624" t="s">
        <v>2571</v>
      </c>
      <c r="B624">
        <v>7</v>
      </c>
      <c r="C624">
        <v>289</v>
      </c>
      <c r="D624" t="b">
        <f ca="1">EXACT(Table15[[#This Row],[RoC selected PV]],INDEX(FINI_grouping_for_wheel[RoC selected PV],MATCH(Table15[[#This Row],[Material]],FINI_grouping_for_wheel[Material],0)))</f>
        <v>1</v>
      </c>
    </row>
    <row r="625" spans="1:4">
      <c r="A625" t="s">
        <v>2574</v>
      </c>
      <c r="B625">
        <v>2</v>
      </c>
      <c r="C625">
        <v>36</v>
      </c>
      <c r="D625" t="b">
        <f ca="1">EXACT(Table15[[#This Row],[RoC selected PV]],INDEX(FINI_grouping_for_wheel[RoC selected PV],MATCH(Table15[[#This Row],[Material]],FINI_grouping_for_wheel[Material],0)))</f>
        <v>1</v>
      </c>
    </row>
    <row r="626" spans="1:4">
      <c r="A626" t="s">
        <v>2579</v>
      </c>
      <c r="B626">
        <v>2</v>
      </c>
      <c r="C626">
        <v>36</v>
      </c>
      <c r="D626" t="b">
        <f ca="1">EXACT(Table15[[#This Row],[RoC selected PV]],INDEX(FINI_grouping_for_wheel[RoC selected PV],MATCH(Table15[[#This Row],[Material]],FINI_grouping_for_wheel[Material],0)))</f>
        <v>1</v>
      </c>
    </row>
    <row r="627" spans="1:4">
      <c r="A627" t="s">
        <v>2584</v>
      </c>
      <c r="B627">
        <v>1</v>
      </c>
      <c r="C627">
        <v>21</v>
      </c>
      <c r="D627" t="b">
        <f ca="1">EXACT(Table15[[#This Row],[RoC selected PV]],INDEX(FINI_grouping_for_wheel[RoC selected PV],MATCH(Table15[[#This Row],[Material]],FINI_grouping_for_wheel[Material],0)))</f>
        <v>1</v>
      </c>
    </row>
    <row r="628" spans="1:4">
      <c r="A628" t="s">
        <v>2590</v>
      </c>
      <c r="B628">
        <v>40</v>
      </c>
      <c r="C628">
        <v>55</v>
      </c>
      <c r="D628" t="b">
        <f ca="1">EXACT(Table15[[#This Row],[RoC selected PV]],INDEX(FINI_grouping_for_wheel[RoC selected PV],MATCH(Table15[[#This Row],[Material]],FINI_grouping_for_wheel[Material],0)))</f>
        <v>1</v>
      </c>
    </row>
    <row r="629" spans="1:4">
      <c r="A629" t="s">
        <v>2594</v>
      </c>
      <c r="B629">
        <v>30</v>
      </c>
      <c r="C629">
        <v>88</v>
      </c>
      <c r="D629" t="b">
        <f ca="1">EXACT(Table15[[#This Row],[RoC selected PV]],INDEX(FINI_grouping_for_wheel[RoC selected PV],MATCH(Table15[[#This Row],[Material]],FINI_grouping_for_wheel[Material],0)))</f>
        <v>1</v>
      </c>
    </row>
    <row r="630" spans="1:4">
      <c r="A630" t="s">
        <v>2600</v>
      </c>
      <c r="B630">
        <v>40</v>
      </c>
      <c r="C630">
        <v>55</v>
      </c>
      <c r="D630" t="b">
        <f ca="1">EXACT(Table15[[#This Row],[RoC selected PV]],INDEX(FINI_grouping_for_wheel[RoC selected PV],MATCH(Table15[[#This Row],[Material]],FINI_grouping_for_wheel[Material],0)))</f>
        <v>1</v>
      </c>
    </row>
    <row r="631" spans="1:4">
      <c r="A631" t="s">
        <v>2603</v>
      </c>
      <c r="B631">
        <v>30</v>
      </c>
      <c r="C631">
        <v>88</v>
      </c>
      <c r="D631" t="b">
        <f ca="1">EXACT(Table15[[#This Row],[RoC selected PV]],INDEX(FINI_grouping_for_wheel[RoC selected PV],MATCH(Table15[[#This Row],[Material]],FINI_grouping_for_wheel[Material],0)))</f>
        <v>1</v>
      </c>
    </row>
    <row r="632" spans="1:4">
      <c r="A632" t="s">
        <v>2606</v>
      </c>
      <c r="B632">
        <v>30</v>
      </c>
      <c r="C632">
        <v>88</v>
      </c>
      <c r="D632" t="b">
        <f ca="1">EXACT(Table15[[#This Row],[RoC selected PV]],INDEX(FINI_grouping_for_wheel[RoC selected PV],MATCH(Table15[[#This Row],[Material]],FINI_grouping_for_wheel[Material],0)))</f>
        <v>1</v>
      </c>
    </row>
    <row r="633" spans="1:4">
      <c r="A633" t="s">
        <v>2609</v>
      </c>
      <c r="B633">
        <v>50</v>
      </c>
      <c r="C633">
        <v>25</v>
      </c>
      <c r="D633" t="b">
        <f ca="1">EXACT(Table15[[#This Row],[RoC selected PV]],INDEX(FINI_grouping_for_wheel[RoC selected PV],MATCH(Table15[[#This Row],[Material]],FINI_grouping_for_wheel[Material],0)))</f>
        <v>1</v>
      </c>
    </row>
    <row r="634" spans="1:4">
      <c r="A634" t="s">
        <v>2612</v>
      </c>
      <c r="B634">
        <v>50</v>
      </c>
      <c r="C634">
        <v>25</v>
      </c>
      <c r="D634" t="b">
        <f ca="1">EXACT(Table15[[#This Row],[RoC selected PV]],INDEX(FINI_grouping_for_wheel[RoC selected PV],MATCH(Table15[[#This Row],[Material]],FINI_grouping_for_wheel[Material],0)))</f>
        <v>1</v>
      </c>
    </row>
    <row r="635" spans="1:4">
      <c r="A635" t="s">
        <v>2615</v>
      </c>
      <c r="B635">
        <v>50</v>
      </c>
      <c r="C635">
        <v>25</v>
      </c>
      <c r="D635" t="b">
        <f ca="1">EXACT(Table15[[#This Row],[RoC selected PV]],INDEX(FINI_grouping_for_wheel[RoC selected PV],MATCH(Table15[[#This Row],[Material]],FINI_grouping_for_wheel[Material],0)))</f>
        <v>1</v>
      </c>
    </row>
    <row r="636" spans="1:4">
      <c r="A636" t="s">
        <v>2618</v>
      </c>
      <c r="B636">
        <v>40</v>
      </c>
      <c r="C636">
        <v>55</v>
      </c>
      <c r="D636" t="b">
        <f ca="1">EXACT(Table15[[#This Row],[RoC selected PV]],INDEX(FINI_grouping_for_wheel[RoC selected PV],MATCH(Table15[[#This Row],[Material]],FINI_grouping_for_wheel[Material],0)))</f>
        <v>1</v>
      </c>
    </row>
    <row r="637" spans="1:4">
      <c r="A637" t="s">
        <v>2621</v>
      </c>
      <c r="B637">
        <v>1</v>
      </c>
      <c r="C637">
        <v>11</v>
      </c>
      <c r="D637" t="b">
        <f ca="1">EXACT(Table15[[#This Row],[RoC selected PV]],INDEX(FINI_grouping_for_wheel[RoC selected PV],MATCH(Table15[[#This Row],[Material]],FINI_grouping_for_wheel[Material],0)))</f>
        <v>1</v>
      </c>
    </row>
    <row r="638" spans="1:4">
      <c r="A638" t="s">
        <v>2626</v>
      </c>
      <c r="B638">
        <v>2</v>
      </c>
      <c r="C638">
        <v>26</v>
      </c>
      <c r="D638" t="b">
        <f ca="1">EXACT(Table15[[#This Row],[RoC selected PV]],INDEX(FINI_grouping_for_wheel[RoC selected PV],MATCH(Table15[[#This Row],[Material]],FINI_grouping_for_wheel[Material],0)))</f>
        <v>1</v>
      </c>
    </row>
    <row r="639" spans="1:4">
      <c r="A639" t="s">
        <v>2632</v>
      </c>
      <c r="B639">
        <v>1</v>
      </c>
      <c r="C639">
        <v>5</v>
      </c>
      <c r="D639" t="b">
        <f ca="1">EXACT(Table15[[#This Row],[RoC selected PV]],INDEX(FINI_grouping_for_wheel[RoC selected PV],MATCH(Table15[[#This Row],[Material]],FINI_grouping_for_wheel[Material],0)))</f>
        <v>1</v>
      </c>
    </row>
    <row r="640" spans="1:4">
      <c r="A640" t="s">
        <v>2636</v>
      </c>
      <c r="B640">
        <v>1</v>
      </c>
      <c r="C640">
        <v>5</v>
      </c>
      <c r="D640" t="b">
        <f ca="1">EXACT(Table15[[#This Row],[RoC selected PV]],INDEX(FINI_grouping_for_wheel[RoC selected PV],MATCH(Table15[[#This Row],[Material]],FINI_grouping_for_wheel[Material],0)))</f>
        <v>1</v>
      </c>
    </row>
    <row r="641" spans="1:4">
      <c r="A641" t="s">
        <v>2642</v>
      </c>
      <c r="B641">
        <v>1</v>
      </c>
      <c r="C641">
        <v>36</v>
      </c>
      <c r="D641" t="b">
        <f ca="1">EXACT(Table15[[#This Row],[RoC selected PV]],INDEX(FINI_grouping_for_wheel[RoC selected PV],MATCH(Table15[[#This Row],[Material]],FINI_grouping_for_wheel[Material],0)))</f>
        <v>1</v>
      </c>
    </row>
    <row r="642" spans="1:4">
      <c r="A642" t="s">
        <v>2648</v>
      </c>
      <c r="B642">
        <v>4</v>
      </c>
      <c r="C642">
        <v>21</v>
      </c>
      <c r="D642" t="b">
        <f ca="1">EXACT(Table15[[#This Row],[RoC selected PV]],INDEX(FINI_grouping_for_wheel[RoC selected PV],MATCH(Table15[[#This Row],[Material]],FINI_grouping_for_wheel[Material],0)))</f>
        <v>1</v>
      </c>
    </row>
    <row r="643" spans="1:4">
      <c r="A643" t="s">
        <v>2652</v>
      </c>
      <c r="B643">
        <v>200</v>
      </c>
      <c r="C643">
        <v>167</v>
      </c>
      <c r="D643" t="b">
        <f ca="1">EXACT(Table15[[#This Row],[RoC selected PV]],INDEX(FINI_grouping_for_wheel[RoC selected PV],MATCH(Table15[[#This Row],[Material]],FINI_grouping_for_wheel[Material],0)))</f>
        <v>1</v>
      </c>
    </row>
    <row r="644" spans="1:4">
      <c r="A644" t="s">
        <v>2655</v>
      </c>
      <c r="B644">
        <v>100</v>
      </c>
      <c r="C644">
        <v>191</v>
      </c>
      <c r="D644" t="b">
        <f ca="1">EXACT(Table15[[#This Row],[RoC selected PV]],INDEX(FINI_grouping_for_wheel[RoC selected PV],MATCH(Table15[[#This Row],[Material]],FINI_grouping_for_wheel[Material],0)))</f>
        <v>1</v>
      </c>
    </row>
    <row r="645" spans="1:4">
      <c r="A645" t="s">
        <v>2658</v>
      </c>
      <c r="B645">
        <v>7</v>
      </c>
      <c r="C645">
        <v>85</v>
      </c>
      <c r="D645" t="b">
        <f ca="1">EXACT(Table15[[#This Row],[RoC selected PV]],INDEX(FINI_grouping_for_wheel[RoC selected PV],MATCH(Table15[[#This Row],[Material]],FINI_grouping_for_wheel[Material],0)))</f>
        <v>1</v>
      </c>
    </row>
    <row r="646" spans="1:4">
      <c r="A646" t="s">
        <v>2661</v>
      </c>
      <c r="B646">
        <v>5</v>
      </c>
      <c r="C646">
        <v>21</v>
      </c>
      <c r="D646" t="b">
        <f ca="1">EXACT(Table15[[#This Row],[RoC selected PV]],INDEX(FINI_grouping_for_wheel[RoC selected PV],MATCH(Table15[[#This Row],[Material]],FINI_grouping_for_wheel[Material],0)))</f>
        <v>1</v>
      </c>
    </row>
    <row r="647" spans="1:4">
      <c r="A647" t="s">
        <v>2666</v>
      </c>
      <c r="B647">
        <v>6</v>
      </c>
      <c r="C647">
        <v>45</v>
      </c>
      <c r="D647" t="b">
        <f ca="1">EXACT(Table15[[#This Row],[RoC selected PV]],INDEX(FINI_grouping_for_wheel[RoC selected PV],MATCH(Table15[[#This Row],[Material]],FINI_grouping_for_wheel[Material],0)))</f>
        <v>1</v>
      </c>
    </row>
    <row r="648" spans="1:4">
      <c r="A648" t="s">
        <v>2669</v>
      </c>
      <c r="B648">
        <v>1</v>
      </c>
      <c r="C648">
        <v>36</v>
      </c>
      <c r="D648" t="b">
        <f ca="1">EXACT(Table15[[#This Row],[RoC selected PV]],INDEX(FINI_grouping_for_wheel[RoC selected PV],MATCH(Table15[[#This Row],[Material]],FINI_grouping_for_wheel[Material],0)))</f>
        <v>1</v>
      </c>
    </row>
    <row r="649" spans="1:4">
      <c r="A649" t="s">
        <v>2672</v>
      </c>
      <c r="B649">
        <v>6</v>
      </c>
      <c r="C649">
        <v>45</v>
      </c>
      <c r="D649" t="b">
        <f ca="1">EXACT(Table15[[#This Row],[RoC selected PV]],INDEX(FINI_grouping_for_wheel[RoC selected PV],MATCH(Table15[[#This Row],[Material]],FINI_grouping_for_wheel[Material],0)))</f>
        <v>1</v>
      </c>
    </row>
    <row r="650" spans="1:4">
      <c r="A650" t="s">
        <v>2675</v>
      </c>
      <c r="B650">
        <v>6</v>
      </c>
      <c r="C650">
        <v>45</v>
      </c>
      <c r="D650" t="b">
        <f ca="1">EXACT(Table15[[#This Row],[RoC selected PV]],INDEX(FINI_grouping_for_wheel[RoC selected PV],MATCH(Table15[[#This Row],[Material]],FINI_grouping_for_wheel[Material],0)))</f>
        <v>1</v>
      </c>
    </row>
    <row r="651" spans="1:4">
      <c r="A651" t="s">
        <v>2678</v>
      </c>
      <c r="B651">
        <v>200</v>
      </c>
      <c r="C651">
        <v>167</v>
      </c>
      <c r="D651" t="b">
        <f ca="1">EXACT(Table15[[#This Row],[RoC selected PV]],INDEX(FINI_grouping_for_wheel[RoC selected PV],MATCH(Table15[[#This Row],[Material]],FINI_grouping_for_wheel[Material],0)))</f>
        <v>1</v>
      </c>
    </row>
    <row r="652" spans="1:4">
      <c r="A652" t="s">
        <v>2681</v>
      </c>
      <c r="B652">
        <v>200</v>
      </c>
      <c r="C652">
        <v>167</v>
      </c>
      <c r="D652" t="b">
        <f ca="1">EXACT(Table15[[#This Row],[RoC selected PV]],INDEX(FINI_grouping_for_wheel[RoC selected PV],MATCH(Table15[[#This Row],[Material]],FINI_grouping_for_wheel[Material],0)))</f>
        <v>1</v>
      </c>
    </row>
    <row r="653" spans="1:4">
      <c r="A653" t="s">
        <v>2684</v>
      </c>
      <c r="B653">
        <v>200</v>
      </c>
      <c r="C653">
        <v>167</v>
      </c>
      <c r="D653" t="b">
        <f ca="1">EXACT(Table15[[#This Row],[RoC selected PV]],INDEX(FINI_grouping_for_wheel[RoC selected PV],MATCH(Table15[[#This Row],[Material]],FINI_grouping_for_wheel[Material],0)))</f>
        <v>1</v>
      </c>
    </row>
    <row r="654" spans="1:4">
      <c r="A654" t="s">
        <v>2687</v>
      </c>
      <c r="B654">
        <v>3</v>
      </c>
      <c r="C654">
        <v>241</v>
      </c>
      <c r="D654" t="b">
        <f ca="1">EXACT(Table15[[#This Row],[RoC selected PV]],INDEX(FINI_grouping_for_wheel[RoC selected PV],MATCH(Table15[[#This Row],[Material]],FINI_grouping_for_wheel[Material],0)))</f>
        <v>1</v>
      </c>
    </row>
    <row r="655" spans="1:4">
      <c r="A655" t="s">
        <v>2690</v>
      </c>
      <c r="B655">
        <v>3</v>
      </c>
      <c r="C655">
        <v>241</v>
      </c>
      <c r="D655" t="b">
        <f ca="1">EXACT(Table15[[#This Row],[RoC selected PV]],INDEX(FINI_grouping_for_wheel[RoC selected PV],MATCH(Table15[[#This Row],[Material]],FINI_grouping_for_wheel[Material],0)))</f>
        <v>1</v>
      </c>
    </row>
    <row r="656" spans="1:4">
      <c r="A656" t="s">
        <v>2693</v>
      </c>
      <c r="B656">
        <v>3</v>
      </c>
      <c r="C656">
        <v>241</v>
      </c>
      <c r="D656" t="b">
        <f ca="1">EXACT(Table15[[#This Row],[RoC selected PV]],INDEX(FINI_grouping_for_wheel[RoC selected PV],MATCH(Table15[[#This Row],[Material]],FINI_grouping_for_wheel[Material],0)))</f>
        <v>1</v>
      </c>
    </row>
    <row r="657" spans="1:4">
      <c r="A657" t="s">
        <v>2696</v>
      </c>
      <c r="B657">
        <v>3</v>
      </c>
      <c r="C657">
        <v>241</v>
      </c>
      <c r="D657" t="b">
        <f ca="1">EXACT(Table15[[#This Row],[RoC selected PV]],INDEX(FINI_grouping_for_wheel[RoC selected PV],MATCH(Table15[[#This Row],[Material]],FINI_grouping_for_wheel[Material],0)))</f>
        <v>1</v>
      </c>
    </row>
    <row r="658" spans="1:4">
      <c r="A658" t="s">
        <v>2699</v>
      </c>
      <c r="B658">
        <v>3</v>
      </c>
      <c r="C658">
        <v>241</v>
      </c>
      <c r="D658" t="b">
        <f ca="1">EXACT(Table15[[#This Row],[RoC selected PV]],INDEX(FINI_grouping_for_wheel[RoC selected PV],MATCH(Table15[[#This Row],[Material]],FINI_grouping_for_wheel[Material],0)))</f>
        <v>1</v>
      </c>
    </row>
    <row r="659" spans="1:4">
      <c r="A659" t="s">
        <v>2702</v>
      </c>
      <c r="B659">
        <v>7</v>
      </c>
      <c r="C659">
        <v>85</v>
      </c>
      <c r="D659" t="b">
        <f ca="1">EXACT(Table15[[#This Row],[RoC selected PV]],INDEX(FINI_grouping_for_wheel[RoC selected PV],MATCH(Table15[[#This Row],[Material]],FINI_grouping_for_wheel[Material],0)))</f>
        <v>1</v>
      </c>
    </row>
    <row r="660" spans="1:4">
      <c r="A660" t="s">
        <v>2705</v>
      </c>
      <c r="B660">
        <v>7</v>
      </c>
      <c r="C660">
        <v>85</v>
      </c>
      <c r="D660" t="b">
        <f ca="1">EXACT(Table15[[#This Row],[RoC selected PV]],INDEX(FINI_grouping_for_wheel[RoC selected PV],MATCH(Table15[[#This Row],[Material]],FINI_grouping_for_wheel[Material],0)))</f>
        <v>1</v>
      </c>
    </row>
    <row r="661" spans="1:4">
      <c r="A661" t="s">
        <v>2708</v>
      </c>
      <c r="B661">
        <v>100</v>
      </c>
      <c r="C661">
        <v>191</v>
      </c>
      <c r="D661" t="b">
        <f ca="1">EXACT(Table15[[#This Row],[RoC selected PV]],INDEX(FINI_grouping_for_wheel[RoC selected PV],MATCH(Table15[[#This Row],[Material]],FINI_grouping_for_wheel[Material],0)))</f>
        <v>1</v>
      </c>
    </row>
    <row r="662" spans="1:4">
      <c r="A662" t="s">
        <v>2711</v>
      </c>
      <c r="B662">
        <v>200</v>
      </c>
      <c r="C662">
        <v>167</v>
      </c>
      <c r="D662" t="b">
        <f ca="1">EXACT(Table15[[#This Row],[RoC selected PV]],INDEX(FINI_grouping_for_wheel[RoC selected PV],MATCH(Table15[[#This Row],[Material]],FINI_grouping_for_wheel[Material],0)))</f>
        <v>1</v>
      </c>
    </row>
    <row r="663" spans="1:4">
      <c r="A663" t="s">
        <v>2714</v>
      </c>
      <c r="B663">
        <v>100</v>
      </c>
      <c r="C663">
        <v>191</v>
      </c>
      <c r="D663" t="b">
        <f ca="1">EXACT(Table15[[#This Row],[RoC selected PV]],INDEX(FINI_grouping_for_wheel[RoC selected PV],MATCH(Table15[[#This Row],[Material]],FINI_grouping_for_wheel[Material],0)))</f>
        <v>1</v>
      </c>
    </row>
    <row r="664" spans="1:4">
      <c r="A664" t="s">
        <v>2717</v>
      </c>
      <c r="B664">
        <v>100</v>
      </c>
      <c r="C664">
        <v>191</v>
      </c>
      <c r="D664" t="b">
        <f ca="1">EXACT(Table15[[#This Row],[RoC selected PV]],INDEX(FINI_grouping_for_wheel[RoC selected PV],MATCH(Table15[[#This Row],[Material]],FINI_grouping_for_wheel[Material],0)))</f>
        <v>1</v>
      </c>
    </row>
    <row r="665" spans="1:4">
      <c r="A665" t="s">
        <v>2720</v>
      </c>
      <c r="B665">
        <v>30</v>
      </c>
      <c r="C665">
        <v>104</v>
      </c>
      <c r="D665" t="b">
        <f ca="1">EXACT(Table15[[#This Row],[RoC selected PV]],INDEX(FINI_grouping_for_wheel[RoC selected PV],MATCH(Table15[[#This Row],[Material]],FINI_grouping_for_wheel[Material],0)))</f>
        <v>1</v>
      </c>
    </row>
    <row r="666" spans="1:4">
      <c r="A666" t="s">
        <v>2723</v>
      </c>
      <c r="B666">
        <v>4</v>
      </c>
      <c r="C666">
        <v>21</v>
      </c>
      <c r="D666" t="b">
        <f ca="1">EXACT(Table15[[#This Row],[RoC selected PV]],INDEX(FINI_grouping_for_wheel[RoC selected PV],MATCH(Table15[[#This Row],[Material]],FINI_grouping_for_wheel[Material],0)))</f>
        <v>1</v>
      </c>
    </row>
    <row r="667" spans="1:4">
      <c r="A667" t="s">
        <v>2727</v>
      </c>
      <c r="B667">
        <v>4</v>
      </c>
      <c r="C667">
        <v>77</v>
      </c>
      <c r="D667" t="b">
        <f ca="1">EXACT(Table15[[#This Row],[RoC selected PV]],INDEX(FINI_grouping_for_wheel[RoC selected PV],MATCH(Table15[[#This Row],[Material]],FINI_grouping_for_wheel[Material],0)))</f>
        <v>1</v>
      </c>
    </row>
    <row r="668" spans="1:4">
      <c r="A668" t="s">
        <v>2731</v>
      </c>
      <c r="B668">
        <v>3</v>
      </c>
      <c r="C668">
        <v>24</v>
      </c>
      <c r="D668" t="b">
        <f ca="1">EXACT(Table15[[#This Row],[RoC selected PV]],INDEX(FINI_grouping_for_wheel[RoC selected PV],MATCH(Table15[[#This Row],[Material]],FINI_grouping_for_wheel[Material],0)))</f>
        <v>1</v>
      </c>
    </row>
    <row r="669" spans="1:4">
      <c r="A669" t="s">
        <v>2734</v>
      </c>
      <c r="B669">
        <v>4</v>
      </c>
      <c r="C669">
        <v>77</v>
      </c>
      <c r="D669" t="b">
        <f ca="1">EXACT(Table15[[#This Row],[RoC selected PV]],INDEX(FINI_grouping_for_wheel[RoC selected PV],MATCH(Table15[[#This Row],[Material]],FINI_grouping_for_wheel[Material],0)))</f>
        <v>1</v>
      </c>
    </row>
    <row r="670" spans="1:4">
      <c r="A670" t="s">
        <v>2737</v>
      </c>
      <c r="B670">
        <v>4</v>
      </c>
      <c r="C670">
        <v>77</v>
      </c>
      <c r="D670" t="b">
        <f ca="1">EXACT(Table15[[#This Row],[RoC selected PV]],INDEX(FINI_grouping_for_wheel[RoC selected PV],MATCH(Table15[[#This Row],[Material]],FINI_grouping_for_wheel[Material],0)))</f>
        <v>1</v>
      </c>
    </row>
    <row r="671" spans="1:4">
      <c r="A671" t="s">
        <v>2741</v>
      </c>
      <c r="B671">
        <v>4</v>
      </c>
      <c r="C671">
        <v>77</v>
      </c>
      <c r="D671" t="b">
        <f ca="1">EXACT(Table15[[#This Row],[RoC selected PV]],INDEX(FINI_grouping_for_wheel[RoC selected PV],MATCH(Table15[[#This Row],[Material]],FINI_grouping_for_wheel[Material],0)))</f>
        <v>1</v>
      </c>
    </row>
    <row r="672" spans="1:4">
      <c r="A672" t="s">
        <v>2744</v>
      </c>
      <c r="B672">
        <v>3</v>
      </c>
      <c r="C672">
        <v>24</v>
      </c>
      <c r="D672" t="b">
        <f ca="1">EXACT(Table15[[#This Row],[RoC selected PV]],INDEX(FINI_grouping_for_wheel[RoC selected PV],MATCH(Table15[[#This Row],[Material]],FINI_grouping_for_wheel[Material],0)))</f>
        <v>1</v>
      </c>
    </row>
    <row r="673" spans="1:4">
      <c r="A673" t="s">
        <v>2747</v>
      </c>
      <c r="B673">
        <v>4</v>
      </c>
      <c r="C673">
        <v>77</v>
      </c>
      <c r="D673" t="b">
        <f ca="1">EXACT(Table15[[#This Row],[RoC selected PV]],INDEX(FINI_grouping_for_wheel[RoC selected PV],MATCH(Table15[[#This Row],[Material]],FINI_grouping_for_wheel[Material],0)))</f>
        <v>1</v>
      </c>
    </row>
    <row r="674" spans="1:4">
      <c r="A674" t="s">
        <v>2752</v>
      </c>
      <c r="B674">
        <v>2</v>
      </c>
      <c r="C674">
        <v>18</v>
      </c>
      <c r="D674" t="b">
        <f ca="1">EXACT(Table15[[#This Row],[RoC selected PV]],INDEX(FINI_grouping_for_wheel[RoC selected PV],MATCH(Table15[[#This Row],[Material]],FINI_grouping_for_wheel[Material],0)))</f>
        <v>1</v>
      </c>
    </row>
    <row r="675" spans="1:4">
      <c r="A675" t="s">
        <v>2755</v>
      </c>
      <c r="B675">
        <v>1</v>
      </c>
      <c r="C675">
        <v>17</v>
      </c>
      <c r="D675" t="b">
        <f ca="1">EXACT(Table15[[#This Row],[RoC selected PV]],INDEX(FINI_grouping_for_wheel[RoC selected PV],MATCH(Table15[[#This Row],[Material]],FINI_grouping_for_wheel[Material],0)))</f>
        <v>1</v>
      </c>
    </row>
    <row r="676" spans="1:4">
      <c r="A676" t="s">
        <v>2761</v>
      </c>
      <c r="B676">
        <v>4</v>
      </c>
      <c r="C676">
        <v>137</v>
      </c>
      <c r="D676" t="b">
        <f ca="1">EXACT(Table15[[#This Row],[RoC selected PV]],INDEX(FINI_grouping_for_wheel[RoC selected PV],MATCH(Table15[[#This Row],[Material]],FINI_grouping_for_wheel[Material],0)))</f>
        <v>1</v>
      </c>
    </row>
    <row r="677" spans="1:4">
      <c r="A677" t="s">
        <v>2765</v>
      </c>
      <c r="B677">
        <v>4</v>
      </c>
      <c r="C677">
        <v>137</v>
      </c>
      <c r="D677" t="b">
        <f ca="1">EXACT(Table15[[#This Row],[RoC selected PV]],INDEX(FINI_grouping_for_wheel[RoC selected PV],MATCH(Table15[[#This Row],[Material]],FINI_grouping_for_wheel[Material],0)))</f>
        <v>1</v>
      </c>
    </row>
    <row r="678" spans="1:4">
      <c r="A678" t="s">
        <v>2768</v>
      </c>
      <c r="B678">
        <v>2</v>
      </c>
      <c r="C678">
        <v>18</v>
      </c>
      <c r="D678" t="b">
        <f ca="1">EXACT(Table15[[#This Row],[RoC selected PV]],INDEX(FINI_grouping_for_wheel[RoC selected PV],MATCH(Table15[[#This Row],[Material]],FINI_grouping_for_wheel[Material],0)))</f>
        <v>1</v>
      </c>
    </row>
    <row r="679" spans="1:4">
      <c r="A679" t="s">
        <v>2773</v>
      </c>
      <c r="B679">
        <v>2</v>
      </c>
      <c r="C679">
        <v>18</v>
      </c>
      <c r="D679" t="b">
        <f ca="1">EXACT(Table15[[#This Row],[RoC selected PV]],INDEX(FINI_grouping_for_wheel[RoC selected PV],MATCH(Table15[[#This Row],[Material]],FINI_grouping_for_wheel[Material],0)))</f>
        <v>1</v>
      </c>
    </row>
    <row r="680" spans="1:4">
      <c r="A680" t="s">
        <v>2778</v>
      </c>
      <c r="B680">
        <v>4</v>
      </c>
      <c r="C680">
        <v>137</v>
      </c>
      <c r="D680" t="b">
        <f ca="1">EXACT(Table15[[#This Row],[RoC selected PV]],INDEX(FINI_grouping_for_wheel[RoC selected PV],MATCH(Table15[[#This Row],[Material]],FINI_grouping_for_wheel[Material],0)))</f>
        <v>1</v>
      </c>
    </row>
    <row r="681" spans="1:4">
      <c r="A681" t="s">
        <v>2781</v>
      </c>
      <c r="B681">
        <v>3</v>
      </c>
      <c r="C681">
        <v>114</v>
      </c>
      <c r="D681" t="b">
        <f ca="1">EXACT(Table15[[#This Row],[RoC selected PV]],INDEX(FINI_grouping_for_wheel[RoC selected PV],MATCH(Table15[[#This Row],[Material]],FINI_grouping_for_wheel[Material],0)))</f>
        <v>1</v>
      </c>
    </row>
    <row r="682" spans="1:4">
      <c r="A682" t="s">
        <v>2784</v>
      </c>
      <c r="B682">
        <v>3</v>
      </c>
      <c r="C682">
        <v>114</v>
      </c>
      <c r="D682" t="b">
        <f ca="1">EXACT(Table15[[#This Row],[RoC selected PV]],INDEX(FINI_grouping_for_wheel[RoC selected PV],MATCH(Table15[[#This Row],[Material]],FINI_grouping_for_wheel[Material],0)))</f>
        <v>1</v>
      </c>
    </row>
    <row r="683" spans="1:4">
      <c r="A683" t="s">
        <v>2789</v>
      </c>
      <c r="B683">
        <v>1</v>
      </c>
      <c r="C683">
        <v>10</v>
      </c>
      <c r="D683" t="b">
        <f ca="1">EXACT(Table15[[#This Row],[RoC selected PV]],INDEX(FINI_grouping_for_wheel[RoC selected PV],MATCH(Table15[[#This Row],[Material]],FINI_grouping_for_wheel[Material],0)))</f>
        <v>1</v>
      </c>
    </row>
    <row r="684" spans="1:4">
      <c r="A684" t="s">
        <v>2795</v>
      </c>
      <c r="B684">
        <v>1</v>
      </c>
      <c r="C684">
        <v>6</v>
      </c>
      <c r="D684" t="b">
        <f ca="1">EXACT(Table15[[#This Row],[RoC selected PV]],INDEX(FINI_grouping_for_wheel[RoC selected PV],MATCH(Table15[[#This Row],[Material]],FINI_grouping_for_wheel[Material],0)))</f>
        <v>1</v>
      </c>
    </row>
    <row r="685" spans="1:4">
      <c r="A685" t="s">
        <v>2799</v>
      </c>
      <c r="B685">
        <v>1</v>
      </c>
      <c r="C685">
        <v>6</v>
      </c>
      <c r="D685" t="b">
        <f ca="1">EXACT(Table15[[#This Row],[RoC selected PV]],INDEX(FINI_grouping_for_wheel[RoC selected PV],MATCH(Table15[[#This Row],[Material]],FINI_grouping_for_wheel[Material],0)))</f>
        <v>1</v>
      </c>
    </row>
    <row r="686" spans="1:4">
      <c r="A686" t="s">
        <v>2803</v>
      </c>
      <c r="B686">
        <v>20</v>
      </c>
      <c r="C686">
        <v>123</v>
      </c>
      <c r="D686" t="b">
        <f ca="1">EXACT(Table15[[#This Row],[RoC selected PV]],INDEX(FINI_grouping_for_wheel[RoC selected PV],MATCH(Table15[[#This Row],[Material]],FINI_grouping_for_wheel[Material],0)))</f>
        <v>1</v>
      </c>
    </row>
    <row r="687" spans="1:4">
      <c r="A687" t="s">
        <v>2807</v>
      </c>
      <c r="B687">
        <v>20</v>
      </c>
      <c r="C687">
        <v>123</v>
      </c>
      <c r="D687" t="b">
        <f ca="1">EXACT(Table15[[#This Row],[RoC selected PV]],INDEX(FINI_grouping_for_wheel[RoC selected PV],MATCH(Table15[[#This Row],[Material]],FINI_grouping_for_wheel[Material],0)))</f>
        <v>1</v>
      </c>
    </row>
    <row r="688" spans="1:4">
      <c r="A688" t="s">
        <v>2810</v>
      </c>
      <c r="B688">
        <v>3</v>
      </c>
      <c r="C688">
        <v>60</v>
      </c>
      <c r="D688" t="b">
        <f ca="1">EXACT(Table15[[#This Row],[RoC selected PV]],INDEX(FINI_grouping_for_wheel[RoC selected PV],MATCH(Table15[[#This Row],[Material]],FINI_grouping_for_wheel[Material],0)))</f>
        <v>1</v>
      </c>
    </row>
    <row r="689" spans="1:4">
      <c r="A689" t="s">
        <v>2813</v>
      </c>
      <c r="B689">
        <v>4</v>
      </c>
      <c r="C689">
        <v>211</v>
      </c>
      <c r="D689" t="b">
        <f ca="1">EXACT(Table15[[#This Row],[RoC selected PV]],INDEX(FINI_grouping_for_wheel[RoC selected PV],MATCH(Table15[[#This Row],[Material]],FINI_grouping_for_wheel[Material],0)))</f>
        <v>1</v>
      </c>
    </row>
    <row r="690" spans="1:4">
      <c r="A690" t="s">
        <v>2816</v>
      </c>
      <c r="B690">
        <v>4</v>
      </c>
      <c r="C690">
        <v>211</v>
      </c>
      <c r="D690" t="b">
        <f ca="1">EXACT(Table15[[#This Row],[RoC selected PV]],INDEX(FINI_grouping_for_wheel[RoC selected PV],MATCH(Table15[[#This Row],[Material]],FINI_grouping_for_wheel[Material],0)))</f>
        <v>1</v>
      </c>
    </row>
    <row r="691" spans="1:4">
      <c r="A691" t="s">
        <v>2819</v>
      </c>
      <c r="B691">
        <v>4</v>
      </c>
      <c r="C691">
        <v>211</v>
      </c>
      <c r="D691" t="b">
        <f ca="1">EXACT(Table15[[#This Row],[RoC selected PV]],INDEX(FINI_grouping_for_wheel[RoC selected PV],MATCH(Table15[[#This Row],[Material]],FINI_grouping_for_wheel[Material],0)))</f>
        <v>1</v>
      </c>
    </row>
    <row r="692" spans="1:4">
      <c r="A692" t="s">
        <v>2825</v>
      </c>
      <c r="B692">
        <v>30</v>
      </c>
      <c r="C692">
        <v>139</v>
      </c>
      <c r="D692" t="b">
        <f ca="1">EXACT(Table15[[#This Row],[RoC selected PV]],INDEX(FINI_grouping_for_wheel[RoC selected PV],MATCH(Table15[[#This Row],[Material]],FINI_grouping_for_wheel[Material],0)))</f>
        <v>1</v>
      </c>
    </row>
    <row r="693" spans="1:4">
      <c r="A693" t="s">
        <v>2828</v>
      </c>
      <c r="B693">
        <v>5</v>
      </c>
      <c r="C693">
        <v>65</v>
      </c>
      <c r="D693" t="b">
        <f ca="1">EXACT(Table15[[#This Row],[RoC selected PV]],INDEX(FINI_grouping_for_wheel[RoC selected PV],MATCH(Table15[[#This Row],[Material]],FINI_grouping_for_wheel[Material],0)))</f>
        <v>1</v>
      </c>
    </row>
    <row r="694" spans="1:4">
      <c r="A694" t="s">
        <v>2831</v>
      </c>
      <c r="B694">
        <v>90</v>
      </c>
      <c r="C694">
        <v>337</v>
      </c>
      <c r="D694" t="b">
        <f ca="1">EXACT(Table15[[#This Row],[RoC selected PV]],INDEX(FINI_grouping_for_wheel[RoC selected PV],MATCH(Table15[[#This Row],[Material]],FINI_grouping_for_wheel[Material],0)))</f>
        <v>1</v>
      </c>
    </row>
    <row r="695" spans="1:4">
      <c r="A695" t="s">
        <v>2834</v>
      </c>
      <c r="B695">
        <v>1</v>
      </c>
      <c r="C695">
        <v>25</v>
      </c>
      <c r="D695" t="b">
        <f ca="1">EXACT(Table15[[#This Row],[RoC selected PV]],INDEX(FINI_grouping_for_wheel[RoC selected PV],MATCH(Table15[[#This Row],[Material]],FINI_grouping_for_wheel[Material],0)))</f>
        <v>1</v>
      </c>
    </row>
    <row r="696" spans="1:4">
      <c r="A696" t="s">
        <v>2837</v>
      </c>
      <c r="B696">
        <v>90</v>
      </c>
      <c r="C696">
        <v>337</v>
      </c>
      <c r="D696" t="b">
        <f ca="1">EXACT(Table15[[#This Row],[RoC selected PV]],INDEX(FINI_grouping_for_wheel[RoC selected PV],MATCH(Table15[[#This Row],[Material]],FINI_grouping_for_wheel[Material],0)))</f>
        <v>1</v>
      </c>
    </row>
    <row r="697" spans="1:4">
      <c r="A697" t="s">
        <v>2840</v>
      </c>
      <c r="B697">
        <v>20</v>
      </c>
      <c r="C697">
        <v>123</v>
      </c>
      <c r="D697" t="b">
        <f ca="1">EXACT(Table15[[#This Row],[RoC selected PV]],INDEX(FINI_grouping_for_wheel[RoC selected PV],MATCH(Table15[[#This Row],[Material]],FINI_grouping_for_wheel[Material],0)))</f>
        <v>1</v>
      </c>
    </row>
    <row r="698" spans="1:4">
      <c r="A698" t="s">
        <v>2843</v>
      </c>
      <c r="B698">
        <v>1</v>
      </c>
      <c r="C698">
        <v>25</v>
      </c>
      <c r="D698" t="b">
        <f ca="1">EXACT(Table15[[#This Row],[RoC selected PV]],INDEX(FINI_grouping_for_wheel[RoC selected PV],MATCH(Table15[[#This Row],[Material]],FINI_grouping_for_wheel[Material],0)))</f>
        <v>1</v>
      </c>
    </row>
    <row r="699" spans="1:4">
      <c r="A699" t="s">
        <v>2848</v>
      </c>
      <c r="B699">
        <v>2</v>
      </c>
      <c r="C699">
        <v>25</v>
      </c>
      <c r="D699" t="b">
        <f ca="1">EXACT(Table15[[#This Row],[RoC selected PV]],INDEX(FINI_grouping_for_wheel[RoC selected PV],MATCH(Table15[[#This Row],[Material]],FINI_grouping_for_wheel[Material],0)))</f>
        <v>1</v>
      </c>
    </row>
    <row r="700" spans="1:4">
      <c r="A700" t="s">
        <v>2851</v>
      </c>
      <c r="B700">
        <v>4</v>
      </c>
      <c r="C700">
        <v>211</v>
      </c>
      <c r="D700" t="b">
        <f ca="1">EXACT(Table15[[#This Row],[RoC selected PV]],INDEX(FINI_grouping_for_wheel[RoC selected PV],MATCH(Table15[[#This Row],[Material]],FINI_grouping_for_wheel[Material],0)))</f>
        <v>1</v>
      </c>
    </row>
    <row r="701" spans="1:4">
      <c r="A701" t="s">
        <v>2854</v>
      </c>
      <c r="B701">
        <v>3</v>
      </c>
      <c r="C701">
        <v>60</v>
      </c>
      <c r="D701" t="b">
        <f ca="1">EXACT(Table15[[#This Row],[RoC selected PV]],INDEX(FINI_grouping_for_wheel[RoC selected PV],MATCH(Table15[[#This Row],[Material]],FINI_grouping_for_wheel[Material],0)))</f>
        <v>1</v>
      </c>
    </row>
    <row r="702" spans="1:4">
      <c r="A702" t="s">
        <v>2859</v>
      </c>
      <c r="B702">
        <v>90</v>
      </c>
      <c r="C702">
        <v>337</v>
      </c>
      <c r="D702" t="b">
        <f ca="1">EXACT(Table15[[#This Row],[RoC selected PV]],INDEX(FINI_grouping_for_wheel[RoC selected PV],MATCH(Table15[[#This Row],[Material]],FINI_grouping_for_wheel[Material],0)))</f>
        <v>1</v>
      </c>
    </row>
    <row r="703" spans="1:4">
      <c r="A703" t="s">
        <v>2864</v>
      </c>
      <c r="B703">
        <v>5</v>
      </c>
      <c r="C703">
        <v>65</v>
      </c>
      <c r="D703" t="b">
        <f ca="1">EXACT(Table15[[#This Row],[RoC selected PV]],INDEX(FINI_grouping_for_wheel[RoC selected PV],MATCH(Table15[[#This Row],[Material]],FINI_grouping_for_wheel[Material],0)))</f>
        <v>1</v>
      </c>
    </row>
    <row r="704" spans="1:4">
      <c r="A704" t="s">
        <v>2870</v>
      </c>
      <c r="B704">
        <v>4</v>
      </c>
      <c r="C704">
        <v>211</v>
      </c>
      <c r="D704" t="b">
        <f ca="1">EXACT(Table15[[#This Row],[RoC selected PV]],INDEX(FINI_grouping_for_wheel[RoC selected PV],MATCH(Table15[[#This Row],[Material]],FINI_grouping_for_wheel[Material],0)))</f>
        <v>1</v>
      </c>
    </row>
    <row r="705" spans="1:4">
      <c r="A705" t="s">
        <v>2876</v>
      </c>
      <c r="B705">
        <v>20</v>
      </c>
      <c r="C705">
        <v>123</v>
      </c>
      <c r="D705" t="b">
        <f ca="1">EXACT(Table15[[#This Row],[RoC selected PV]],INDEX(FINI_grouping_for_wheel[RoC selected PV],MATCH(Table15[[#This Row],[Material]],FINI_grouping_for_wheel[Material],0)))</f>
        <v>1</v>
      </c>
    </row>
    <row r="706" spans="1:4">
      <c r="A706" t="s">
        <v>2881</v>
      </c>
      <c r="B706">
        <v>2</v>
      </c>
      <c r="C706">
        <v>25</v>
      </c>
      <c r="D706" t="b">
        <f ca="1">EXACT(Table15[[#This Row],[RoC selected PV]],INDEX(FINI_grouping_for_wheel[RoC selected PV],MATCH(Table15[[#This Row],[Material]],FINI_grouping_for_wheel[Material],0)))</f>
        <v>1</v>
      </c>
    </row>
    <row r="707" spans="1:4">
      <c r="A707" t="s">
        <v>2885</v>
      </c>
      <c r="B707">
        <v>30</v>
      </c>
      <c r="C707">
        <v>396</v>
      </c>
      <c r="D707" t="b">
        <f ca="1">EXACT(Table15[[#This Row],[RoC selected PV]],INDEX(FINI_grouping_for_wheel[RoC selected PV],MATCH(Table15[[#This Row],[Material]],FINI_grouping_for_wheel[Material],0)))</f>
        <v>1</v>
      </c>
    </row>
    <row r="708" spans="1:4">
      <c r="A708" t="s">
        <v>2889</v>
      </c>
      <c r="B708">
        <v>1</v>
      </c>
      <c r="C708">
        <v>20</v>
      </c>
      <c r="D708" t="b">
        <f ca="1">EXACT(Table15[[#This Row],[RoC selected PV]],INDEX(FINI_grouping_for_wheel[RoC selected PV],MATCH(Table15[[#This Row],[Material]],FINI_grouping_for_wheel[Material],0)))</f>
        <v>1</v>
      </c>
    </row>
    <row r="709" spans="1:4">
      <c r="A709" t="s">
        <v>2892</v>
      </c>
      <c r="B709">
        <v>3</v>
      </c>
      <c r="C709">
        <v>22</v>
      </c>
      <c r="D709" t="b">
        <f ca="1">EXACT(Table15[[#This Row],[RoC selected PV]],INDEX(FINI_grouping_for_wheel[RoC selected PV],MATCH(Table15[[#This Row],[Material]],FINI_grouping_for_wheel[Material],0)))</f>
        <v>1</v>
      </c>
    </row>
    <row r="710" spans="1:4">
      <c r="A710" t="s">
        <v>2895</v>
      </c>
      <c r="B710">
        <v>2</v>
      </c>
      <c r="C710">
        <v>32</v>
      </c>
      <c r="D710" t="b">
        <f ca="1">EXACT(Table15[[#This Row],[RoC selected PV]],INDEX(FINI_grouping_for_wheel[RoC selected PV],MATCH(Table15[[#This Row],[Material]],FINI_grouping_for_wheel[Material],0)))</f>
        <v>1</v>
      </c>
    </row>
    <row r="711" spans="1:4">
      <c r="A711" t="s">
        <v>2898</v>
      </c>
      <c r="B711">
        <v>2</v>
      </c>
      <c r="C711">
        <v>32</v>
      </c>
      <c r="D711" t="b">
        <f ca="1">EXACT(Table15[[#This Row],[RoC selected PV]],INDEX(FINI_grouping_for_wheel[RoC selected PV],MATCH(Table15[[#This Row],[Material]],FINI_grouping_for_wheel[Material],0)))</f>
        <v>1</v>
      </c>
    </row>
    <row r="712" spans="1:4">
      <c r="A712" t="s">
        <v>2903</v>
      </c>
      <c r="B712">
        <v>20</v>
      </c>
      <c r="C712">
        <v>319</v>
      </c>
      <c r="D712" t="b">
        <f ca="1">EXACT(Table15[[#This Row],[RoC selected PV]],INDEX(FINI_grouping_for_wheel[RoC selected PV],MATCH(Table15[[#This Row],[Material]],FINI_grouping_for_wheel[Material],0)))</f>
        <v>1</v>
      </c>
    </row>
    <row r="713" spans="1:4">
      <c r="A713" t="s">
        <v>2906</v>
      </c>
      <c r="B713">
        <v>3</v>
      </c>
      <c r="C713">
        <v>22</v>
      </c>
      <c r="D713" t="b">
        <f ca="1">EXACT(Table15[[#This Row],[RoC selected PV]],INDEX(FINI_grouping_for_wheel[RoC selected PV],MATCH(Table15[[#This Row],[Material]],FINI_grouping_for_wheel[Material],0)))</f>
        <v>1</v>
      </c>
    </row>
    <row r="714" spans="1:4">
      <c r="A714" t="s">
        <v>2911</v>
      </c>
      <c r="B714">
        <v>3</v>
      </c>
      <c r="C714">
        <v>22</v>
      </c>
      <c r="D714" t="b">
        <f ca="1">EXACT(Table15[[#This Row],[RoC selected PV]],INDEX(FINI_grouping_for_wheel[RoC selected PV],MATCH(Table15[[#This Row],[Material]],FINI_grouping_for_wheel[Material],0)))</f>
        <v>1</v>
      </c>
    </row>
    <row r="715" spans="1:4">
      <c r="A715" t="s">
        <v>2914</v>
      </c>
      <c r="B715">
        <v>1</v>
      </c>
      <c r="C715">
        <v>20</v>
      </c>
      <c r="D715" t="b">
        <f ca="1">EXACT(Table15[[#This Row],[RoC selected PV]],INDEX(FINI_grouping_for_wheel[RoC selected PV],MATCH(Table15[[#This Row],[Material]],FINI_grouping_for_wheel[Material],0)))</f>
        <v>1</v>
      </c>
    </row>
    <row r="716" spans="1:4">
      <c r="A716" t="s">
        <v>2919</v>
      </c>
      <c r="B716">
        <v>2</v>
      </c>
      <c r="C716">
        <v>32</v>
      </c>
      <c r="D716" t="b">
        <f ca="1">EXACT(Table15[[#This Row],[RoC selected PV]],INDEX(FINI_grouping_for_wheel[RoC selected PV],MATCH(Table15[[#This Row],[Material]],FINI_grouping_for_wheel[Material],0)))</f>
        <v>1</v>
      </c>
    </row>
    <row r="717" spans="1:4">
      <c r="A717" t="s">
        <v>2924</v>
      </c>
      <c r="B717">
        <v>20</v>
      </c>
      <c r="C717">
        <v>319</v>
      </c>
      <c r="D717" t="b">
        <f ca="1">EXACT(Table15[[#This Row],[RoC selected PV]],INDEX(FINI_grouping_for_wheel[RoC selected PV],MATCH(Table15[[#This Row],[Material]],FINI_grouping_for_wheel[Material],0)))</f>
        <v>1</v>
      </c>
    </row>
    <row r="718" spans="1:4">
      <c r="A718" t="s">
        <v>2927</v>
      </c>
      <c r="B718">
        <v>20</v>
      </c>
      <c r="C718">
        <v>319</v>
      </c>
      <c r="D718" t="b">
        <f ca="1">EXACT(Table15[[#This Row],[RoC selected PV]],INDEX(FINI_grouping_for_wheel[RoC selected PV],MATCH(Table15[[#This Row],[Material]],FINI_grouping_for_wheel[Material],0)))</f>
        <v>1</v>
      </c>
    </row>
    <row r="719" spans="1:4">
      <c r="A719" t="s">
        <v>2931</v>
      </c>
      <c r="B719">
        <v>3</v>
      </c>
      <c r="C719">
        <v>281</v>
      </c>
      <c r="D719" t="b">
        <f ca="1">EXACT(Table15[[#This Row],[RoC selected PV]],INDEX(FINI_grouping_for_wheel[RoC selected PV],MATCH(Table15[[#This Row],[Material]],FINI_grouping_for_wheel[Material],0)))</f>
        <v>1</v>
      </c>
    </row>
    <row r="720" spans="1:4">
      <c r="A720" t="s">
        <v>2935</v>
      </c>
      <c r="B720">
        <v>3</v>
      </c>
      <c r="C720">
        <v>281</v>
      </c>
      <c r="D720" t="b">
        <f ca="1">EXACT(Table15[[#This Row],[RoC selected PV]],INDEX(FINI_grouping_for_wheel[RoC selected PV],MATCH(Table15[[#This Row],[Material]],FINI_grouping_for_wheel[Material],0)))</f>
        <v>1</v>
      </c>
    </row>
    <row r="721" spans="1:4">
      <c r="A721" t="s">
        <v>2938</v>
      </c>
      <c r="B721">
        <v>4</v>
      </c>
      <c r="C721">
        <v>73</v>
      </c>
      <c r="D721" t="b">
        <f ca="1">EXACT(Table15[[#This Row],[RoC selected PV]],INDEX(FINI_grouping_for_wheel[RoC selected PV],MATCH(Table15[[#This Row],[Material]],FINI_grouping_for_wheel[Material],0)))</f>
        <v>1</v>
      </c>
    </row>
    <row r="722" spans="1:4">
      <c r="A722" t="s">
        <v>2943</v>
      </c>
      <c r="B722">
        <v>4</v>
      </c>
      <c r="C722">
        <v>73</v>
      </c>
      <c r="D722" t="b">
        <f ca="1">EXACT(Table15[[#This Row],[RoC selected PV]],INDEX(FINI_grouping_for_wheel[RoC selected PV],MATCH(Table15[[#This Row],[Material]],FINI_grouping_for_wheel[Material],0)))</f>
        <v>1</v>
      </c>
    </row>
    <row r="723" spans="1:4">
      <c r="A723" t="s">
        <v>2948</v>
      </c>
      <c r="B723">
        <v>5</v>
      </c>
      <c r="C723">
        <v>86</v>
      </c>
      <c r="D723" t="b">
        <f ca="1">EXACT(Table15[[#This Row],[RoC selected PV]],INDEX(FINI_grouping_for_wheel[RoC selected PV],MATCH(Table15[[#This Row],[Material]],FINI_grouping_for_wheel[Material],0)))</f>
        <v>1</v>
      </c>
    </row>
    <row r="724" spans="1:4">
      <c r="A724" t="s">
        <v>2953</v>
      </c>
      <c r="B724">
        <v>5</v>
      </c>
      <c r="C724">
        <v>86</v>
      </c>
      <c r="D724" t="b">
        <f ca="1">EXACT(Table15[[#This Row],[RoC selected PV]],INDEX(FINI_grouping_for_wheel[RoC selected PV],MATCH(Table15[[#This Row],[Material]],FINI_grouping_for_wheel[Material],0)))</f>
        <v>1</v>
      </c>
    </row>
    <row r="725" spans="1:4">
      <c r="A725" t="s">
        <v>2958</v>
      </c>
      <c r="B725">
        <v>5</v>
      </c>
      <c r="C725">
        <v>86</v>
      </c>
      <c r="D725" t="b">
        <f ca="1">EXACT(Table15[[#This Row],[RoC selected PV]],INDEX(FINI_grouping_for_wheel[RoC selected PV],MATCH(Table15[[#This Row],[Material]],FINI_grouping_for_wheel[Material],0)))</f>
        <v>1</v>
      </c>
    </row>
    <row r="726" spans="1:4">
      <c r="A726" t="s">
        <v>2963</v>
      </c>
      <c r="B726">
        <v>3</v>
      </c>
      <c r="C726">
        <v>281</v>
      </c>
      <c r="D726" t="b">
        <f ca="1">EXACT(Table15[[#This Row],[RoC selected PV]],INDEX(FINI_grouping_for_wheel[RoC selected PV],MATCH(Table15[[#This Row],[Material]],FINI_grouping_for_wheel[Material],0)))</f>
        <v>1</v>
      </c>
    </row>
    <row r="727" spans="1:4">
      <c r="A727" t="s">
        <v>2969</v>
      </c>
      <c r="B727">
        <v>3</v>
      </c>
      <c r="C727">
        <v>281</v>
      </c>
      <c r="D727" t="b">
        <f ca="1">EXACT(Table15[[#This Row],[RoC selected PV]],INDEX(FINI_grouping_for_wheel[RoC selected PV],MATCH(Table15[[#This Row],[Material]],FINI_grouping_for_wheel[Material],0)))</f>
        <v>1</v>
      </c>
    </row>
    <row r="728" spans="1:4">
      <c r="A728" t="s">
        <v>2972</v>
      </c>
      <c r="B728">
        <v>1</v>
      </c>
      <c r="C728">
        <v>24</v>
      </c>
      <c r="D728" t="b">
        <f ca="1">EXACT(Table15[[#This Row],[RoC selected PV]],INDEX(FINI_grouping_for_wheel[RoC selected PV],MATCH(Table15[[#This Row],[Material]],FINI_grouping_for_wheel[Material],0)))</f>
        <v>1</v>
      </c>
    </row>
    <row r="729" spans="1:4">
      <c r="A729" t="s">
        <v>2977</v>
      </c>
      <c r="B729">
        <v>2</v>
      </c>
      <c r="C729">
        <v>20</v>
      </c>
      <c r="D729" t="b">
        <f ca="1">EXACT(Table15[[#This Row],[RoC selected PV]],INDEX(FINI_grouping_for_wheel[RoC selected PV],MATCH(Table15[[#This Row],[Material]],FINI_grouping_for_wheel[Material],0)))</f>
        <v>1</v>
      </c>
    </row>
    <row r="730" spans="1:4">
      <c r="A730" t="s">
        <v>2980</v>
      </c>
      <c r="B730">
        <v>1</v>
      </c>
      <c r="C730">
        <v>24</v>
      </c>
      <c r="D730" t="b">
        <f ca="1">EXACT(Table15[[#This Row],[RoC selected PV]],INDEX(FINI_grouping_for_wheel[RoC selected PV],MATCH(Table15[[#This Row],[Material]],FINI_grouping_for_wheel[Material],0)))</f>
        <v>1</v>
      </c>
    </row>
    <row r="731" spans="1:4">
      <c r="A731" t="s">
        <v>2985</v>
      </c>
      <c r="B731">
        <v>2</v>
      </c>
      <c r="C731">
        <v>20</v>
      </c>
      <c r="D731" t="b">
        <f ca="1">EXACT(Table15[[#This Row],[RoC selected PV]],INDEX(FINI_grouping_for_wheel[RoC selected PV],MATCH(Table15[[#This Row],[Material]],FINI_grouping_for_wheel[Material],0)))</f>
        <v>1</v>
      </c>
    </row>
    <row r="732" spans="1:4">
      <c r="A732" t="s">
        <v>2991</v>
      </c>
      <c r="B732">
        <v>200</v>
      </c>
      <c r="C732">
        <v>245</v>
      </c>
      <c r="D732" t="b">
        <f ca="1">EXACT(Table15[[#This Row],[RoC selected PV]],INDEX(FINI_grouping_for_wheel[RoC selected PV],MATCH(Table15[[#This Row],[Material]],FINI_grouping_for_wheel[Material],0)))</f>
        <v>1</v>
      </c>
    </row>
    <row r="733" spans="1:4">
      <c r="A733" t="s">
        <v>2995</v>
      </c>
      <c r="B733">
        <v>200</v>
      </c>
      <c r="C733">
        <v>245</v>
      </c>
      <c r="D733" t="b">
        <f ca="1">EXACT(Table15[[#This Row],[RoC selected PV]],INDEX(FINI_grouping_for_wheel[RoC selected PV],MATCH(Table15[[#This Row],[Material]],FINI_grouping_for_wheel[Material],0)))</f>
        <v>1</v>
      </c>
    </row>
    <row r="734" spans="1:4">
      <c r="A734" t="s">
        <v>2998</v>
      </c>
      <c r="B734">
        <v>200</v>
      </c>
      <c r="C734">
        <v>245</v>
      </c>
      <c r="D734" t="b">
        <f ca="1">EXACT(Table15[[#This Row],[RoC selected PV]],INDEX(FINI_grouping_for_wheel[RoC selected PV],MATCH(Table15[[#This Row],[Material]],FINI_grouping_for_wheel[Material],0)))</f>
        <v>1</v>
      </c>
    </row>
    <row r="735" spans="1:4">
      <c r="A735" t="s">
        <v>3001</v>
      </c>
      <c r="B735">
        <v>200</v>
      </c>
      <c r="C735">
        <v>245</v>
      </c>
      <c r="D735" t="b">
        <f ca="1">EXACT(Table15[[#This Row],[RoC selected PV]],INDEX(FINI_grouping_for_wheel[RoC selected PV],MATCH(Table15[[#This Row],[Material]],FINI_grouping_for_wheel[Material],0)))</f>
        <v>1</v>
      </c>
    </row>
    <row r="736" spans="1:4">
      <c r="A736" t="s">
        <v>3004</v>
      </c>
      <c r="B736">
        <v>90</v>
      </c>
      <c r="C736">
        <v>72</v>
      </c>
      <c r="D736" t="b">
        <f ca="1">EXACT(Table15[[#This Row],[RoC selected PV]],INDEX(FINI_grouping_for_wheel[RoC selected PV],MATCH(Table15[[#This Row],[Material]],FINI_grouping_for_wheel[Material],0)))</f>
        <v>1</v>
      </c>
    </row>
    <row r="737" spans="1:4">
      <c r="A737" t="s">
        <v>3007</v>
      </c>
      <c r="B737">
        <v>1</v>
      </c>
      <c r="C737">
        <v>16</v>
      </c>
      <c r="D737" t="b">
        <f ca="1">EXACT(Table15[[#This Row],[RoC selected PV]],INDEX(FINI_grouping_for_wheel[RoC selected PV],MATCH(Table15[[#This Row],[Material]],FINI_grouping_for_wheel[Material],0)))</f>
        <v>1</v>
      </c>
    </row>
    <row r="738" spans="1:4">
      <c r="A738" t="s">
        <v>3012</v>
      </c>
      <c r="B738">
        <v>2</v>
      </c>
      <c r="C738">
        <v>22</v>
      </c>
      <c r="D738" t="b">
        <f ca="1">EXACT(Table15[[#This Row],[RoC selected PV]],INDEX(FINI_grouping_for_wheel[RoC selected PV],MATCH(Table15[[#This Row],[Material]],FINI_grouping_for_wheel[Material],0)))</f>
        <v>1</v>
      </c>
    </row>
    <row r="739" spans="1:4">
      <c r="A739" t="s">
        <v>3015</v>
      </c>
      <c r="B739">
        <v>90</v>
      </c>
      <c r="C739">
        <v>72</v>
      </c>
      <c r="D739" t="b">
        <f ca="1">EXACT(Table15[[#This Row],[RoC selected PV]],INDEX(FINI_grouping_for_wheel[RoC selected PV],MATCH(Table15[[#This Row],[Material]],FINI_grouping_for_wheel[Material],0)))</f>
        <v>1</v>
      </c>
    </row>
    <row r="740" spans="1:4">
      <c r="A740" t="s">
        <v>3018</v>
      </c>
      <c r="B740">
        <v>200</v>
      </c>
      <c r="C740">
        <v>245</v>
      </c>
      <c r="D740" t="b">
        <f ca="1">EXACT(Table15[[#This Row],[RoC selected PV]],INDEX(FINI_grouping_for_wheel[RoC selected PV],MATCH(Table15[[#This Row],[Material]],FINI_grouping_for_wheel[Material],0)))</f>
        <v>1</v>
      </c>
    </row>
    <row r="741" spans="1:4">
      <c r="A741" t="s">
        <v>3021</v>
      </c>
      <c r="B741">
        <v>1</v>
      </c>
      <c r="C741">
        <v>16</v>
      </c>
      <c r="D741" t="b">
        <f ca="1">EXACT(Table15[[#This Row],[RoC selected PV]],INDEX(FINI_grouping_for_wheel[RoC selected PV],MATCH(Table15[[#This Row],[Material]],FINI_grouping_for_wheel[Material],0)))</f>
        <v>1</v>
      </c>
    </row>
    <row r="742" spans="1:4">
      <c r="A742" t="s">
        <v>3026</v>
      </c>
      <c r="B742">
        <v>2</v>
      </c>
      <c r="C742">
        <v>22</v>
      </c>
      <c r="D742" t="b">
        <f ca="1">EXACT(Table15[[#This Row],[RoC selected PV]],INDEX(FINI_grouping_for_wheel[RoC selected PV],MATCH(Table15[[#This Row],[Material]],FINI_grouping_for_wheel[Material],0)))</f>
        <v>1</v>
      </c>
    </row>
    <row r="743" spans="1:4">
      <c r="A743" t="s">
        <v>3030</v>
      </c>
      <c r="B743">
        <v>100</v>
      </c>
      <c r="C743">
        <v>201</v>
      </c>
      <c r="D743" t="b">
        <f ca="1">EXACT(Table15[[#This Row],[RoC selected PV]],INDEX(FINI_grouping_for_wheel[RoC selected PV],MATCH(Table15[[#This Row],[Material]],FINI_grouping_for_wheel[Material],0)))</f>
        <v>1</v>
      </c>
    </row>
    <row r="744" spans="1:4">
      <c r="A744" t="s">
        <v>3036</v>
      </c>
      <c r="B744">
        <v>2</v>
      </c>
      <c r="C744">
        <v>26</v>
      </c>
      <c r="D744" t="b">
        <f ca="1">EXACT(Table15[[#This Row],[RoC selected PV]],INDEX(FINI_grouping_for_wheel[RoC selected PV],MATCH(Table15[[#This Row],[Material]],FINI_grouping_for_wheel[Material],0)))</f>
        <v>1</v>
      </c>
    </row>
    <row r="745" spans="1:4">
      <c r="A745" t="s">
        <v>3039</v>
      </c>
      <c r="B745">
        <v>3</v>
      </c>
      <c r="C745">
        <v>170</v>
      </c>
      <c r="D745" t="b">
        <f ca="1">EXACT(Table15[[#This Row],[RoC selected PV]],INDEX(FINI_grouping_for_wheel[RoC selected PV],MATCH(Table15[[#This Row],[Material]],FINI_grouping_for_wheel[Material],0)))</f>
        <v>1</v>
      </c>
    </row>
    <row r="746" spans="1:4">
      <c r="A746" t="s">
        <v>3043</v>
      </c>
      <c r="B746">
        <v>3</v>
      </c>
      <c r="C746">
        <v>170</v>
      </c>
      <c r="D746" t="b">
        <f ca="1">EXACT(Table15[[#This Row],[RoC selected PV]],INDEX(FINI_grouping_for_wheel[RoC selected PV],MATCH(Table15[[#This Row],[Material]],FINI_grouping_for_wheel[Material],0)))</f>
        <v>1</v>
      </c>
    </row>
    <row r="747" spans="1:4">
      <c r="A747" t="s">
        <v>3046</v>
      </c>
      <c r="B747">
        <v>3</v>
      </c>
      <c r="C747">
        <v>170</v>
      </c>
      <c r="D747" t="b">
        <f ca="1">EXACT(Table15[[#This Row],[RoC selected PV]],INDEX(FINI_grouping_for_wheel[RoC selected PV],MATCH(Table15[[#This Row],[Material]],FINI_grouping_for_wheel[Material],0)))</f>
        <v>1</v>
      </c>
    </row>
    <row r="748" spans="1:4">
      <c r="A748" t="s">
        <v>3049</v>
      </c>
      <c r="B748">
        <v>3</v>
      </c>
      <c r="C748">
        <v>170</v>
      </c>
      <c r="D748" t="b">
        <f ca="1">EXACT(Table15[[#This Row],[RoC selected PV]],INDEX(FINI_grouping_for_wheel[RoC selected PV],MATCH(Table15[[#This Row],[Material]],FINI_grouping_for_wheel[Material],0)))</f>
        <v>1</v>
      </c>
    </row>
    <row r="749" spans="1:4">
      <c r="A749" t="s">
        <v>3054</v>
      </c>
      <c r="B749">
        <v>4</v>
      </c>
      <c r="C749">
        <v>200</v>
      </c>
      <c r="D749" t="b">
        <f ca="1">EXACT(Table15[[#This Row],[RoC selected PV]],INDEX(FINI_grouping_for_wheel[RoC selected PV],MATCH(Table15[[#This Row],[Material]],FINI_grouping_for_wheel[Material],0)))</f>
        <v>1</v>
      </c>
    </row>
    <row r="750" spans="1:4">
      <c r="A750" t="s">
        <v>3057</v>
      </c>
      <c r="B750">
        <v>5</v>
      </c>
      <c r="C750">
        <v>181</v>
      </c>
      <c r="D750" t="b">
        <f ca="1">EXACT(Table15[[#This Row],[RoC selected PV]],INDEX(FINI_grouping_for_wheel[RoC selected PV],MATCH(Table15[[#This Row],[Material]],FINI_grouping_for_wheel[Material],0)))</f>
        <v>1</v>
      </c>
    </row>
    <row r="751" spans="1:4">
      <c r="A751" t="s">
        <v>3060</v>
      </c>
      <c r="B751">
        <v>90</v>
      </c>
      <c r="C751">
        <v>153</v>
      </c>
      <c r="D751" t="b">
        <f ca="1">EXACT(Table15[[#This Row],[RoC selected PV]],INDEX(FINI_grouping_for_wheel[RoC selected PV],MATCH(Table15[[#This Row],[Material]],FINI_grouping_for_wheel[Material],0)))</f>
        <v>1</v>
      </c>
    </row>
    <row r="752" spans="1:4">
      <c r="A752" t="s">
        <v>3063</v>
      </c>
      <c r="B752">
        <v>100</v>
      </c>
      <c r="C752">
        <v>201</v>
      </c>
      <c r="D752" t="b">
        <f ca="1">EXACT(Table15[[#This Row],[RoC selected PV]],INDEX(FINI_grouping_for_wheel[RoC selected PV],MATCH(Table15[[#This Row],[Material]],FINI_grouping_for_wheel[Material],0)))</f>
        <v>1</v>
      </c>
    </row>
    <row r="753" spans="1:4">
      <c r="A753" t="s">
        <v>3069</v>
      </c>
      <c r="B753">
        <v>3</v>
      </c>
      <c r="C753">
        <v>170</v>
      </c>
      <c r="D753" t="b">
        <f ca="1">EXACT(Table15[[#This Row],[RoC selected PV]],INDEX(FINI_grouping_for_wheel[RoC selected PV],MATCH(Table15[[#This Row],[Material]],FINI_grouping_for_wheel[Material],0)))</f>
        <v>1</v>
      </c>
    </row>
    <row r="754" spans="1:4">
      <c r="A754" t="s">
        <v>3072</v>
      </c>
      <c r="B754">
        <v>4</v>
      </c>
      <c r="C754">
        <v>200</v>
      </c>
      <c r="D754" t="b">
        <f ca="1">EXACT(Table15[[#This Row],[RoC selected PV]],INDEX(FINI_grouping_for_wheel[RoC selected PV],MATCH(Table15[[#This Row],[Material]],FINI_grouping_for_wheel[Material],0)))</f>
        <v>1</v>
      </c>
    </row>
    <row r="755" spans="1:4">
      <c r="A755" t="s">
        <v>3075</v>
      </c>
      <c r="B755">
        <v>4</v>
      </c>
      <c r="C755">
        <v>200</v>
      </c>
      <c r="D755" t="b">
        <f ca="1">EXACT(Table15[[#This Row],[RoC selected PV]],INDEX(FINI_grouping_for_wheel[RoC selected PV],MATCH(Table15[[#This Row],[Material]],FINI_grouping_for_wheel[Material],0)))</f>
        <v>1</v>
      </c>
    </row>
    <row r="756" spans="1:4">
      <c r="A756" t="s">
        <v>3078</v>
      </c>
      <c r="B756">
        <v>4</v>
      </c>
      <c r="C756">
        <v>200</v>
      </c>
      <c r="D756" t="b">
        <f ca="1">EXACT(Table15[[#This Row],[RoC selected PV]],INDEX(FINI_grouping_for_wheel[RoC selected PV],MATCH(Table15[[#This Row],[Material]],FINI_grouping_for_wheel[Material],0)))</f>
        <v>1</v>
      </c>
    </row>
    <row r="757" spans="1:4">
      <c r="A757" t="s">
        <v>3081</v>
      </c>
      <c r="B757">
        <v>4</v>
      </c>
      <c r="C757">
        <v>200</v>
      </c>
      <c r="D757" t="b">
        <f ca="1">EXACT(Table15[[#This Row],[RoC selected PV]],INDEX(FINI_grouping_for_wheel[RoC selected PV],MATCH(Table15[[#This Row],[Material]],FINI_grouping_for_wheel[Material],0)))</f>
        <v>1</v>
      </c>
    </row>
    <row r="758" spans="1:4">
      <c r="A758" t="s">
        <v>3084</v>
      </c>
      <c r="B758">
        <v>200</v>
      </c>
      <c r="C758">
        <v>143</v>
      </c>
      <c r="D758" t="b">
        <f ca="1">EXACT(Table15[[#This Row],[RoC selected PV]],INDEX(FINI_grouping_for_wheel[RoC selected PV],MATCH(Table15[[#This Row],[Material]],FINI_grouping_for_wheel[Material],0)))</f>
        <v>1</v>
      </c>
    </row>
    <row r="759" spans="1:4">
      <c r="A759" t="s">
        <v>3087</v>
      </c>
      <c r="B759">
        <v>200</v>
      </c>
      <c r="C759">
        <v>143</v>
      </c>
      <c r="D759" t="b">
        <f ca="1">EXACT(Table15[[#This Row],[RoC selected PV]],INDEX(FINI_grouping_for_wheel[RoC selected PV],MATCH(Table15[[#This Row],[Material]],FINI_grouping_for_wheel[Material],0)))</f>
        <v>1</v>
      </c>
    </row>
    <row r="760" spans="1:4">
      <c r="A760" t="s">
        <v>3090</v>
      </c>
      <c r="B760">
        <v>100</v>
      </c>
      <c r="C760">
        <v>201</v>
      </c>
      <c r="D760" t="b">
        <f ca="1">EXACT(Table15[[#This Row],[RoC selected PV]],INDEX(FINI_grouping_for_wheel[RoC selected PV],MATCH(Table15[[#This Row],[Material]],FINI_grouping_for_wheel[Material],0)))</f>
        <v>1</v>
      </c>
    </row>
    <row r="761" spans="1:4">
      <c r="A761" t="s">
        <v>3093</v>
      </c>
      <c r="B761">
        <v>100</v>
      </c>
      <c r="C761">
        <v>201</v>
      </c>
      <c r="D761" t="b">
        <f ca="1">EXACT(Table15[[#This Row],[RoC selected PV]],INDEX(FINI_grouping_for_wheel[RoC selected PV],MATCH(Table15[[#This Row],[Material]],FINI_grouping_for_wheel[Material],0)))</f>
        <v>1</v>
      </c>
    </row>
    <row r="762" spans="1:4">
      <c r="A762" t="s">
        <v>3096</v>
      </c>
      <c r="B762">
        <v>100</v>
      </c>
      <c r="C762">
        <v>201</v>
      </c>
      <c r="D762" t="b">
        <f ca="1">EXACT(Table15[[#This Row],[RoC selected PV]],INDEX(FINI_grouping_for_wheel[RoC selected PV],MATCH(Table15[[#This Row],[Material]],FINI_grouping_for_wheel[Material],0)))</f>
        <v>1</v>
      </c>
    </row>
    <row r="763" spans="1:4">
      <c r="A763" t="s">
        <v>3099</v>
      </c>
      <c r="B763">
        <v>100</v>
      </c>
      <c r="C763">
        <v>201</v>
      </c>
      <c r="D763" t="b">
        <f ca="1">EXACT(Table15[[#This Row],[RoC selected PV]],INDEX(FINI_grouping_for_wheel[RoC selected PV],MATCH(Table15[[#This Row],[Material]],FINI_grouping_for_wheel[Material],0)))</f>
        <v>1</v>
      </c>
    </row>
    <row r="764" spans="1:4">
      <c r="A764" t="s">
        <v>3102</v>
      </c>
      <c r="B764">
        <v>100</v>
      </c>
      <c r="C764">
        <v>201</v>
      </c>
      <c r="D764" t="b">
        <f ca="1">EXACT(Table15[[#This Row],[RoC selected PV]],INDEX(FINI_grouping_for_wheel[RoC selected PV],MATCH(Table15[[#This Row],[Material]],FINI_grouping_for_wheel[Material],0)))</f>
        <v>1</v>
      </c>
    </row>
    <row r="765" spans="1:4">
      <c r="A765" t="s">
        <v>3105</v>
      </c>
      <c r="B765">
        <v>70</v>
      </c>
      <c r="C765">
        <v>110</v>
      </c>
      <c r="D765" t="b">
        <f ca="1">EXACT(Table15[[#This Row],[RoC selected PV]],INDEX(FINI_grouping_for_wheel[RoC selected PV],MATCH(Table15[[#This Row],[Material]],FINI_grouping_for_wheel[Material],0)))</f>
        <v>1</v>
      </c>
    </row>
    <row r="766" spans="1:4">
      <c r="A766" t="s">
        <v>3108</v>
      </c>
      <c r="B766">
        <v>70</v>
      </c>
      <c r="C766">
        <v>110</v>
      </c>
      <c r="D766" t="b">
        <f ca="1">EXACT(Table15[[#This Row],[RoC selected PV]],INDEX(FINI_grouping_for_wheel[RoC selected PV],MATCH(Table15[[#This Row],[Material]],FINI_grouping_for_wheel[Material],0)))</f>
        <v>1</v>
      </c>
    </row>
    <row r="767" spans="1:4">
      <c r="A767" t="s">
        <v>3111</v>
      </c>
      <c r="B767">
        <v>70</v>
      </c>
      <c r="C767">
        <v>110</v>
      </c>
      <c r="D767" t="b">
        <f ca="1">EXACT(Table15[[#This Row],[RoC selected PV]],INDEX(FINI_grouping_for_wheel[RoC selected PV],MATCH(Table15[[#This Row],[Material]],FINI_grouping_for_wheel[Material],0)))</f>
        <v>1</v>
      </c>
    </row>
    <row r="768" spans="1:4">
      <c r="A768" t="s">
        <v>3114</v>
      </c>
      <c r="B768">
        <v>70</v>
      </c>
      <c r="C768">
        <v>110</v>
      </c>
      <c r="D768" t="b">
        <f ca="1">EXACT(Table15[[#This Row],[RoC selected PV]],INDEX(FINI_grouping_for_wheel[RoC selected PV],MATCH(Table15[[#This Row],[Material]],FINI_grouping_for_wheel[Material],0)))</f>
        <v>1</v>
      </c>
    </row>
    <row r="769" spans="1:4">
      <c r="A769" t="s">
        <v>3117</v>
      </c>
      <c r="B769">
        <v>90</v>
      </c>
      <c r="C769">
        <v>153</v>
      </c>
      <c r="D769" t="b">
        <f ca="1">EXACT(Table15[[#This Row],[RoC selected PV]],INDEX(FINI_grouping_for_wheel[RoC selected PV],MATCH(Table15[[#This Row],[Material]],FINI_grouping_for_wheel[Material],0)))</f>
        <v>1</v>
      </c>
    </row>
    <row r="770" spans="1:4">
      <c r="A770" t="s">
        <v>3120</v>
      </c>
      <c r="B770">
        <v>70</v>
      </c>
      <c r="C770">
        <v>110</v>
      </c>
      <c r="D770" t="b">
        <f ca="1">EXACT(Table15[[#This Row],[RoC selected PV]],INDEX(FINI_grouping_for_wheel[RoC selected PV],MATCH(Table15[[#This Row],[Material]],FINI_grouping_for_wheel[Material],0)))</f>
        <v>1</v>
      </c>
    </row>
    <row r="771" spans="1:4">
      <c r="A771" t="s">
        <v>3125</v>
      </c>
      <c r="B771">
        <v>2</v>
      </c>
      <c r="C771">
        <v>26</v>
      </c>
      <c r="D771" t="b">
        <f ca="1">EXACT(Table15[[#This Row],[RoC selected PV]],INDEX(FINI_grouping_for_wheel[RoC selected PV],MATCH(Table15[[#This Row],[Material]],FINI_grouping_for_wheel[Material],0)))</f>
        <v>1</v>
      </c>
    </row>
    <row r="772" spans="1:4">
      <c r="A772" t="s">
        <v>3130</v>
      </c>
      <c r="B772">
        <v>1</v>
      </c>
      <c r="C772">
        <v>28</v>
      </c>
      <c r="D772" t="b">
        <f ca="1">EXACT(Table15[[#This Row],[RoC selected PV]],INDEX(FINI_grouping_for_wheel[RoC selected PV],MATCH(Table15[[#This Row],[Material]],FINI_grouping_for_wheel[Material],0)))</f>
        <v>1</v>
      </c>
    </row>
    <row r="773" spans="1:4">
      <c r="A773" t="s">
        <v>3135</v>
      </c>
      <c r="B773">
        <v>1</v>
      </c>
      <c r="C773">
        <v>28</v>
      </c>
      <c r="D773" t="b">
        <f ca="1">EXACT(Table15[[#This Row],[RoC selected PV]],INDEX(FINI_grouping_for_wheel[RoC selected PV],MATCH(Table15[[#This Row],[Material]],FINI_grouping_for_wheel[Material],0)))</f>
        <v>1</v>
      </c>
    </row>
    <row r="774" spans="1:4">
      <c r="A774" t="s">
        <v>3139</v>
      </c>
      <c r="B774">
        <v>3</v>
      </c>
      <c r="C774">
        <v>172</v>
      </c>
      <c r="D774" t="b">
        <f ca="1">EXACT(Table15[[#This Row],[RoC selected PV]],INDEX(FINI_grouping_for_wheel[RoC selected PV],MATCH(Table15[[#This Row],[Material]],FINI_grouping_for_wheel[Material],0)))</f>
        <v>1</v>
      </c>
    </row>
    <row r="775" spans="1:4">
      <c r="A775" t="s">
        <v>3143</v>
      </c>
      <c r="B775">
        <v>4</v>
      </c>
      <c r="C775">
        <v>129</v>
      </c>
      <c r="D775" t="b">
        <f ca="1">EXACT(Table15[[#This Row],[RoC selected PV]],INDEX(FINI_grouping_for_wheel[RoC selected PV],MATCH(Table15[[#This Row],[Material]],FINI_grouping_for_wheel[Material],0)))</f>
        <v>1</v>
      </c>
    </row>
    <row r="776" spans="1:4">
      <c r="A776" t="s">
        <v>3146</v>
      </c>
      <c r="B776">
        <v>1</v>
      </c>
      <c r="C776">
        <v>19</v>
      </c>
      <c r="D776" t="b">
        <f ca="1">EXACT(Table15[[#This Row],[RoC selected PV]],INDEX(FINI_grouping_for_wheel[RoC selected PV],MATCH(Table15[[#This Row],[Material]],FINI_grouping_for_wheel[Material],0)))</f>
        <v>1</v>
      </c>
    </row>
    <row r="777" spans="1:4">
      <c r="A777" t="s">
        <v>3149</v>
      </c>
      <c r="B777">
        <v>100</v>
      </c>
      <c r="C777">
        <v>128</v>
      </c>
      <c r="D777" t="b">
        <f ca="1">EXACT(Table15[[#This Row],[RoC selected PV]],INDEX(FINI_grouping_for_wheel[RoC selected PV],MATCH(Table15[[#This Row],[Material]],FINI_grouping_for_wheel[Material],0)))</f>
        <v>1</v>
      </c>
    </row>
    <row r="778" spans="1:4">
      <c r="A778" t="s">
        <v>3152</v>
      </c>
      <c r="B778">
        <v>4</v>
      </c>
      <c r="C778">
        <v>129</v>
      </c>
      <c r="D778" t="b">
        <f ca="1">EXACT(Table15[[#This Row],[RoC selected PV]],INDEX(FINI_grouping_for_wheel[RoC selected PV],MATCH(Table15[[#This Row],[Material]],FINI_grouping_for_wheel[Material],0)))</f>
        <v>1</v>
      </c>
    </row>
    <row r="779" spans="1:4">
      <c r="A779" t="s">
        <v>3155</v>
      </c>
      <c r="B779">
        <v>3</v>
      </c>
      <c r="C779">
        <v>172</v>
      </c>
      <c r="D779" t="b">
        <f ca="1">EXACT(Table15[[#This Row],[RoC selected PV]],INDEX(FINI_grouping_for_wheel[RoC selected PV],MATCH(Table15[[#This Row],[Material]],FINI_grouping_for_wheel[Material],0)))</f>
        <v>1</v>
      </c>
    </row>
    <row r="780" spans="1:4">
      <c r="A780" t="s">
        <v>3158</v>
      </c>
      <c r="B780">
        <v>4</v>
      </c>
      <c r="C780">
        <v>129</v>
      </c>
      <c r="D780" t="b">
        <f ca="1">EXACT(Table15[[#This Row],[RoC selected PV]],INDEX(FINI_grouping_for_wheel[RoC selected PV],MATCH(Table15[[#This Row],[Material]],FINI_grouping_for_wheel[Material],0)))</f>
        <v>1</v>
      </c>
    </row>
    <row r="781" spans="1:4">
      <c r="A781" t="s">
        <v>3161</v>
      </c>
      <c r="B781">
        <v>100</v>
      </c>
      <c r="C781">
        <v>128</v>
      </c>
      <c r="D781" t="b">
        <f ca="1">EXACT(Table15[[#This Row],[RoC selected PV]],INDEX(FINI_grouping_for_wheel[RoC selected PV],MATCH(Table15[[#This Row],[Material]],FINI_grouping_for_wheel[Material],0)))</f>
        <v>1</v>
      </c>
    </row>
    <row r="782" spans="1:4">
      <c r="A782" t="s">
        <v>3164</v>
      </c>
      <c r="B782">
        <v>4</v>
      </c>
      <c r="C782">
        <v>129</v>
      </c>
      <c r="D782" t="b">
        <f ca="1">EXACT(Table15[[#This Row],[RoC selected PV]],INDEX(FINI_grouping_for_wheel[RoC selected PV],MATCH(Table15[[#This Row],[Material]],FINI_grouping_for_wheel[Material],0)))</f>
        <v>1</v>
      </c>
    </row>
    <row r="783" spans="1:4">
      <c r="A783" t="s">
        <v>3167</v>
      </c>
      <c r="B783">
        <v>3</v>
      </c>
      <c r="C783">
        <v>172</v>
      </c>
      <c r="D783" t="b">
        <f ca="1">EXACT(Table15[[#This Row],[RoC selected PV]],INDEX(FINI_grouping_for_wheel[RoC selected PV],MATCH(Table15[[#This Row],[Material]],FINI_grouping_for_wheel[Material],0)))</f>
        <v>1</v>
      </c>
    </row>
    <row r="784" spans="1:4">
      <c r="A784" t="s">
        <v>3170</v>
      </c>
      <c r="B784">
        <v>5</v>
      </c>
      <c r="C784">
        <v>91</v>
      </c>
      <c r="D784" t="b">
        <f ca="1">EXACT(Table15[[#This Row],[RoC selected PV]],INDEX(FINI_grouping_for_wheel[RoC selected PV],MATCH(Table15[[#This Row],[Material]],FINI_grouping_for_wheel[Material],0)))</f>
        <v>1</v>
      </c>
    </row>
    <row r="785" spans="1:4">
      <c r="A785" t="s">
        <v>3173</v>
      </c>
      <c r="B785">
        <v>2</v>
      </c>
      <c r="C785">
        <v>26</v>
      </c>
      <c r="D785" t="b">
        <f ca="1">EXACT(Table15[[#This Row],[RoC selected PV]],INDEX(FINI_grouping_for_wheel[RoC selected PV],MATCH(Table15[[#This Row],[Material]],FINI_grouping_for_wheel[Material],0)))</f>
        <v>1</v>
      </c>
    </row>
    <row r="786" spans="1:4">
      <c r="A786" t="s">
        <v>3178</v>
      </c>
      <c r="B786">
        <v>5</v>
      </c>
      <c r="C786">
        <v>91</v>
      </c>
      <c r="D786" t="b">
        <f ca="1">EXACT(Table15[[#This Row],[RoC selected PV]],INDEX(FINI_grouping_for_wheel[RoC selected PV],MATCH(Table15[[#This Row],[Material]],FINI_grouping_for_wheel[Material],0)))</f>
        <v>1</v>
      </c>
    </row>
    <row r="787" spans="1:4">
      <c r="A787" t="s">
        <v>3181</v>
      </c>
      <c r="B787">
        <v>5</v>
      </c>
      <c r="C787">
        <v>91</v>
      </c>
      <c r="D787" t="b">
        <f ca="1">EXACT(Table15[[#This Row],[RoC selected PV]],INDEX(FINI_grouping_for_wheel[RoC selected PV],MATCH(Table15[[#This Row],[Material]],FINI_grouping_for_wheel[Material],0)))</f>
        <v>1</v>
      </c>
    </row>
    <row r="788" spans="1:4">
      <c r="A788" t="s">
        <v>3185</v>
      </c>
      <c r="B788">
        <v>2</v>
      </c>
      <c r="C788">
        <v>32</v>
      </c>
      <c r="D788" t="b">
        <f ca="1">EXACT(Table15[[#This Row],[RoC selected PV]],INDEX(FINI_grouping_for_wheel[RoC selected PV],MATCH(Table15[[#This Row],[Material]],FINI_grouping_for_wheel[Material],0)))</f>
        <v>1</v>
      </c>
    </row>
    <row r="789" spans="1:4">
      <c r="A789" t="s">
        <v>3189</v>
      </c>
      <c r="B789">
        <v>2</v>
      </c>
      <c r="C789">
        <v>32</v>
      </c>
      <c r="D789" t="b">
        <f ca="1">EXACT(Table15[[#This Row],[RoC selected PV]],INDEX(FINI_grouping_for_wheel[RoC selected PV],MATCH(Table15[[#This Row],[Material]],FINI_grouping_for_wheel[Material],0)))</f>
        <v>1</v>
      </c>
    </row>
    <row r="790" spans="1:4">
      <c r="A790" t="s">
        <v>3192</v>
      </c>
      <c r="B790">
        <v>200</v>
      </c>
      <c r="C790">
        <v>214</v>
      </c>
      <c r="D790" t="b">
        <f ca="1">EXACT(Table15[[#This Row],[RoC selected PV]],INDEX(FINI_grouping_for_wheel[RoC selected PV],MATCH(Table15[[#This Row],[Material]],FINI_grouping_for_wheel[Material],0)))</f>
        <v>1</v>
      </c>
    </row>
    <row r="791" spans="1:4">
      <c r="A791" t="s">
        <v>3195</v>
      </c>
      <c r="B791">
        <v>30</v>
      </c>
      <c r="C791">
        <v>706</v>
      </c>
      <c r="D791" t="b">
        <f ca="1">EXACT(Table15[[#This Row],[RoC selected PV]],INDEX(FINI_grouping_for_wheel[RoC selected PV],MATCH(Table15[[#This Row],[Material]],FINI_grouping_for_wheel[Material],0)))</f>
        <v>1</v>
      </c>
    </row>
    <row r="792" spans="1:4">
      <c r="A792" t="s">
        <v>3198</v>
      </c>
      <c r="B792">
        <v>200</v>
      </c>
      <c r="C792">
        <v>214</v>
      </c>
      <c r="D792" t="b">
        <f ca="1">EXACT(Table15[[#This Row],[RoC selected PV]],INDEX(FINI_grouping_for_wheel[RoC selected PV],MATCH(Table15[[#This Row],[Material]],FINI_grouping_for_wheel[Material],0)))</f>
        <v>1</v>
      </c>
    </row>
    <row r="793" spans="1:4">
      <c r="A793" t="s">
        <v>3201</v>
      </c>
      <c r="B793">
        <v>30</v>
      </c>
      <c r="C793">
        <v>706</v>
      </c>
      <c r="D793" t="b">
        <f ca="1">EXACT(Table15[[#This Row],[RoC selected PV]],INDEX(FINI_grouping_for_wheel[RoC selected PV],MATCH(Table15[[#This Row],[Material]],FINI_grouping_for_wheel[Material],0)))</f>
        <v>1</v>
      </c>
    </row>
    <row r="794" spans="1:4">
      <c r="A794" t="s">
        <v>3204</v>
      </c>
      <c r="B794">
        <v>1</v>
      </c>
      <c r="C794">
        <v>14</v>
      </c>
      <c r="D794" t="b">
        <f ca="1">EXACT(Table15[[#This Row],[RoC selected PV]],INDEX(FINI_grouping_for_wheel[RoC selected PV],MATCH(Table15[[#This Row],[Material]],FINI_grouping_for_wheel[Material],0)))</f>
        <v>1</v>
      </c>
    </row>
    <row r="795" spans="1:4">
      <c r="A795" t="s">
        <v>3207</v>
      </c>
      <c r="B795">
        <v>2</v>
      </c>
      <c r="C795">
        <v>32</v>
      </c>
      <c r="D795" t="b">
        <f ca="1">EXACT(Table15[[#This Row],[RoC selected PV]],INDEX(FINI_grouping_for_wheel[RoC selected PV],MATCH(Table15[[#This Row],[Material]],FINI_grouping_for_wheel[Material],0)))</f>
        <v>1</v>
      </c>
    </row>
    <row r="796" spans="1:4">
      <c r="A796" t="s">
        <v>3210</v>
      </c>
      <c r="B796">
        <v>200</v>
      </c>
      <c r="C796">
        <v>214</v>
      </c>
      <c r="D796" t="b">
        <f ca="1">EXACT(Table15[[#This Row],[RoC selected PV]],INDEX(FINI_grouping_for_wheel[RoC selected PV],MATCH(Table15[[#This Row],[Material]],FINI_grouping_for_wheel[Material],0)))</f>
        <v>1</v>
      </c>
    </row>
    <row r="797" spans="1:4">
      <c r="A797" t="s">
        <v>3213</v>
      </c>
      <c r="B797">
        <v>200</v>
      </c>
      <c r="C797">
        <v>214</v>
      </c>
      <c r="D797" t="b">
        <f ca="1">EXACT(Table15[[#This Row],[RoC selected PV]],INDEX(FINI_grouping_for_wheel[RoC selected PV],MATCH(Table15[[#This Row],[Material]],FINI_grouping_for_wheel[Material],0)))</f>
        <v>1</v>
      </c>
    </row>
    <row r="798" spans="1:4">
      <c r="A798" t="s">
        <v>3216</v>
      </c>
      <c r="B798">
        <v>200</v>
      </c>
      <c r="C798">
        <v>214</v>
      </c>
      <c r="D798" t="b">
        <f ca="1">EXACT(Table15[[#This Row],[RoC selected PV]],INDEX(FINI_grouping_for_wheel[RoC selected PV],MATCH(Table15[[#This Row],[Material]],FINI_grouping_for_wheel[Material],0)))</f>
        <v>1</v>
      </c>
    </row>
    <row r="799" spans="1:4">
      <c r="A799" t="s">
        <v>3219</v>
      </c>
      <c r="B799">
        <v>30</v>
      </c>
      <c r="C799">
        <v>706</v>
      </c>
      <c r="D799" t="b">
        <f ca="1">EXACT(Table15[[#This Row],[RoC selected PV]],INDEX(FINI_grouping_for_wheel[RoC selected PV],MATCH(Table15[[#This Row],[Material]],FINI_grouping_for_wheel[Material],0)))</f>
        <v>1</v>
      </c>
    </row>
    <row r="800" spans="1:4">
      <c r="A800" t="s">
        <v>3222</v>
      </c>
      <c r="B800">
        <v>30</v>
      </c>
      <c r="C800">
        <v>706</v>
      </c>
      <c r="D800" t="b">
        <f ca="1">EXACT(Table15[[#This Row],[RoC selected PV]],INDEX(FINI_grouping_for_wheel[RoC selected PV],MATCH(Table15[[#This Row],[Material]],FINI_grouping_for_wheel[Material],0)))</f>
        <v>1</v>
      </c>
    </row>
    <row r="801" spans="1:4">
      <c r="A801" t="s">
        <v>3225</v>
      </c>
      <c r="B801">
        <v>100</v>
      </c>
      <c r="C801">
        <v>150</v>
      </c>
      <c r="D801" t="b">
        <f ca="1">EXACT(Table15[[#This Row],[RoC selected PV]],INDEX(FINI_grouping_for_wheel[RoC selected PV],MATCH(Table15[[#This Row],[Material]],FINI_grouping_for_wheel[Material],0)))</f>
        <v>1</v>
      </c>
    </row>
    <row r="802" spans="1:4">
      <c r="A802" t="s">
        <v>3228</v>
      </c>
      <c r="B802">
        <v>1</v>
      </c>
      <c r="C802">
        <v>14</v>
      </c>
      <c r="D802" t="b">
        <f ca="1">EXACT(Table15[[#This Row],[RoC selected PV]],INDEX(FINI_grouping_for_wheel[RoC selected PV],MATCH(Table15[[#This Row],[Material]],FINI_grouping_for_wheel[Material],0)))</f>
        <v>1</v>
      </c>
    </row>
    <row r="803" spans="1:4">
      <c r="A803" t="s">
        <v>3232</v>
      </c>
      <c r="B803">
        <v>1</v>
      </c>
      <c r="C803">
        <v>9</v>
      </c>
      <c r="D803" t="b">
        <f ca="1">EXACT(Table15[[#This Row],[RoC selected PV]],INDEX(FINI_grouping_for_wheel[RoC selected PV],MATCH(Table15[[#This Row],[Material]],FINI_grouping_for_wheel[Material],0)))</f>
        <v>1</v>
      </c>
    </row>
    <row r="804" spans="1:4">
      <c r="A804" t="s">
        <v>3238</v>
      </c>
      <c r="B804">
        <v>1</v>
      </c>
      <c r="C804">
        <v>9</v>
      </c>
      <c r="D804" t="b">
        <f ca="1">EXACT(Table15[[#This Row],[RoC selected PV]],INDEX(FINI_grouping_for_wheel[RoC selected PV],MATCH(Table15[[#This Row],[Material]],FINI_grouping_for_wheel[Material],0)))</f>
        <v>1</v>
      </c>
    </row>
  </sheetData>
  <pageMargins left="0.7" right="0.7" top="0.75" bottom="0.75" header="0.3" footer="0.3"/>
  <customProperties>
    <customPr name="_pios_id" r:id="rId1"/>
  </customPropertie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5AF8C-7D38-410F-9C47-1DAFBCF275B9}">
  <dimension ref="A1:B44"/>
  <sheetViews>
    <sheetView workbookViewId="0">
      <selection sqref="A1:B44"/>
    </sheetView>
  </sheetViews>
  <sheetFormatPr baseColWidth="10" defaultColWidth="9.1640625" defaultRowHeight="15"/>
  <cols>
    <col min="1" max="1" width="9.5" bestFit="1" customWidth="1"/>
    <col min="2" max="2" width="12" bestFit="1" customWidth="1"/>
    <col min="9" max="9" width="9.5" bestFit="1" customWidth="1"/>
    <col min="10" max="10" width="12.5" bestFit="1" customWidth="1"/>
  </cols>
  <sheetData>
    <row r="1" spans="1:2">
      <c r="A1" t="s">
        <v>4067</v>
      </c>
      <c r="B1" t="s">
        <v>28</v>
      </c>
    </row>
    <row r="2" spans="1:2">
      <c r="A2" t="s">
        <v>2823</v>
      </c>
      <c r="B2" t="s">
        <v>151</v>
      </c>
    </row>
    <row r="3" spans="1:2">
      <c r="A3" t="s">
        <v>1193</v>
      </c>
      <c r="B3" t="s">
        <v>1194</v>
      </c>
    </row>
    <row r="4" spans="1:2">
      <c r="A4" t="s">
        <v>610</v>
      </c>
      <c r="B4" t="s">
        <v>151</v>
      </c>
    </row>
    <row r="5" spans="1:2">
      <c r="A5" t="s">
        <v>2598</v>
      </c>
      <c r="B5" t="s">
        <v>151</v>
      </c>
    </row>
    <row r="6" spans="1:2">
      <c r="A6" t="s">
        <v>315</v>
      </c>
      <c r="B6" t="s">
        <v>151</v>
      </c>
    </row>
    <row r="7" spans="1:2">
      <c r="A7" t="s">
        <v>267</v>
      </c>
      <c r="B7" t="s">
        <v>151</v>
      </c>
    </row>
    <row r="8" spans="1:2">
      <c r="A8" t="s">
        <v>158</v>
      </c>
      <c r="B8" t="s">
        <v>97</v>
      </c>
    </row>
    <row r="9" spans="1:2">
      <c r="A9" t="s">
        <v>231</v>
      </c>
      <c r="B9" t="s">
        <v>97</v>
      </c>
    </row>
    <row r="10" spans="1:2">
      <c r="A10" t="s">
        <v>518</v>
      </c>
      <c r="B10" t="s">
        <v>151</v>
      </c>
    </row>
    <row r="11" spans="1:2">
      <c r="A11" t="s">
        <v>301</v>
      </c>
      <c r="B11" t="s">
        <v>129</v>
      </c>
    </row>
    <row r="12" spans="1:2">
      <c r="A12" t="s">
        <v>105</v>
      </c>
      <c r="B12" t="s">
        <v>107</v>
      </c>
    </row>
    <row r="13" spans="1:2">
      <c r="A13" t="s">
        <v>1950</v>
      </c>
      <c r="B13" t="s">
        <v>107</v>
      </c>
    </row>
    <row r="14" spans="1:2">
      <c r="A14" t="s">
        <v>4068</v>
      </c>
      <c r="B14" t="s">
        <v>107</v>
      </c>
    </row>
    <row r="15" spans="1:2">
      <c r="A15" t="s">
        <v>149</v>
      </c>
      <c r="B15" t="s">
        <v>151</v>
      </c>
    </row>
    <row r="16" spans="1:2">
      <c r="A16" t="s">
        <v>862</v>
      </c>
      <c r="B16" t="s">
        <v>151</v>
      </c>
    </row>
    <row r="17" spans="1:2">
      <c r="A17" t="s">
        <v>3067</v>
      </c>
      <c r="B17" t="s">
        <v>151</v>
      </c>
    </row>
    <row r="18" spans="1:2">
      <c r="A18" t="s">
        <v>472</v>
      </c>
      <c r="B18" t="s">
        <v>151</v>
      </c>
    </row>
    <row r="19" spans="1:2">
      <c r="A19" t="s">
        <v>489</v>
      </c>
      <c r="B19" t="s">
        <v>151</v>
      </c>
    </row>
    <row r="20" spans="1:2">
      <c r="A20" t="s">
        <v>4069</v>
      </c>
      <c r="B20" t="s">
        <v>483</v>
      </c>
    </row>
    <row r="21" spans="1:2">
      <c r="A21" t="s">
        <v>1840</v>
      </c>
      <c r="B21" t="s">
        <v>483</v>
      </c>
    </row>
    <row r="22" spans="1:2">
      <c r="A22" t="s">
        <v>482</v>
      </c>
      <c r="B22" t="s">
        <v>483</v>
      </c>
    </row>
    <row r="23" spans="1:2">
      <c r="A23" t="s">
        <v>604</v>
      </c>
      <c r="B23" t="s">
        <v>136</v>
      </c>
    </row>
    <row r="24" spans="1:2">
      <c r="A24" t="s">
        <v>94</v>
      </c>
      <c r="B24" t="s">
        <v>97</v>
      </c>
    </row>
    <row r="25" spans="1:2">
      <c r="A25" t="s">
        <v>238</v>
      </c>
      <c r="B25" t="s">
        <v>97</v>
      </c>
    </row>
    <row r="26" spans="1:2">
      <c r="A26" t="s">
        <v>408</v>
      </c>
      <c r="B26" t="s">
        <v>97</v>
      </c>
    </row>
    <row r="27" spans="1:2">
      <c r="A27" t="s">
        <v>2967</v>
      </c>
      <c r="B27" t="s">
        <v>151</v>
      </c>
    </row>
    <row r="28" spans="1:2">
      <c r="A28" t="s">
        <v>347</v>
      </c>
      <c r="B28" t="s">
        <v>107</v>
      </c>
    </row>
    <row r="29" spans="1:2">
      <c r="A29" t="s">
        <v>119</v>
      </c>
      <c r="B29" t="s">
        <v>120</v>
      </c>
    </row>
    <row r="30" spans="1:2">
      <c r="A30" t="s">
        <v>843</v>
      </c>
      <c r="B30" t="s">
        <v>151</v>
      </c>
    </row>
    <row r="31" spans="1:2">
      <c r="A31" t="s">
        <v>196</v>
      </c>
      <c r="B31" t="s">
        <v>107</v>
      </c>
    </row>
    <row r="32" spans="1:2">
      <c r="A32" t="s">
        <v>657</v>
      </c>
      <c r="B32" t="s">
        <v>107</v>
      </c>
    </row>
    <row r="33" spans="1:2">
      <c r="A33" t="s">
        <v>505</v>
      </c>
      <c r="B33" t="s">
        <v>151</v>
      </c>
    </row>
    <row r="34" spans="1:2">
      <c r="A34" t="s">
        <v>2874</v>
      </c>
      <c r="B34" t="s">
        <v>151</v>
      </c>
    </row>
    <row r="35" spans="1:2">
      <c r="A35" t="s">
        <v>923</v>
      </c>
      <c r="B35" t="s">
        <v>151</v>
      </c>
    </row>
    <row r="36" spans="1:2">
      <c r="A36" t="s">
        <v>174</v>
      </c>
      <c r="B36" t="s">
        <v>167</v>
      </c>
    </row>
    <row r="37" spans="1:2">
      <c r="A37" t="s">
        <v>166</v>
      </c>
      <c r="B37" t="s">
        <v>167</v>
      </c>
    </row>
    <row r="38" spans="1:2">
      <c r="A38" t="s">
        <v>2868</v>
      </c>
      <c r="B38" t="s">
        <v>151</v>
      </c>
    </row>
    <row r="39" spans="1:2">
      <c r="A39" t="s">
        <v>1613</v>
      </c>
      <c r="B39" t="s">
        <v>151</v>
      </c>
    </row>
    <row r="40" spans="1:2">
      <c r="A40" t="s">
        <v>135</v>
      </c>
      <c r="B40" t="s">
        <v>136</v>
      </c>
    </row>
    <row r="41" spans="1:2">
      <c r="A41" t="s">
        <v>1491</v>
      </c>
      <c r="B41" t="s">
        <v>151</v>
      </c>
    </row>
    <row r="42" spans="1:2">
      <c r="A42" t="s">
        <v>127</v>
      </c>
      <c r="B42" t="s">
        <v>129</v>
      </c>
    </row>
    <row r="43" spans="1:2">
      <c r="A43" t="s">
        <v>308</v>
      </c>
      <c r="B43" t="s">
        <v>151</v>
      </c>
    </row>
    <row r="44" spans="1:2">
      <c r="A44" t="s">
        <v>295</v>
      </c>
      <c r="B44" t="s">
        <v>120</v>
      </c>
    </row>
  </sheetData>
  <pageMargins left="0.7" right="0.7" top="0.75" bottom="0.75" header="0.3" footer="0.3"/>
  <customProperties>
    <customPr name="_pios_id" r:id="rId1"/>
  </customPropertie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FEBAB-C1A6-498E-8BC9-63D2C52FD964}">
  <dimension ref="A1:F5"/>
  <sheetViews>
    <sheetView zoomScale="130" zoomScaleNormal="130" workbookViewId="0">
      <selection activeCell="F2" sqref="F2"/>
    </sheetView>
  </sheetViews>
  <sheetFormatPr baseColWidth="10" defaultColWidth="8.83203125" defaultRowHeight="15"/>
  <cols>
    <col min="1" max="1" width="13.83203125" bestFit="1" customWidth="1"/>
    <col min="2" max="2" width="24" bestFit="1" customWidth="1"/>
    <col min="3" max="3" width="19" bestFit="1" customWidth="1"/>
    <col min="4" max="4" width="26.5" bestFit="1" customWidth="1"/>
    <col min="5" max="5" width="42" bestFit="1" customWidth="1"/>
    <col min="6" max="6" width="32.5" bestFit="1" customWidth="1"/>
    <col min="7" max="7" width="26.5" bestFit="1" customWidth="1"/>
    <col min="8" max="8" width="49" bestFit="1" customWidth="1"/>
    <col min="9" max="9" width="37.1640625" bestFit="1" customWidth="1"/>
  </cols>
  <sheetData>
    <row r="1" spans="1:6">
      <c r="A1" t="s">
        <v>4070</v>
      </c>
      <c r="B1" t="s">
        <v>4071</v>
      </c>
      <c r="C1" t="s">
        <v>37</v>
      </c>
      <c r="D1" t="s">
        <v>4072</v>
      </c>
      <c r="E1" t="s">
        <v>4073</v>
      </c>
      <c r="F1" t="s">
        <v>4074</v>
      </c>
    </row>
    <row r="2" spans="1:6">
      <c r="A2" t="s">
        <v>1</v>
      </c>
      <c r="B2" s="13">
        <v>702658.272645</v>
      </c>
      <c r="C2">
        <v>79.900000000000006</v>
      </c>
      <c r="D2">
        <v>35.6</v>
      </c>
      <c r="E2">
        <v>13.3</v>
      </c>
      <c r="F2">
        <v>22.3</v>
      </c>
    </row>
    <row r="3" spans="1:6">
      <c r="A3" t="s">
        <v>4</v>
      </c>
      <c r="B3" s="29">
        <f>SUBTOTAL(109,Change_over_estimation[Total volume per week])</f>
        <v>702658.272645</v>
      </c>
      <c r="C3">
        <f>SUBTOTAL(109,Change_over_estimation[Batches per week])</f>
        <v>79.900000000000006</v>
      </c>
      <c r="D3">
        <f>SUBTOTAL(109,Change_over_estimation[Weekly changes FINI-FINI])</f>
        <v>35.6</v>
      </c>
    </row>
    <row r="5" spans="1:6">
      <c r="A5" t="s">
        <v>4075</v>
      </c>
      <c r="B5" s="13">
        <f>Change_over_estimation[[#Totals],[Total volume per week]]*50</f>
        <v>35132913.6322</v>
      </c>
    </row>
  </sheetData>
  <phoneticPr fontId="4" type="noConversion"/>
  <pageMargins left="0.7" right="0.7" top="0.75" bottom="0.75" header="0.3" footer="0.3"/>
  <customProperties>
    <customPr name="_pios_id" r:id="rId1"/>
  </customPropertie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F27B6-2A65-4035-AEAC-4551DD1F61FB}">
  <sheetPr>
    <tabColor theme="8"/>
  </sheetPr>
  <dimension ref="A1:C1022"/>
  <sheetViews>
    <sheetView topLeftCell="A1023" workbookViewId="0">
      <selection activeCell="E799" sqref="E799"/>
    </sheetView>
  </sheetViews>
  <sheetFormatPr baseColWidth="10" defaultColWidth="8.83203125" defaultRowHeight="15"/>
  <cols>
    <col min="1" max="1" width="7.83203125" bestFit="1" customWidth="1"/>
    <col min="2" max="2" width="10.83203125" bestFit="1" customWidth="1"/>
    <col min="3" max="3" width="21.1640625" bestFit="1" customWidth="1"/>
    <col min="4" max="4" width="10.83203125" bestFit="1" customWidth="1"/>
    <col min="5" max="5" width="22.5" bestFit="1" customWidth="1"/>
  </cols>
  <sheetData>
    <row r="1" spans="1:3">
      <c r="A1" t="s">
        <v>4070</v>
      </c>
      <c r="B1" t="s">
        <v>38</v>
      </c>
      <c r="C1" t="s">
        <v>4076</v>
      </c>
    </row>
    <row r="2" spans="1:3" hidden="1">
      <c r="A2" t="s">
        <v>1</v>
      </c>
      <c r="B2" t="s">
        <v>88</v>
      </c>
      <c r="C2" t="s">
        <v>4077</v>
      </c>
    </row>
    <row r="3" spans="1:3" hidden="1">
      <c r="A3" t="s">
        <v>1</v>
      </c>
      <c r="B3" t="s">
        <v>153</v>
      </c>
      <c r="C3" t="s">
        <v>4077</v>
      </c>
    </row>
    <row r="4" spans="1:3" hidden="1">
      <c r="A4" t="s">
        <v>1</v>
      </c>
      <c r="B4" t="s">
        <v>100</v>
      </c>
      <c r="C4" t="s">
        <v>148</v>
      </c>
    </row>
    <row r="5" spans="1:3" hidden="1">
      <c r="A5" t="s">
        <v>1</v>
      </c>
      <c r="B5" t="s">
        <v>109</v>
      </c>
      <c r="C5" t="s">
        <v>148</v>
      </c>
    </row>
    <row r="6" spans="1:3" hidden="1">
      <c r="A6" t="s">
        <v>1</v>
      </c>
      <c r="B6" t="s">
        <v>203</v>
      </c>
      <c r="C6" t="s">
        <v>148</v>
      </c>
    </row>
    <row r="7" spans="1:3" hidden="1">
      <c r="A7" t="s">
        <v>1</v>
      </c>
      <c r="B7" t="s">
        <v>114</v>
      </c>
      <c r="C7" t="s">
        <v>294</v>
      </c>
    </row>
    <row r="8" spans="1:3" hidden="1">
      <c r="A8" t="s">
        <v>1</v>
      </c>
      <c r="B8" t="s">
        <v>181</v>
      </c>
      <c r="C8" t="s">
        <v>294</v>
      </c>
    </row>
    <row r="9" spans="1:3" hidden="1">
      <c r="A9" t="s">
        <v>1</v>
      </c>
      <c r="B9" t="s">
        <v>122</v>
      </c>
      <c r="C9" t="s">
        <v>990</v>
      </c>
    </row>
    <row r="10" spans="1:3" hidden="1">
      <c r="A10" t="s">
        <v>1</v>
      </c>
      <c r="B10" t="s">
        <v>131</v>
      </c>
      <c r="C10" t="s">
        <v>990</v>
      </c>
    </row>
    <row r="11" spans="1:3" hidden="1">
      <c r="A11" t="s">
        <v>1</v>
      </c>
      <c r="B11" t="s">
        <v>138</v>
      </c>
      <c r="C11" t="s">
        <v>990</v>
      </c>
    </row>
    <row r="12" spans="1:3" hidden="1">
      <c r="A12" t="s">
        <v>1</v>
      </c>
      <c r="B12" t="s">
        <v>186</v>
      </c>
      <c r="C12" t="s">
        <v>990</v>
      </c>
    </row>
    <row r="13" spans="1:3" hidden="1">
      <c r="A13" t="s">
        <v>1</v>
      </c>
      <c r="B13" t="s">
        <v>807</v>
      </c>
      <c r="C13" t="s">
        <v>3550</v>
      </c>
    </row>
    <row r="14" spans="1:3" hidden="1">
      <c r="A14" t="s">
        <v>1</v>
      </c>
      <c r="B14" t="s">
        <v>144</v>
      </c>
      <c r="C14" t="s">
        <v>517</v>
      </c>
    </row>
    <row r="15" spans="1:3" hidden="1">
      <c r="A15" t="s">
        <v>1</v>
      </c>
      <c r="B15" t="s">
        <v>820</v>
      </c>
      <c r="C15" t="s">
        <v>314</v>
      </c>
    </row>
    <row r="16" spans="1:3" hidden="1">
      <c r="A16" t="s">
        <v>1</v>
      </c>
      <c r="B16" t="s">
        <v>825</v>
      </c>
      <c r="C16" t="s">
        <v>387</v>
      </c>
    </row>
    <row r="17" spans="1:3" hidden="1">
      <c r="A17" t="s">
        <v>1</v>
      </c>
      <c r="B17" t="s">
        <v>161</v>
      </c>
      <c r="C17" t="s">
        <v>619</v>
      </c>
    </row>
    <row r="18" spans="1:3" hidden="1">
      <c r="A18" t="s">
        <v>1</v>
      </c>
      <c r="B18" t="s">
        <v>833</v>
      </c>
      <c r="C18" t="s">
        <v>346</v>
      </c>
    </row>
    <row r="19" spans="1:3" hidden="1">
      <c r="A19" t="s">
        <v>1</v>
      </c>
      <c r="B19" t="s">
        <v>169</v>
      </c>
      <c r="C19" t="s">
        <v>1316</v>
      </c>
    </row>
    <row r="20" spans="1:3" hidden="1">
      <c r="A20" t="s">
        <v>1</v>
      </c>
      <c r="B20" t="s">
        <v>176</v>
      </c>
      <c r="C20" t="s">
        <v>1316</v>
      </c>
    </row>
    <row r="21" spans="1:3" hidden="1">
      <c r="A21" t="s">
        <v>1</v>
      </c>
      <c r="B21" t="s">
        <v>812</v>
      </c>
      <c r="C21" t="s">
        <v>249</v>
      </c>
    </row>
    <row r="22" spans="1:3" hidden="1">
      <c r="A22" t="s">
        <v>1</v>
      </c>
      <c r="B22" t="s">
        <v>817</v>
      </c>
      <c r="C22" t="s">
        <v>249</v>
      </c>
    </row>
    <row r="23" spans="1:3" hidden="1">
      <c r="A23" t="s">
        <v>1</v>
      </c>
      <c r="B23" t="s">
        <v>830</v>
      </c>
      <c r="C23" t="s">
        <v>249</v>
      </c>
    </row>
    <row r="24" spans="1:3" hidden="1">
      <c r="A24" t="s">
        <v>1</v>
      </c>
      <c r="B24" t="s">
        <v>786</v>
      </c>
      <c r="C24" t="s">
        <v>517</v>
      </c>
    </row>
    <row r="25" spans="1:3" hidden="1">
      <c r="A25" t="s">
        <v>1</v>
      </c>
      <c r="B25" t="s">
        <v>774</v>
      </c>
      <c r="C25" t="s">
        <v>195</v>
      </c>
    </row>
    <row r="26" spans="1:3" hidden="1">
      <c r="A26" t="s">
        <v>1</v>
      </c>
      <c r="B26" t="s">
        <v>789</v>
      </c>
      <c r="C26" t="s">
        <v>195</v>
      </c>
    </row>
    <row r="27" spans="1:3" hidden="1">
      <c r="A27" t="s">
        <v>1</v>
      </c>
      <c r="B27" t="s">
        <v>798</v>
      </c>
      <c r="C27" t="s">
        <v>195</v>
      </c>
    </row>
    <row r="28" spans="1:3" hidden="1">
      <c r="A28" t="s">
        <v>1</v>
      </c>
      <c r="B28" t="s">
        <v>783</v>
      </c>
      <c r="C28" t="s">
        <v>126</v>
      </c>
    </row>
    <row r="29" spans="1:3" hidden="1">
      <c r="A29" t="s">
        <v>1</v>
      </c>
      <c r="B29" t="s">
        <v>804</v>
      </c>
      <c r="C29" t="s">
        <v>126</v>
      </c>
    </row>
    <row r="30" spans="1:3" hidden="1">
      <c r="A30" t="s">
        <v>1</v>
      </c>
      <c r="B30" t="s">
        <v>191</v>
      </c>
      <c r="C30" t="s">
        <v>1133</v>
      </c>
    </row>
    <row r="31" spans="1:3" hidden="1">
      <c r="A31" t="s">
        <v>1</v>
      </c>
      <c r="B31" t="s">
        <v>198</v>
      </c>
      <c r="C31" t="s">
        <v>1133</v>
      </c>
    </row>
    <row r="32" spans="1:3" hidden="1">
      <c r="A32" t="s">
        <v>1</v>
      </c>
      <c r="B32" t="s">
        <v>209</v>
      </c>
      <c r="C32" t="s">
        <v>1133</v>
      </c>
    </row>
    <row r="33" spans="1:3" hidden="1">
      <c r="A33" t="s">
        <v>1</v>
      </c>
      <c r="B33" t="s">
        <v>768</v>
      </c>
      <c r="C33" t="s">
        <v>1156</v>
      </c>
    </row>
    <row r="34" spans="1:3" hidden="1">
      <c r="A34" t="s">
        <v>1</v>
      </c>
      <c r="B34" t="s">
        <v>792</v>
      </c>
      <c r="C34" t="s">
        <v>1156</v>
      </c>
    </row>
    <row r="35" spans="1:3" hidden="1">
      <c r="A35" t="s">
        <v>1</v>
      </c>
      <c r="B35" t="s">
        <v>801</v>
      </c>
      <c r="C35" t="s">
        <v>1156</v>
      </c>
    </row>
    <row r="36" spans="1:3" hidden="1">
      <c r="A36" t="s">
        <v>1</v>
      </c>
      <c r="B36" t="s">
        <v>777</v>
      </c>
      <c r="C36" t="s">
        <v>1717</v>
      </c>
    </row>
    <row r="37" spans="1:3" hidden="1">
      <c r="A37" t="s">
        <v>1</v>
      </c>
      <c r="B37" t="s">
        <v>780</v>
      </c>
      <c r="C37" t="s">
        <v>1717</v>
      </c>
    </row>
    <row r="38" spans="1:3" hidden="1">
      <c r="A38" t="s">
        <v>1</v>
      </c>
      <c r="B38" t="s">
        <v>795</v>
      </c>
      <c r="C38" t="s">
        <v>1717</v>
      </c>
    </row>
    <row r="39" spans="1:3" hidden="1">
      <c r="A39" t="s">
        <v>1</v>
      </c>
      <c r="B39" t="s">
        <v>761</v>
      </c>
      <c r="C39" t="s">
        <v>173</v>
      </c>
    </row>
    <row r="40" spans="1:3" hidden="1">
      <c r="A40" t="s">
        <v>1</v>
      </c>
      <c r="B40" t="s">
        <v>765</v>
      </c>
      <c r="C40" t="s">
        <v>173</v>
      </c>
    </row>
    <row r="41" spans="1:3" hidden="1">
      <c r="A41" t="s">
        <v>1</v>
      </c>
      <c r="B41" t="s">
        <v>771</v>
      </c>
      <c r="C41" t="s">
        <v>173</v>
      </c>
    </row>
    <row r="42" spans="1:3" hidden="1">
      <c r="A42" t="s">
        <v>1</v>
      </c>
      <c r="B42" t="s">
        <v>214</v>
      </c>
      <c r="C42" t="s">
        <v>951</v>
      </c>
    </row>
    <row r="43" spans="1:3" hidden="1">
      <c r="A43" t="s">
        <v>1</v>
      </c>
      <c r="B43" t="s">
        <v>220</v>
      </c>
      <c r="C43" t="s">
        <v>3041</v>
      </c>
    </row>
    <row r="44" spans="1:3" hidden="1">
      <c r="A44" t="s">
        <v>1</v>
      </c>
      <c r="B44" t="s">
        <v>226</v>
      </c>
      <c r="C44" t="s">
        <v>157</v>
      </c>
    </row>
    <row r="45" spans="1:3" hidden="1">
      <c r="A45" t="s">
        <v>1</v>
      </c>
      <c r="B45" t="s">
        <v>233</v>
      </c>
      <c r="C45" t="s">
        <v>218</v>
      </c>
    </row>
    <row r="46" spans="1:3" hidden="1">
      <c r="A46" t="s">
        <v>1</v>
      </c>
      <c r="B46" t="s">
        <v>240</v>
      </c>
      <c r="C46" t="s">
        <v>104</v>
      </c>
    </row>
    <row r="47" spans="1:3" hidden="1">
      <c r="A47" t="s">
        <v>1</v>
      </c>
      <c r="B47" t="s">
        <v>247</v>
      </c>
      <c r="C47" t="s">
        <v>266</v>
      </c>
    </row>
    <row r="48" spans="1:3" hidden="1">
      <c r="A48" t="s">
        <v>1</v>
      </c>
      <c r="B48" t="s">
        <v>297</v>
      </c>
      <c r="C48" t="s">
        <v>266</v>
      </c>
    </row>
    <row r="49" spans="1:3" hidden="1">
      <c r="A49" t="s">
        <v>1</v>
      </c>
      <c r="B49" t="s">
        <v>326</v>
      </c>
      <c r="C49" t="s">
        <v>266</v>
      </c>
    </row>
    <row r="50" spans="1:3" hidden="1">
      <c r="A50" t="s">
        <v>1</v>
      </c>
      <c r="B50" t="s">
        <v>336</v>
      </c>
      <c r="C50" t="s">
        <v>266</v>
      </c>
    </row>
    <row r="51" spans="1:3" hidden="1">
      <c r="A51" t="s">
        <v>1</v>
      </c>
      <c r="B51" t="s">
        <v>252</v>
      </c>
      <c r="C51" t="s">
        <v>224</v>
      </c>
    </row>
    <row r="52" spans="1:3" hidden="1">
      <c r="A52" t="s">
        <v>1</v>
      </c>
      <c r="B52" t="s">
        <v>339</v>
      </c>
      <c r="C52" t="s">
        <v>224</v>
      </c>
    </row>
    <row r="53" spans="1:3" hidden="1">
      <c r="A53" t="s">
        <v>1</v>
      </c>
      <c r="B53" t="s">
        <v>257</v>
      </c>
      <c r="C53" t="s">
        <v>148</v>
      </c>
    </row>
    <row r="54" spans="1:3" hidden="1">
      <c r="A54" t="s">
        <v>1</v>
      </c>
      <c r="B54" t="s">
        <v>363</v>
      </c>
      <c r="C54" t="s">
        <v>148</v>
      </c>
    </row>
    <row r="55" spans="1:3" hidden="1">
      <c r="A55" t="s">
        <v>1</v>
      </c>
      <c r="B55" t="s">
        <v>368</v>
      </c>
      <c r="C55" t="s">
        <v>148</v>
      </c>
    </row>
    <row r="56" spans="1:3" hidden="1">
      <c r="A56" t="s">
        <v>1</v>
      </c>
      <c r="B56" t="s">
        <v>262</v>
      </c>
      <c r="C56" t="s">
        <v>517</v>
      </c>
    </row>
    <row r="57" spans="1:3" hidden="1">
      <c r="A57" t="s">
        <v>1</v>
      </c>
      <c r="B57" t="s">
        <v>303</v>
      </c>
      <c r="C57" t="s">
        <v>517</v>
      </c>
    </row>
    <row r="58" spans="1:3" hidden="1">
      <c r="A58" t="s">
        <v>1</v>
      </c>
      <c r="B58" t="s">
        <v>310</v>
      </c>
      <c r="C58" t="s">
        <v>517</v>
      </c>
    </row>
    <row r="59" spans="1:3" hidden="1">
      <c r="A59" t="s">
        <v>1</v>
      </c>
      <c r="B59" t="s">
        <v>317</v>
      </c>
      <c r="C59" t="s">
        <v>517</v>
      </c>
    </row>
    <row r="60" spans="1:3" hidden="1">
      <c r="A60" t="s">
        <v>1</v>
      </c>
      <c r="B60" t="s">
        <v>354</v>
      </c>
      <c r="C60" t="s">
        <v>517</v>
      </c>
    </row>
    <row r="61" spans="1:3" hidden="1">
      <c r="A61" t="s">
        <v>1</v>
      </c>
      <c r="B61" t="s">
        <v>358</v>
      </c>
      <c r="C61" t="s">
        <v>517</v>
      </c>
    </row>
    <row r="62" spans="1:3" hidden="1">
      <c r="A62" t="s">
        <v>1</v>
      </c>
      <c r="B62" t="s">
        <v>269</v>
      </c>
      <c r="C62" t="s">
        <v>1133</v>
      </c>
    </row>
    <row r="63" spans="1:3" hidden="1">
      <c r="A63" t="s">
        <v>1</v>
      </c>
      <c r="B63" t="s">
        <v>275</v>
      </c>
      <c r="C63" t="s">
        <v>1133</v>
      </c>
    </row>
    <row r="64" spans="1:3" hidden="1">
      <c r="A64" t="s">
        <v>1</v>
      </c>
      <c r="B64" t="s">
        <v>280</v>
      </c>
      <c r="C64" t="s">
        <v>307</v>
      </c>
    </row>
    <row r="65" spans="1:3" hidden="1">
      <c r="A65" t="s">
        <v>1</v>
      </c>
      <c r="B65" t="s">
        <v>349</v>
      </c>
      <c r="C65" t="s">
        <v>307</v>
      </c>
    </row>
    <row r="66" spans="1:3" hidden="1">
      <c r="A66" t="s">
        <v>1</v>
      </c>
      <c r="B66" t="s">
        <v>378</v>
      </c>
      <c r="C66" t="s">
        <v>307</v>
      </c>
    </row>
    <row r="67" spans="1:3" hidden="1">
      <c r="A67" t="s">
        <v>1</v>
      </c>
      <c r="B67" t="s">
        <v>285</v>
      </c>
      <c r="C67" t="s">
        <v>4078</v>
      </c>
    </row>
    <row r="68" spans="1:3" hidden="1">
      <c r="A68" t="s">
        <v>1</v>
      </c>
      <c r="B68" t="s">
        <v>389</v>
      </c>
      <c r="C68" t="s">
        <v>4078</v>
      </c>
    </row>
    <row r="69" spans="1:3" hidden="1">
      <c r="A69" t="s">
        <v>1</v>
      </c>
      <c r="B69" t="s">
        <v>290</v>
      </c>
      <c r="C69" t="s">
        <v>237</v>
      </c>
    </row>
    <row r="70" spans="1:3" hidden="1">
      <c r="A70" t="s">
        <v>1</v>
      </c>
      <c r="B70" t="s">
        <v>1260</v>
      </c>
      <c r="C70" t="s">
        <v>104</v>
      </c>
    </row>
    <row r="71" spans="1:3" hidden="1">
      <c r="A71" t="s">
        <v>1</v>
      </c>
      <c r="B71" t="s">
        <v>1299</v>
      </c>
      <c r="C71" t="s">
        <v>951</v>
      </c>
    </row>
    <row r="72" spans="1:3" hidden="1">
      <c r="A72" t="s">
        <v>1</v>
      </c>
      <c r="B72" t="s">
        <v>320</v>
      </c>
      <c r="C72" t="s">
        <v>118</v>
      </c>
    </row>
    <row r="73" spans="1:3" hidden="1">
      <c r="A73" t="s">
        <v>1</v>
      </c>
      <c r="B73" t="s">
        <v>1235</v>
      </c>
      <c r="C73" t="s">
        <v>517</v>
      </c>
    </row>
    <row r="74" spans="1:3" hidden="1">
      <c r="A74" t="s">
        <v>1</v>
      </c>
      <c r="B74" t="s">
        <v>1239</v>
      </c>
      <c r="C74" t="s">
        <v>517</v>
      </c>
    </row>
    <row r="75" spans="1:3" hidden="1">
      <c r="A75" t="s">
        <v>1</v>
      </c>
      <c r="B75" t="s">
        <v>1254</v>
      </c>
      <c r="C75" t="s">
        <v>517</v>
      </c>
    </row>
    <row r="76" spans="1:3" hidden="1">
      <c r="A76" t="s">
        <v>1</v>
      </c>
      <c r="B76" t="s">
        <v>1296</v>
      </c>
      <c r="C76" t="s">
        <v>517</v>
      </c>
    </row>
    <row r="77" spans="1:3" hidden="1">
      <c r="A77" t="s">
        <v>1</v>
      </c>
      <c r="B77" t="s">
        <v>1251</v>
      </c>
      <c r="C77" t="s">
        <v>990</v>
      </c>
    </row>
    <row r="78" spans="1:3" hidden="1">
      <c r="A78" t="s">
        <v>1</v>
      </c>
      <c r="B78" t="s">
        <v>1279</v>
      </c>
      <c r="C78" t="s">
        <v>990</v>
      </c>
    </row>
    <row r="79" spans="1:3" hidden="1">
      <c r="A79" t="s">
        <v>1</v>
      </c>
      <c r="B79" t="s">
        <v>404</v>
      </c>
      <c r="C79" t="s">
        <v>4077</v>
      </c>
    </row>
    <row r="80" spans="1:3" hidden="1">
      <c r="A80" t="s">
        <v>1</v>
      </c>
      <c r="B80" t="s">
        <v>420</v>
      </c>
      <c r="C80" t="s">
        <v>4077</v>
      </c>
    </row>
    <row r="81" spans="1:3" hidden="1">
      <c r="A81" t="s">
        <v>1</v>
      </c>
      <c r="B81" t="s">
        <v>1282</v>
      </c>
      <c r="C81" t="s">
        <v>118</v>
      </c>
    </row>
    <row r="82" spans="1:3" hidden="1">
      <c r="A82" t="s">
        <v>1</v>
      </c>
      <c r="B82" t="s">
        <v>1287</v>
      </c>
      <c r="C82" t="s">
        <v>118</v>
      </c>
    </row>
    <row r="83" spans="1:3" hidden="1">
      <c r="A83" t="s">
        <v>1</v>
      </c>
      <c r="B83" t="s">
        <v>1290</v>
      </c>
      <c r="C83" t="s">
        <v>118</v>
      </c>
    </row>
    <row r="84" spans="1:3" hidden="1">
      <c r="A84" t="s">
        <v>1</v>
      </c>
      <c r="B84" t="s">
        <v>1293</v>
      </c>
      <c r="C84" t="s">
        <v>118</v>
      </c>
    </row>
    <row r="85" spans="1:3" hidden="1">
      <c r="A85" t="s">
        <v>1</v>
      </c>
      <c r="B85" t="s">
        <v>1242</v>
      </c>
      <c r="C85" t="s">
        <v>157</v>
      </c>
    </row>
    <row r="86" spans="1:3" hidden="1">
      <c r="A86" t="s">
        <v>1</v>
      </c>
      <c r="B86" t="s">
        <v>1257</v>
      </c>
      <c r="C86" t="s">
        <v>157</v>
      </c>
    </row>
    <row r="87" spans="1:3" hidden="1">
      <c r="A87" t="s">
        <v>1</v>
      </c>
      <c r="B87" t="s">
        <v>1245</v>
      </c>
      <c r="C87" t="s">
        <v>218</v>
      </c>
    </row>
    <row r="88" spans="1:3" hidden="1">
      <c r="A88" t="s">
        <v>1</v>
      </c>
      <c r="B88" t="s">
        <v>342</v>
      </c>
      <c r="C88" t="s">
        <v>207</v>
      </c>
    </row>
    <row r="89" spans="1:3" hidden="1">
      <c r="A89" t="s">
        <v>1</v>
      </c>
      <c r="B89" t="s">
        <v>373</v>
      </c>
      <c r="C89" t="s">
        <v>207</v>
      </c>
    </row>
    <row r="90" spans="1:3" hidden="1">
      <c r="A90" t="s">
        <v>1</v>
      </c>
      <c r="B90" t="s">
        <v>1248</v>
      </c>
      <c r="C90" t="s">
        <v>237</v>
      </c>
    </row>
    <row r="91" spans="1:3" hidden="1">
      <c r="A91" t="s">
        <v>1</v>
      </c>
      <c r="B91" t="s">
        <v>1273</v>
      </c>
      <c r="C91" t="s">
        <v>3041</v>
      </c>
    </row>
    <row r="92" spans="1:3" hidden="1">
      <c r="A92" t="s">
        <v>1</v>
      </c>
      <c r="B92" t="s">
        <v>1276</v>
      </c>
      <c r="C92" t="s">
        <v>3041</v>
      </c>
    </row>
    <row r="93" spans="1:3" hidden="1">
      <c r="A93" t="s">
        <v>1</v>
      </c>
      <c r="B93" t="s">
        <v>1265</v>
      </c>
      <c r="C93" t="s">
        <v>4077</v>
      </c>
    </row>
    <row r="94" spans="1:3" hidden="1">
      <c r="A94" t="s">
        <v>1</v>
      </c>
      <c r="B94" t="s">
        <v>1268</v>
      </c>
      <c r="C94" t="s">
        <v>4078</v>
      </c>
    </row>
    <row r="95" spans="1:3" hidden="1">
      <c r="A95" t="s">
        <v>1</v>
      </c>
      <c r="B95" t="s">
        <v>410</v>
      </c>
      <c r="C95" t="s">
        <v>157</v>
      </c>
    </row>
    <row r="96" spans="1:3" hidden="1">
      <c r="A96" t="s">
        <v>1</v>
      </c>
      <c r="B96" t="s">
        <v>331</v>
      </c>
      <c r="C96" t="s">
        <v>218</v>
      </c>
    </row>
    <row r="97" spans="1:3" hidden="1">
      <c r="A97" t="s">
        <v>1</v>
      </c>
      <c r="B97" t="s">
        <v>383</v>
      </c>
      <c r="C97" t="s">
        <v>218</v>
      </c>
    </row>
    <row r="98" spans="1:3" hidden="1">
      <c r="A98" t="s">
        <v>1</v>
      </c>
      <c r="B98" t="s">
        <v>415</v>
      </c>
      <c r="C98" t="s">
        <v>3041</v>
      </c>
    </row>
    <row r="99" spans="1:3" hidden="1">
      <c r="A99" t="s">
        <v>1</v>
      </c>
      <c r="B99" t="s">
        <v>394</v>
      </c>
      <c r="C99" t="s">
        <v>951</v>
      </c>
    </row>
    <row r="100" spans="1:3" hidden="1">
      <c r="A100" t="s">
        <v>1</v>
      </c>
      <c r="B100" t="s">
        <v>1224</v>
      </c>
      <c r="C100" t="s">
        <v>1316</v>
      </c>
    </row>
    <row r="101" spans="1:3" hidden="1">
      <c r="A101" t="s">
        <v>1</v>
      </c>
      <c r="B101" t="s">
        <v>399</v>
      </c>
      <c r="C101" t="s">
        <v>104</v>
      </c>
    </row>
    <row r="102" spans="1:3" hidden="1">
      <c r="A102" t="s">
        <v>1</v>
      </c>
      <c r="B102" t="s">
        <v>1196</v>
      </c>
      <c r="C102" t="s">
        <v>294</v>
      </c>
    </row>
    <row r="103" spans="1:3" hidden="1">
      <c r="A103" t="s">
        <v>1</v>
      </c>
      <c r="B103" t="s">
        <v>1229</v>
      </c>
      <c r="C103" t="s">
        <v>104</v>
      </c>
    </row>
    <row r="104" spans="1:3" hidden="1">
      <c r="A104" t="s">
        <v>1</v>
      </c>
      <c r="B104" t="s">
        <v>424</v>
      </c>
      <c r="C104" t="s">
        <v>294</v>
      </c>
    </row>
    <row r="105" spans="1:3" hidden="1">
      <c r="A105" t="s">
        <v>1</v>
      </c>
      <c r="B105" t="s">
        <v>438</v>
      </c>
      <c r="C105" t="s">
        <v>294</v>
      </c>
    </row>
    <row r="106" spans="1:3" hidden="1">
      <c r="A106" t="s">
        <v>1</v>
      </c>
      <c r="B106" t="s">
        <v>443</v>
      </c>
      <c r="C106" t="s">
        <v>294</v>
      </c>
    </row>
    <row r="107" spans="1:3" hidden="1">
      <c r="A107" t="s">
        <v>1</v>
      </c>
      <c r="B107" t="s">
        <v>448</v>
      </c>
      <c r="C107" t="s">
        <v>294</v>
      </c>
    </row>
    <row r="108" spans="1:3" hidden="1">
      <c r="A108" t="s">
        <v>1</v>
      </c>
      <c r="B108" t="s">
        <v>1183</v>
      </c>
      <c r="C108" t="s">
        <v>517</v>
      </c>
    </row>
    <row r="109" spans="1:3" hidden="1">
      <c r="A109" t="s">
        <v>1</v>
      </c>
      <c r="B109" t="s">
        <v>1186</v>
      </c>
      <c r="C109" t="s">
        <v>517</v>
      </c>
    </row>
    <row r="110" spans="1:3" hidden="1">
      <c r="A110" t="s">
        <v>1</v>
      </c>
      <c r="B110" t="s">
        <v>428</v>
      </c>
      <c r="C110" t="s">
        <v>1316</v>
      </c>
    </row>
    <row r="111" spans="1:3" hidden="1">
      <c r="A111" t="s">
        <v>1</v>
      </c>
      <c r="B111" t="s">
        <v>433</v>
      </c>
      <c r="C111" t="s">
        <v>1316</v>
      </c>
    </row>
    <row r="112" spans="1:3" hidden="1">
      <c r="A112" t="s">
        <v>1</v>
      </c>
      <c r="B112" t="s">
        <v>1168</v>
      </c>
      <c r="C112" t="s">
        <v>195</v>
      </c>
    </row>
    <row r="113" spans="1:3" hidden="1">
      <c r="A113" t="s">
        <v>1</v>
      </c>
      <c r="B113" t="s">
        <v>1171</v>
      </c>
      <c r="C113" t="s">
        <v>195</v>
      </c>
    </row>
    <row r="114" spans="1:3" hidden="1">
      <c r="A114" t="s">
        <v>1</v>
      </c>
      <c r="B114" t="s">
        <v>1174</v>
      </c>
      <c r="C114" t="s">
        <v>195</v>
      </c>
    </row>
    <row r="115" spans="1:3" hidden="1">
      <c r="A115" t="s">
        <v>1</v>
      </c>
      <c r="B115" t="s">
        <v>1204</v>
      </c>
      <c r="C115" t="s">
        <v>1133</v>
      </c>
    </row>
    <row r="116" spans="1:3" hidden="1">
      <c r="A116" t="s">
        <v>1</v>
      </c>
      <c r="B116" t="s">
        <v>1209</v>
      </c>
      <c r="C116" t="s">
        <v>1133</v>
      </c>
    </row>
    <row r="117" spans="1:3" hidden="1">
      <c r="A117" t="s">
        <v>1</v>
      </c>
      <c r="B117" t="s">
        <v>1219</v>
      </c>
      <c r="C117" t="s">
        <v>1133</v>
      </c>
    </row>
    <row r="118" spans="1:3" hidden="1">
      <c r="A118" t="s">
        <v>1</v>
      </c>
      <c r="B118" t="s">
        <v>1159</v>
      </c>
      <c r="C118" t="s">
        <v>148</v>
      </c>
    </row>
    <row r="119" spans="1:3" hidden="1">
      <c r="A119" t="s">
        <v>1</v>
      </c>
      <c r="B119" t="s">
        <v>1214</v>
      </c>
      <c r="C119" t="s">
        <v>148</v>
      </c>
    </row>
    <row r="120" spans="1:3" hidden="1">
      <c r="A120" t="s">
        <v>1</v>
      </c>
      <c r="B120" t="s">
        <v>1189</v>
      </c>
      <c r="C120" t="s">
        <v>4007</v>
      </c>
    </row>
    <row r="121" spans="1:3" hidden="1">
      <c r="A121" t="s">
        <v>1</v>
      </c>
      <c r="B121" t="s">
        <v>1201</v>
      </c>
      <c r="C121" t="s">
        <v>4007</v>
      </c>
    </row>
    <row r="122" spans="1:3" hidden="1">
      <c r="A122" t="s">
        <v>1</v>
      </c>
      <c r="B122" t="s">
        <v>1165</v>
      </c>
      <c r="C122" t="s">
        <v>990</v>
      </c>
    </row>
    <row r="123" spans="1:3" hidden="1">
      <c r="A123" t="s">
        <v>1</v>
      </c>
      <c r="B123" t="s">
        <v>1177</v>
      </c>
      <c r="C123" t="s">
        <v>990</v>
      </c>
    </row>
    <row r="124" spans="1:3" hidden="1">
      <c r="A124" t="s">
        <v>1</v>
      </c>
      <c r="B124" t="s">
        <v>1180</v>
      </c>
      <c r="C124" t="s">
        <v>990</v>
      </c>
    </row>
    <row r="125" spans="1:3" hidden="1">
      <c r="A125" t="s">
        <v>1</v>
      </c>
      <c r="B125" t="s">
        <v>451</v>
      </c>
      <c r="C125" t="s">
        <v>157</v>
      </c>
    </row>
    <row r="126" spans="1:3" hidden="1">
      <c r="A126" t="s">
        <v>1</v>
      </c>
      <c r="B126" t="s">
        <v>456</v>
      </c>
      <c r="C126" t="s">
        <v>104</v>
      </c>
    </row>
    <row r="127" spans="1:3" hidden="1">
      <c r="A127" t="s">
        <v>1</v>
      </c>
      <c r="B127" t="s">
        <v>461</v>
      </c>
      <c r="C127" t="s">
        <v>951</v>
      </c>
    </row>
    <row r="128" spans="1:3" hidden="1">
      <c r="A128" t="s">
        <v>1</v>
      </c>
      <c r="B128" t="s">
        <v>467</v>
      </c>
      <c r="C128" t="s">
        <v>195</v>
      </c>
    </row>
    <row r="129" spans="1:3" hidden="1">
      <c r="A129" t="s">
        <v>1</v>
      </c>
      <c r="B129" t="s">
        <v>485</v>
      </c>
      <c r="C129" t="s">
        <v>195</v>
      </c>
    </row>
    <row r="130" spans="1:3" hidden="1">
      <c r="A130" t="s">
        <v>1</v>
      </c>
      <c r="B130" t="s">
        <v>501</v>
      </c>
      <c r="C130" t="s">
        <v>195</v>
      </c>
    </row>
    <row r="131" spans="1:3" hidden="1">
      <c r="A131" t="s">
        <v>1</v>
      </c>
      <c r="B131" t="s">
        <v>475</v>
      </c>
      <c r="C131" t="s">
        <v>126</v>
      </c>
    </row>
    <row r="132" spans="1:3" hidden="1">
      <c r="A132" t="s">
        <v>1</v>
      </c>
      <c r="B132" t="s">
        <v>478</v>
      </c>
      <c r="C132" t="s">
        <v>314</v>
      </c>
    </row>
    <row r="133" spans="1:3" hidden="1">
      <c r="A133" t="s">
        <v>1</v>
      </c>
      <c r="B133" t="s">
        <v>588</v>
      </c>
      <c r="C133" t="s">
        <v>314</v>
      </c>
    </row>
    <row r="134" spans="1:3" hidden="1">
      <c r="A134" t="s">
        <v>1</v>
      </c>
      <c r="B134" t="s">
        <v>491</v>
      </c>
      <c r="C134" t="s">
        <v>104</v>
      </c>
    </row>
    <row r="135" spans="1:3" hidden="1">
      <c r="A135" t="s">
        <v>1</v>
      </c>
      <c r="B135" t="s">
        <v>496</v>
      </c>
      <c r="C135" t="s">
        <v>990</v>
      </c>
    </row>
    <row r="136" spans="1:3" hidden="1">
      <c r="A136" t="s">
        <v>1</v>
      </c>
      <c r="B136" t="s">
        <v>539</v>
      </c>
      <c r="C136" t="s">
        <v>990</v>
      </c>
    </row>
    <row r="137" spans="1:3" hidden="1">
      <c r="A137" t="s">
        <v>1</v>
      </c>
      <c r="B137" t="s">
        <v>555</v>
      </c>
      <c r="C137" t="s">
        <v>990</v>
      </c>
    </row>
    <row r="138" spans="1:3" hidden="1">
      <c r="A138" t="s">
        <v>1</v>
      </c>
      <c r="B138" t="s">
        <v>659</v>
      </c>
      <c r="C138" t="s">
        <v>1133</v>
      </c>
    </row>
    <row r="139" spans="1:3" hidden="1">
      <c r="A139" t="s">
        <v>1</v>
      </c>
      <c r="B139" t="s">
        <v>507</v>
      </c>
      <c r="C139" t="s">
        <v>1156</v>
      </c>
    </row>
    <row r="140" spans="1:3" hidden="1">
      <c r="A140" t="s">
        <v>1</v>
      </c>
      <c r="B140" t="s">
        <v>523</v>
      </c>
      <c r="C140" t="s">
        <v>1156</v>
      </c>
    </row>
    <row r="141" spans="1:3" hidden="1">
      <c r="A141" t="s">
        <v>1</v>
      </c>
      <c r="B141" t="s">
        <v>527</v>
      </c>
      <c r="C141" t="s">
        <v>1156</v>
      </c>
    </row>
    <row r="142" spans="1:3" hidden="1">
      <c r="A142" t="s">
        <v>1</v>
      </c>
      <c r="B142" t="s">
        <v>536</v>
      </c>
      <c r="C142" t="s">
        <v>1156</v>
      </c>
    </row>
    <row r="143" spans="1:3" hidden="1">
      <c r="A143" t="s">
        <v>1</v>
      </c>
      <c r="B143" t="s">
        <v>674</v>
      </c>
      <c r="C143" t="s">
        <v>104</v>
      </c>
    </row>
    <row r="144" spans="1:3" hidden="1">
      <c r="A144" t="s">
        <v>1</v>
      </c>
      <c r="B144" t="s">
        <v>510</v>
      </c>
      <c r="C144" t="s">
        <v>517</v>
      </c>
    </row>
    <row r="145" spans="1:3" hidden="1">
      <c r="A145" t="s">
        <v>1</v>
      </c>
      <c r="B145" t="s">
        <v>530</v>
      </c>
      <c r="C145" t="s">
        <v>517</v>
      </c>
    </row>
    <row r="146" spans="1:3" hidden="1">
      <c r="A146" t="s">
        <v>1</v>
      </c>
      <c r="B146" t="s">
        <v>533</v>
      </c>
      <c r="C146" t="s">
        <v>517</v>
      </c>
    </row>
    <row r="147" spans="1:3" hidden="1">
      <c r="A147" t="s">
        <v>1</v>
      </c>
      <c r="B147" t="s">
        <v>664</v>
      </c>
      <c r="C147" t="s">
        <v>951</v>
      </c>
    </row>
    <row r="148" spans="1:3" hidden="1">
      <c r="A148" t="s">
        <v>1</v>
      </c>
      <c r="B148" t="s">
        <v>513</v>
      </c>
      <c r="C148" t="s">
        <v>1717</v>
      </c>
    </row>
    <row r="149" spans="1:3" hidden="1">
      <c r="A149" t="s">
        <v>1</v>
      </c>
      <c r="B149" t="s">
        <v>520</v>
      </c>
      <c r="C149" t="s">
        <v>1717</v>
      </c>
    </row>
    <row r="150" spans="1:3" hidden="1">
      <c r="A150" t="s">
        <v>1</v>
      </c>
      <c r="B150" t="s">
        <v>592</v>
      </c>
      <c r="C150" t="s">
        <v>517</v>
      </c>
    </row>
    <row r="151" spans="1:3" hidden="1">
      <c r="A151" t="s">
        <v>1</v>
      </c>
      <c r="B151" t="s">
        <v>624</v>
      </c>
      <c r="C151" t="s">
        <v>517</v>
      </c>
    </row>
    <row r="152" spans="1:3" hidden="1">
      <c r="A152" t="s">
        <v>1</v>
      </c>
      <c r="B152" t="s">
        <v>647</v>
      </c>
      <c r="C152" t="s">
        <v>517</v>
      </c>
    </row>
    <row r="153" spans="1:3" hidden="1">
      <c r="A153" t="s">
        <v>1</v>
      </c>
      <c r="B153" t="s">
        <v>650</v>
      </c>
      <c r="C153" t="s">
        <v>517</v>
      </c>
    </row>
    <row r="154" spans="1:3" hidden="1">
      <c r="A154" t="s">
        <v>1</v>
      </c>
      <c r="B154" t="s">
        <v>606</v>
      </c>
      <c r="C154" t="s">
        <v>195</v>
      </c>
    </row>
    <row r="155" spans="1:3" hidden="1">
      <c r="A155" t="s">
        <v>1</v>
      </c>
      <c r="B155" t="s">
        <v>612</v>
      </c>
      <c r="C155" t="s">
        <v>195</v>
      </c>
    </row>
    <row r="156" spans="1:3" hidden="1">
      <c r="A156" t="s">
        <v>1</v>
      </c>
      <c r="B156" t="s">
        <v>644</v>
      </c>
      <c r="C156" t="s">
        <v>195</v>
      </c>
    </row>
    <row r="157" spans="1:3" hidden="1">
      <c r="A157" t="s">
        <v>1</v>
      </c>
      <c r="B157" t="s">
        <v>597</v>
      </c>
      <c r="C157" t="s">
        <v>118</v>
      </c>
    </row>
    <row r="158" spans="1:3" hidden="1">
      <c r="A158" t="s">
        <v>1</v>
      </c>
      <c r="B158" t="s">
        <v>669</v>
      </c>
      <c r="C158" t="s">
        <v>157</v>
      </c>
    </row>
    <row r="159" spans="1:3" hidden="1">
      <c r="A159" t="s">
        <v>1</v>
      </c>
      <c r="B159" t="s">
        <v>615</v>
      </c>
      <c r="C159" t="s">
        <v>218</v>
      </c>
    </row>
    <row r="160" spans="1:3" hidden="1">
      <c r="A160" t="s">
        <v>1</v>
      </c>
      <c r="B160" t="s">
        <v>621</v>
      </c>
      <c r="C160" t="s">
        <v>218</v>
      </c>
    </row>
    <row r="161" spans="1:3" hidden="1">
      <c r="A161" t="s">
        <v>1</v>
      </c>
      <c r="B161" t="s">
        <v>627</v>
      </c>
      <c r="C161" t="s">
        <v>218</v>
      </c>
    </row>
    <row r="162" spans="1:3" hidden="1">
      <c r="A162" t="s">
        <v>1</v>
      </c>
      <c r="B162" t="s">
        <v>635</v>
      </c>
      <c r="C162" t="s">
        <v>148</v>
      </c>
    </row>
    <row r="163" spans="1:3" hidden="1">
      <c r="A163" t="s">
        <v>1</v>
      </c>
      <c r="B163" t="s">
        <v>638</v>
      </c>
      <c r="C163" t="s">
        <v>148</v>
      </c>
    </row>
    <row r="164" spans="1:3" hidden="1">
      <c r="A164" t="s">
        <v>1</v>
      </c>
      <c r="B164" t="s">
        <v>630</v>
      </c>
      <c r="C164" t="s">
        <v>207</v>
      </c>
    </row>
    <row r="165" spans="1:3" hidden="1">
      <c r="A165" t="s">
        <v>1</v>
      </c>
      <c r="B165" t="s">
        <v>641</v>
      </c>
      <c r="C165" t="s">
        <v>207</v>
      </c>
    </row>
    <row r="166" spans="1:3" hidden="1">
      <c r="A166" t="s">
        <v>1</v>
      </c>
      <c r="B166" t="s">
        <v>653</v>
      </c>
      <c r="C166" t="s">
        <v>207</v>
      </c>
    </row>
    <row r="167" spans="1:3" hidden="1">
      <c r="A167" t="s">
        <v>1</v>
      </c>
      <c r="B167" t="s">
        <v>600</v>
      </c>
      <c r="C167" t="s">
        <v>990</v>
      </c>
    </row>
    <row r="168" spans="1:3" hidden="1">
      <c r="A168" t="s">
        <v>1</v>
      </c>
      <c r="B168" t="s">
        <v>542</v>
      </c>
      <c r="C168" t="s">
        <v>237</v>
      </c>
    </row>
    <row r="169" spans="1:3" hidden="1">
      <c r="A169" t="s">
        <v>1</v>
      </c>
      <c r="B169" t="s">
        <v>1033</v>
      </c>
      <c r="C169" t="s">
        <v>104</v>
      </c>
    </row>
    <row r="170" spans="1:3" hidden="1">
      <c r="A170" t="s">
        <v>1</v>
      </c>
      <c r="B170" t="s">
        <v>545</v>
      </c>
      <c r="C170" t="s">
        <v>118</v>
      </c>
    </row>
    <row r="171" spans="1:3" hidden="1">
      <c r="A171" t="s">
        <v>1</v>
      </c>
      <c r="B171" t="s">
        <v>1047</v>
      </c>
      <c r="C171" t="s">
        <v>951</v>
      </c>
    </row>
    <row r="172" spans="1:3" hidden="1">
      <c r="A172" t="s">
        <v>1</v>
      </c>
      <c r="B172" t="s">
        <v>550</v>
      </c>
      <c r="C172" t="s">
        <v>224</v>
      </c>
    </row>
    <row r="173" spans="1:3" hidden="1">
      <c r="A173" t="s">
        <v>1</v>
      </c>
      <c r="B173" t="s">
        <v>1036</v>
      </c>
      <c r="C173" t="s">
        <v>157</v>
      </c>
    </row>
    <row r="174" spans="1:3" hidden="1">
      <c r="A174" t="s">
        <v>1</v>
      </c>
      <c r="B174" t="s">
        <v>1041</v>
      </c>
      <c r="C174" t="s">
        <v>218</v>
      </c>
    </row>
    <row r="175" spans="1:3" hidden="1">
      <c r="A175" t="s">
        <v>1</v>
      </c>
      <c r="B175" t="s">
        <v>1044</v>
      </c>
      <c r="C175" t="s">
        <v>218</v>
      </c>
    </row>
    <row r="176" spans="1:3" hidden="1">
      <c r="A176" t="s">
        <v>1</v>
      </c>
      <c r="B176" t="s">
        <v>560</v>
      </c>
      <c r="C176" t="s">
        <v>244</v>
      </c>
    </row>
    <row r="177" spans="1:3" hidden="1">
      <c r="A177" t="s">
        <v>1</v>
      </c>
      <c r="B177" t="s">
        <v>575</v>
      </c>
      <c r="C177" t="s">
        <v>244</v>
      </c>
    </row>
    <row r="178" spans="1:3" hidden="1">
      <c r="A178" t="s">
        <v>1</v>
      </c>
      <c r="B178" t="s">
        <v>580</v>
      </c>
      <c r="C178" t="s">
        <v>244</v>
      </c>
    </row>
    <row r="179" spans="1:3" hidden="1">
      <c r="A179" t="s">
        <v>1</v>
      </c>
      <c r="B179" t="s">
        <v>995</v>
      </c>
      <c r="C179" t="s">
        <v>3041</v>
      </c>
    </row>
    <row r="180" spans="1:3" hidden="1">
      <c r="A180" t="s">
        <v>1</v>
      </c>
      <c r="B180" t="s">
        <v>565</v>
      </c>
      <c r="C180" t="s">
        <v>3550</v>
      </c>
    </row>
    <row r="181" spans="1:3" hidden="1">
      <c r="A181" t="s">
        <v>1</v>
      </c>
      <c r="B181" t="s">
        <v>1000</v>
      </c>
      <c r="C181" t="s">
        <v>118</v>
      </c>
    </row>
    <row r="182" spans="1:3" hidden="1">
      <c r="A182" t="s">
        <v>1</v>
      </c>
      <c r="B182" t="s">
        <v>570</v>
      </c>
      <c r="C182" t="s">
        <v>157</v>
      </c>
    </row>
    <row r="183" spans="1:3" hidden="1">
      <c r="A183" t="s">
        <v>1</v>
      </c>
      <c r="B183" t="s">
        <v>1003</v>
      </c>
      <c r="C183" t="s">
        <v>237</v>
      </c>
    </row>
    <row r="184" spans="1:3" hidden="1">
      <c r="A184" t="s">
        <v>1</v>
      </c>
      <c r="B184" t="s">
        <v>1006</v>
      </c>
      <c r="C184" t="s">
        <v>237</v>
      </c>
    </row>
    <row r="185" spans="1:3" hidden="1">
      <c r="A185" t="s">
        <v>1</v>
      </c>
      <c r="B185" t="s">
        <v>1009</v>
      </c>
      <c r="C185" t="s">
        <v>990</v>
      </c>
    </row>
    <row r="186" spans="1:3" hidden="1">
      <c r="A186" t="s">
        <v>1</v>
      </c>
      <c r="B186" t="s">
        <v>1030</v>
      </c>
      <c r="C186" t="s">
        <v>990</v>
      </c>
    </row>
    <row r="187" spans="1:3" hidden="1">
      <c r="A187" t="s">
        <v>1</v>
      </c>
      <c r="B187" t="s">
        <v>1024</v>
      </c>
      <c r="C187" t="s">
        <v>224</v>
      </c>
    </row>
    <row r="188" spans="1:3" hidden="1">
      <c r="A188" t="s">
        <v>1</v>
      </c>
      <c r="B188" t="s">
        <v>1027</v>
      </c>
      <c r="C188" t="s">
        <v>224</v>
      </c>
    </row>
    <row r="189" spans="1:3" hidden="1">
      <c r="A189" t="s">
        <v>1</v>
      </c>
      <c r="B189" t="s">
        <v>585</v>
      </c>
      <c r="C189" t="s">
        <v>951</v>
      </c>
    </row>
    <row r="190" spans="1:3" hidden="1">
      <c r="A190" t="s">
        <v>1</v>
      </c>
      <c r="B190" t="s">
        <v>1015</v>
      </c>
      <c r="C190" t="s">
        <v>517</v>
      </c>
    </row>
    <row r="191" spans="1:3" hidden="1">
      <c r="A191" t="s">
        <v>1</v>
      </c>
      <c r="B191" t="s">
        <v>1018</v>
      </c>
      <c r="C191" t="s">
        <v>517</v>
      </c>
    </row>
    <row r="192" spans="1:3" hidden="1">
      <c r="A192" t="s">
        <v>1</v>
      </c>
      <c r="B192" t="s">
        <v>1021</v>
      </c>
      <c r="C192" t="s">
        <v>517</v>
      </c>
    </row>
    <row r="193" spans="1:3" hidden="1">
      <c r="A193" t="s">
        <v>1</v>
      </c>
      <c r="B193" t="s">
        <v>981</v>
      </c>
      <c r="C193" t="s">
        <v>195</v>
      </c>
    </row>
    <row r="194" spans="1:3" hidden="1">
      <c r="A194" t="s">
        <v>1</v>
      </c>
      <c r="B194" t="s">
        <v>985</v>
      </c>
      <c r="C194" t="s">
        <v>195</v>
      </c>
    </row>
    <row r="195" spans="1:3" hidden="1">
      <c r="A195" t="s">
        <v>1</v>
      </c>
      <c r="B195" t="s">
        <v>1012</v>
      </c>
      <c r="C195" t="s">
        <v>195</v>
      </c>
    </row>
    <row r="196" spans="1:3" hidden="1">
      <c r="A196" t="s">
        <v>1</v>
      </c>
      <c r="B196" t="s">
        <v>988</v>
      </c>
      <c r="C196" t="s">
        <v>126</v>
      </c>
    </row>
    <row r="197" spans="1:3" hidden="1">
      <c r="A197" t="s">
        <v>1</v>
      </c>
      <c r="B197" t="s">
        <v>992</v>
      </c>
      <c r="C197" t="s">
        <v>126</v>
      </c>
    </row>
    <row r="198" spans="1:3" hidden="1">
      <c r="A198" t="s">
        <v>1</v>
      </c>
      <c r="B198" t="s">
        <v>975</v>
      </c>
      <c r="C198" t="s">
        <v>104</v>
      </c>
    </row>
    <row r="199" spans="1:3" hidden="1">
      <c r="A199" t="s">
        <v>1</v>
      </c>
      <c r="B199" t="s">
        <v>967</v>
      </c>
      <c r="C199" t="s">
        <v>951</v>
      </c>
    </row>
    <row r="200" spans="1:3" hidden="1">
      <c r="A200" t="s">
        <v>1</v>
      </c>
      <c r="B200" t="s">
        <v>972</v>
      </c>
      <c r="C200" t="s">
        <v>157</v>
      </c>
    </row>
    <row r="201" spans="1:3" hidden="1">
      <c r="A201" t="s">
        <v>1</v>
      </c>
      <c r="B201" t="s">
        <v>855</v>
      </c>
      <c r="C201" t="s">
        <v>517</v>
      </c>
    </row>
    <row r="202" spans="1:3" hidden="1">
      <c r="A202" t="s">
        <v>1</v>
      </c>
      <c r="B202" t="s">
        <v>858</v>
      </c>
      <c r="C202" t="s">
        <v>517</v>
      </c>
    </row>
    <row r="203" spans="1:3" hidden="1">
      <c r="A203" t="s">
        <v>1</v>
      </c>
      <c r="B203" t="s">
        <v>958</v>
      </c>
      <c r="C203" t="s">
        <v>517</v>
      </c>
    </row>
    <row r="204" spans="1:3" hidden="1">
      <c r="A204" t="s">
        <v>1</v>
      </c>
      <c r="B204" t="s">
        <v>839</v>
      </c>
      <c r="C204" t="s">
        <v>195</v>
      </c>
    </row>
    <row r="205" spans="1:3" hidden="1">
      <c r="A205" t="s">
        <v>1</v>
      </c>
      <c r="B205" t="s">
        <v>852</v>
      </c>
      <c r="C205" t="s">
        <v>195</v>
      </c>
    </row>
    <row r="206" spans="1:3" hidden="1">
      <c r="A206" t="s">
        <v>1</v>
      </c>
      <c r="B206" t="s">
        <v>916</v>
      </c>
      <c r="C206" t="s">
        <v>195</v>
      </c>
    </row>
    <row r="207" spans="1:3" hidden="1">
      <c r="A207" t="s">
        <v>1</v>
      </c>
      <c r="B207" t="s">
        <v>964</v>
      </c>
      <c r="C207" t="s">
        <v>195</v>
      </c>
    </row>
    <row r="208" spans="1:3" hidden="1">
      <c r="A208" t="s">
        <v>1</v>
      </c>
      <c r="B208" t="s">
        <v>928</v>
      </c>
      <c r="C208" t="s">
        <v>118</v>
      </c>
    </row>
    <row r="209" spans="1:3" hidden="1">
      <c r="A209" t="s">
        <v>1</v>
      </c>
      <c r="B209" t="s">
        <v>894</v>
      </c>
      <c r="C209" t="s">
        <v>237</v>
      </c>
    </row>
    <row r="210" spans="1:3" hidden="1">
      <c r="A210" t="s">
        <v>1</v>
      </c>
      <c r="B210" t="s">
        <v>897</v>
      </c>
      <c r="C210" t="s">
        <v>237</v>
      </c>
    </row>
    <row r="211" spans="1:3" hidden="1">
      <c r="A211" t="s">
        <v>1</v>
      </c>
      <c r="B211" t="s">
        <v>871</v>
      </c>
      <c r="C211" t="s">
        <v>266</v>
      </c>
    </row>
    <row r="212" spans="1:3" hidden="1">
      <c r="A212" t="s">
        <v>1</v>
      </c>
      <c r="B212" t="s">
        <v>891</v>
      </c>
      <c r="C212" t="s">
        <v>266</v>
      </c>
    </row>
    <row r="213" spans="1:3" hidden="1">
      <c r="A213" t="s">
        <v>1</v>
      </c>
      <c r="B213" t="s">
        <v>900</v>
      </c>
      <c r="C213" t="s">
        <v>266</v>
      </c>
    </row>
    <row r="214" spans="1:3" hidden="1">
      <c r="A214" t="s">
        <v>1</v>
      </c>
      <c r="B214" t="s">
        <v>881</v>
      </c>
      <c r="C214" t="s">
        <v>218</v>
      </c>
    </row>
    <row r="215" spans="1:3" hidden="1">
      <c r="A215" t="s">
        <v>1</v>
      </c>
      <c r="B215" t="s">
        <v>931</v>
      </c>
      <c r="C215" t="s">
        <v>218</v>
      </c>
    </row>
    <row r="216" spans="1:3" hidden="1">
      <c r="A216" t="s">
        <v>1</v>
      </c>
      <c r="B216" t="s">
        <v>939</v>
      </c>
      <c r="C216" t="s">
        <v>218</v>
      </c>
    </row>
    <row r="217" spans="1:3" hidden="1">
      <c r="A217" t="s">
        <v>1</v>
      </c>
      <c r="B217" t="s">
        <v>936</v>
      </c>
      <c r="C217" t="s">
        <v>1316</v>
      </c>
    </row>
    <row r="218" spans="1:3" hidden="1">
      <c r="A218" t="s">
        <v>1</v>
      </c>
      <c r="B218" t="s">
        <v>944</v>
      </c>
      <c r="C218" t="s">
        <v>1316</v>
      </c>
    </row>
    <row r="219" spans="1:3" hidden="1">
      <c r="A219" t="s">
        <v>1</v>
      </c>
      <c r="B219" t="s">
        <v>846</v>
      </c>
      <c r="C219" t="s">
        <v>990</v>
      </c>
    </row>
    <row r="220" spans="1:3" hidden="1">
      <c r="A220" t="s">
        <v>1</v>
      </c>
      <c r="B220" t="s">
        <v>864</v>
      </c>
      <c r="C220" t="s">
        <v>990</v>
      </c>
    </row>
    <row r="221" spans="1:3" hidden="1">
      <c r="A221" t="s">
        <v>1</v>
      </c>
      <c r="B221" t="s">
        <v>868</v>
      </c>
      <c r="C221" t="s">
        <v>990</v>
      </c>
    </row>
    <row r="222" spans="1:3" hidden="1">
      <c r="A222" t="s">
        <v>1</v>
      </c>
      <c r="B222" t="s">
        <v>876</v>
      </c>
      <c r="C222" t="s">
        <v>244</v>
      </c>
    </row>
    <row r="223" spans="1:3" hidden="1">
      <c r="A223" t="s">
        <v>1</v>
      </c>
      <c r="B223" t="s">
        <v>903</v>
      </c>
      <c r="C223" t="s">
        <v>244</v>
      </c>
    </row>
    <row r="224" spans="1:3" hidden="1">
      <c r="A224" t="s">
        <v>1</v>
      </c>
      <c r="B224" t="s">
        <v>907</v>
      </c>
      <c r="C224" t="s">
        <v>244</v>
      </c>
    </row>
    <row r="225" spans="1:3" hidden="1">
      <c r="A225" t="s">
        <v>1</v>
      </c>
      <c r="B225" t="s">
        <v>849</v>
      </c>
      <c r="C225" t="s">
        <v>294</v>
      </c>
    </row>
    <row r="226" spans="1:3" hidden="1">
      <c r="A226" t="s">
        <v>1</v>
      </c>
      <c r="B226" t="s">
        <v>886</v>
      </c>
      <c r="C226" t="s">
        <v>294</v>
      </c>
    </row>
    <row r="227" spans="1:3" hidden="1">
      <c r="A227" t="s">
        <v>1</v>
      </c>
      <c r="B227" t="s">
        <v>953</v>
      </c>
      <c r="C227" t="s">
        <v>294</v>
      </c>
    </row>
    <row r="228" spans="1:3" hidden="1">
      <c r="A228" t="s">
        <v>1</v>
      </c>
      <c r="B228" t="s">
        <v>961</v>
      </c>
      <c r="C228" t="s">
        <v>294</v>
      </c>
    </row>
    <row r="229" spans="1:3" hidden="1">
      <c r="A229" t="s">
        <v>1</v>
      </c>
      <c r="B229" t="s">
        <v>910</v>
      </c>
      <c r="C229" t="s">
        <v>126</v>
      </c>
    </row>
    <row r="230" spans="1:3" hidden="1">
      <c r="A230" t="s">
        <v>1</v>
      </c>
      <c r="B230" t="s">
        <v>919</v>
      </c>
      <c r="C230" t="s">
        <v>126</v>
      </c>
    </row>
    <row r="231" spans="1:3" hidden="1">
      <c r="A231" t="s">
        <v>1</v>
      </c>
      <c r="B231" t="s">
        <v>925</v>
      </c>
      <c r="C231" t="s">
        <v>126</v>
      </c>
    </row>
    <row r="232" spans="1:3" hidden="1">
      <c r="A232" t="s">
        <v>1</v>
      </c>
      <c r="B232" t="s">
        <v>949</v>
      </c>
      <c r="C232" t="s">
        <v>126</v>
      </c>
    </row>
    <row r="233" spans="1:3" hidden="1">
      <c r="A233" t="s">
        <v>1</v>
      </c>
      <c r="B233" t="s">
        <v>1512</v>
      </c>
      <c r="C233" t="s">
        <v>104</v>
      </c>
    </row>
    <row r="234" spans="1:3" hidden="1">
      <c r="A234" t="s">
        <v>1</v>
      </c>
      <c r="B234" t="s">
        <v>1523</v>
      </c>
      <c r="C234" t="s">
        <v>951</v>
      </c>
    </row>
    <row r="235" spans="1:3" hidden="1">
      <c r="A235" t="s">
        <v>1</v>
      </c>
      <c r="B235" t="s">
        <v>1467</v>
      </c>
      <c r="C235" t="s">
        <v>157</v>
      </c>
    </row>
    <row r="236" spans="1:3" hidden="1">
      <c r="A236" t="s">
        <v>1</v>
      </c>
      <c r="B236" t="s">
        <v>1476</v>
      </c>
      <c r="C236" t="s">
        <v>157</v>
      </c>
    </row>
    <row r="237" spans="1:3" hidden="1">
      <c r="A237" t="s">
        <v>1</v>
      </c>
      <c r="B237" t="s">
        <v>1520</v>
      </c>
      <c r="C237" t="s">
        <v>157</v>
      </c>
    </row>
    <row r="238" spans="1:3" hidden="1">
      <c r="A238" t="s">
        <v>1</v>
      </c>
      <c r="B238" t="s">
        <v>678</v>
      </c>
      <c r="C238" t="s">
        <v>118</v>
      </c>
    </row>
    <row r="239" spans="1:3" hidden="1">
      <c r="A239" t="s">
        <v>1</v>
      </c>
      <c r="B239" t="s">
        <v>704</v>
      </c>
      <c r="C239" t="s">
        <v>118</v>
      </c>
    </row>
    <row r="240" spans="1:3" hidden="1">
      <c r="A240" t="s">
        <v>1</v>
      </c>
      <c r="B240" t="s">
        <v>1470</v>
      </c>
      <c r="C240" t="s">
        <v>218</v>
      </c>
    </row>
    <row r="241" spans="1:3" hidden="1">
      <c r="A241" t="s">
        <v>1</v>
      </c>
      <c r="B241" t="s">
        <v>1473</v>
      </c>
      <c r="C241" t="s">
        <v>218</v>
      </c>
    </row>
    <row r="242" spans="1:3" hidden="1">
      <c r="A242" t="s">
        <v>1</v>
      </c>
      <c r="B242" t="s">
        <v>682</v>
      </c>
      <c r="C242" t="s">
        <v>148</v>
      </c>
    </row>
    <row r="243" spans="1:3" hidden="1">
      <c r="A243" t="s">
        <v>1</v>
      </c>
      <c r="B243" t="s">
        <v>713</v>
      </c>
      <c r="C243" t="s">
        <v>148</v>
      </c>
    </row>
    <row r="244" spans="1:3" hidden="1">
      <c r="A244" t="s">
        <v>1</v>
      </c>
      <c r="B244" t="s">
        <v>722</v>
      </c>
      <c r="C244" t="s">
        <v>148</v>
      </c>
    </row>
    <row r="245" spans="1:3" hidden="1">
      <c r="A245" t="s">
        <v>1</v>
      </c>
      <c r="B245" t="s">
        <v>732</v>
      </c>
      <c r="C245" t="s">
        <v>148</v>
      </c>
    </row>
    <row r="246" spans="1:3" hidden="1">
      <c r="A246" t="s">
        <v>1</v>
      </c>
      <c r="B246" t="s">
        <v>1517</v>
      </c>
      <c r="C246" t="s">
        <v>3041</v>
      </c>
    </row>
    <row r="247" spans="1:3" hidden="1">
      <c r="A247" t="s">
        <v>1</v>
      </c>
      <c r="B247" t="s">
        <v>687</v>
      </c>
      <c r="C247" t="s">
        <v>1133</v>
      </c>
    </row>
    <row r="248" spans="1:3" hidden="1">
      <c r="A248" t="s">
        <v>1</v>
      </c>
      <c r="B248" t="s">
        <v>727</v>
      </c>
      <c r="C248" t="s">
        <v>1133</v>
      </c>
    </row>
    <row r="249" spans="1:3" hidden="1">
      <c r="A249" t="s">
        <v>1</v>
      </c>
      <c r="B249" t="s">
        <v>1487</v>
      </c>
      <c r="C249" t="s">
        <v>517</v>
      </c>
    </row>
    <row r="250" spans="1:3" hidden="1">
      <c r="A250" t="s">
        <v>1</v>
      </c>
      <c r="B250" t="s">
        <v>690</v>
      </c>
      <c r="C250" t="s">
        <v>517</v>
      </c>
    </row>
    <row r="251" spans="1:3" hidden="1">
      <c r="A251" t="s">
        <v>1</v>
      </c>
      <c r="B251" t="s">
        <v>693</v>
      </c>
      <c r="C251" t="s">
        <v>517</v>
      </c>
    </row>
    <row r="252" spans="1:3" hidden="1">
      <c r="A252" t="s">
        <v>1</v>
      </c>
      <c r="B252" t="s">
        <v>696</v>
      </c>
      <c r="C252" t="s">
        <v>517</v>
      </c>
    </row>
    <row r="253" spans="1:3" hidden="1">
      <c r="A253" t="s">
        <v>1</v>
      </c>
      <c r="B253" t="s">
        <v>716</v>
      </c>
      <c r="C253" t="s">
        <v>517</v>
      </c>
    </row>
    <row r="254" spans="1:3" hidden="1">
      <c r="A254" t="s">
        <v>1</v>
      </c>
      <c r="B254" t="s">
        <v>719</v>
      </c>
      <c r="C254" t="s">
        <v>517</v>
      </c>
    </row>
    <row r="255" spans="1:3" hidden="1">
      <c r="A255" t="s">
        <v>1</v>
      </c>
      <c r="B255" t="s">
        <v>1454</v>
      </c>
      <c r="C255" t="s">
        <v>195</v>
      </c>
    </row>
    <row r="256" spans="1:3" hidden="1">
      <c r="A256" t="s">
        <v>1</v>
      </c>
      <c r="B256" t="s">
        <v>1481</v>
      </c>
      <c r="C256" t="s">
        <v>195</v>
      </c>
    </row>
    <row r="257" spans="1:3" hidden="1">
      <c r="A257" t="s">
        <v>1</v>
      </c>
      <c r="B257" t="s">
        <v>1484</v>
      </c>
      <c r="C257" t="s">
        <v>195</v>
      </c>
    </row>
    <row r="258" spans="1:3" hidden="1">
      <c r="A258" t="s">
        <v>1</v>
      </c>
      <c r="B258" t="s">
        <v>1504</v>
      </c>
      <c r="C258" t="s">
        <v>1133</v>
      </c>
    </row>
    <row r="259" spans="1:3" hidden="1">
      <c r="A259" t="s">
        <v>1</v>
      </c>
      <c r="B259" t="s">
        <v>1509</v>
      </c>
      <c r="C259" t="s">
        <v>1133</v>
      </c>
    </row>
    <row r="260" spans="1:3" hidden="1">
      <c r="A260" t="s">
        <v>1</v>
      </c>
      <c r="B260" t="s">
        <v>1444</v>
      </c>
      <c r="C260" t="s">
        <v>118</v>
      </c>
    </row>
    <row r="261" spans="1:3" hidden="1">
      <c r="A261" t="s">
        <v>1</v>
      </c>
      <c r="B261" t="s">
        <v>1448</v>
      </c>
      <c r="C261" t="s">
        <v>118</v>
      </c>
    </row>
    <row r="262" spans="1:3" hidden="1">
      <c r="A262" t="s">
        <v>1</v>
      </c>
      <c r="B262" t="s">
        <v>1496</v>
      </c>
      <c r="C262" t="s">
        <v>118</v>
      </c>
    </row>
    <row r="263" spans="1:3" hidden="1">
      <c r="A263" t="s">
        <v>1</v>
      </c>
      <c r="B263" t="s">
        <v>699</v>
      </c>
      <c r="C263" t="s">
        <v>3041</v>
      </c>
    </row>
    <row r="264" spans="1:3" hidden="1">
      <c r="A264" t="s">
        <v>1</v>
      </c>
      <c r="B264" t="s">
        <v>752</v>
      </c>
      <c r="C264" t="s">
        <v>3041</v>
      </c>
    </row>
    <row r="265" spans="1:3" hidden="1">
      <c r="A265" t="s">
        <v>1</v>
      </c>
      <c r="B265" t="s">
        <v>1457</v>
      </c>
      <c r="C265" t="s">
        <v>148</v>
      </c>
    </row>
    <row r="266" spans="1:3" hidden="1">
      <c r="A266" t="s">
        <v>1</v>
      </c>
      <c r="B266" t="s">
        <v>1499</v>
      </c>
      <c r="C266" t="s">
        <v>148</v>
      </c>
    </row>
    <row r="267" spans="1:3" hidden="1">
      <c r="A267" t="s">
        <v>1</v>
      </c>
      <c r="B267" t="s">
        <v>1451</v>
      </c>
      <c r="C267" t="s">
        <v>207</v>
      </c>
    </row>
    <row r="268" spans="1:3" hidden="1">
      <c r="A268" t="s">
        <v>1</v>
      </c>
      <c r="B268" t="s">
        <v>1462</v>
      </c>
      <c r="C268" t="s">
        <v>207</v>
      </c>
    </row>
    <row r="269" spans="1:3" hidden="1">
      <c r="A269" t="s">
        <v>1</v>
      </c>
      <c r="B269" t="s">
        <v>1493</v>
      </c>
      <c r="C269" t="s">
        <v>207</v>
      </c>
    </row>
    <row r="270" spans="1:3" hidden="1">
      <c r="A270" t="s">
        <v>1</v>
      </c>
      <c r="B270" t="s">
        <v>707</v>
      </c>
      <c r="C270" t="s">
        <v>237</v>
      </c>
    </row>
    <row r="271" spans="1:3" hidden="1">
      <c r="A271" t="s">
        <v>1</v>
      </c>
      <c r="B271" t="s">
        <v>710</v>
      </c>
      <c r="C271" t="s">
        <v>237</v>
      </c>
    </row>
    <row r="272" spans="1:3" hidden="1">
      <c r="A272" t="s">
        <v>1</v>
      </c>
      <c r="B272" t="s">
        <v>1547</v>
      </c>
      <c r="C272" t="s">
        <v>517</v>
      </c>
    </row>
    <row r="273" spans="1:3" hidden="1">
      <c r="A273" t="s">
        <v>1</v>
      </c>
      <c r="B273" t="s">
        <v>1550</v>
      </c>
      <c r="C273" t="s">
        <v>517</v>
      </c>
    </row>
    <row r="274" spans="1:3" hidden="1">
      <c r="A274" t="s">
        <v>1</v>
      </c>
      <c r="B274" t="s">
        <v>1553</v>
      </c>
      <c r="C274" t="s">
        <v>195</v>
      </c>
    </row>
    <row r="275" spans="1:3" hidden="1">
      <c r="A275" t="s">
        <v>1</v>
      </c>
      <c r="B275" t="s">
        <v>1556</v>
      </c>
      <c r="C275" t="s">
        <v>195</v>
      </c>
    </row>
    <row r="276" spans="1:3" hidden="1">
      <c r="A276" t="s">
        <v>1</v>
      </c>
      <c r="B276" t="s">
        <v>735</v>
      </c>
      <c r="C276" t="s">
        <v>104</v>
      </c>
    </row>
    <row r="277" spans="1:3" hidden="1">
      <c r="A277" t="s">
        <v>1</v>
      </c>
      <c r="B277" t="s">
        <v>1561</v>
      </c>
      <c r="C277" t="s">
        <v>126</v>
      </c>
    </row>
    <row r="278" spans="1:3" hidden="1">
      <c r="A278" t="s">
        <v>1</v>
      </c>
      <c r="B278" t="s">
        <v>1581</v>
      </c>
      <c r="C278" t="s">
        <v>126</v>
      </c>
    </row>
    <row r="279" spans="1:3" hidden="1">
      <c r="A279" t="s">
        <v>1</v>
      </c>
      <c r="B279" t="s">
        <v>738</v>
      </c>
      <c r="C279" t="s">
        <v>951</v>
      </c>
    </row>
    <row r="280" spans="1:3" hidden="1">
      <c r="A280" t="s">
        <v>1</v>
      </c>
      <c r="B280" t="s">
        <v>743</v>
      </c>
      <c r="C280" t="s">
        <v>951</v>
      </c>
    </row>
    <row r="281" spans="1:3" hidden="1">
      <c r="A281" t="s">
        <v>1</v>
      </c>
      <c r="B281" t="s">
        <v>1578</v>
      </c>
      <c r="C281" t="s">
        <v>1156</v>
      </c>
    </row>
    <row r="282" spans="1:3" hidden="1">
      <c r="A282" t="s">
        <v>1</v>
      </c>
      <c r="B282" t="s">
        <v>1569</v>
      </c>
      <c r="C282" t="s">
        <v>1717</v>
      </c>
    </row>
    <row r="283" spans="1:3" hidden="1">
      <c r="A283" t="s">
        <v>1</v>
      </c>
      <c r="B283" t="s">
        <v>1575</v>
      </c>
      <c r="C283" t="s">
        <v>1717</v>
      </c>
    </row>
    <row r="284" spans="1:3" hidden="1">
      <c r="A284" t="s">
        <v>1</v>
      </c>
      <c r="B284" t="s">
        <v>746</v>
      </c>
      <c r="C284" t="s">
        <v>218</v>
      </c>
    </row>
    <row r="285" spans="1:3" hidden="1">
      <c r="A285" t="s">
        <v>1</v>
      </c>
      <c r="B285" t="s">
        <v>757</v>
      </c>
      <c r="C285" t="s">
        <v>218</v>
      </c>
    </row>
    <row r="286" spans="1:3" hidden="1">
      <c r="A286" t="s">
        <v>1</v>
      </c>
      <c r="B286" t="s">
        <v>1544</v>
      </c>
      <c r="C286" t="s">
        <v>173</v>
      </c>
    </row>
    <row r="287" spans="1:3" hidden="1">
      <c r="A287" t="s">
        <v>1</v>
      </c>
      <c r="B287" t="s">
        <v>749</v>
      </c>
      <c r="C287" t="s">
        <v>157</v>
      </c>
    </row>
    <row r="288" spans="1:3">
      <c r="A288" t="s">
        <v>1</v>
      </c>
      <c r="B288" t="s">
        <v>1564</v>
      </c>
      <c r="C288" t="s">
        <v>104</v>
      </c>
    </row>
    <row r="289" spans="1:3" hidden="1">
      <c r="A289" t="s">
        <v>1</v>
      </c>
      <c r="B289" t="s">
        <v>1539</v>
      </c>
      <c r="C289" t="s">
        <v>951</v>
      </c>
    </row>
    <row r="290" spans="1:3" hidden="1">
      <c r="A290" t="s">
        <v>1</v>
      </c>
      <c r="B290" t="s">
        <v>1533</v>
      </c>
      <c r="C290" t="s">
        <v>157</v>
      </c>
    </row>
    <row r="291" spans="1:3" hidden="1">
      <c r="A291" t="s">
        <v>1</v>
      </c>
      <c r="B291" t="s">
        <v>1572</v>
      </c>
      <c r="C291" t="s">
        <v>157</v>
      </c>
    </row>
    <row r="292" spans="1:3" hidden="1">
      <c r="A292" t="s">
        <v>1</v>
      </c>
      <c r="B292" t="s">
        <v>1584</v>
      </c>
      <c r="C292" t="s">
        <v>990</v>
      </c>
    </row>
    <row r="293" spans="1:3" hidden="1">
      <c r="A293" t="s">
        <v>1</v>
      </c>
      <c r="B293" t="s">
        <v>1527</v>
      </c>
      <c r="C293" t="s">
        <v>1133</v>
      </c>
    </row>
    <row r="294" spans="1:3" hidden="1">
      <c r="A294" t="s">
        <v>1</v>
      </c>
      <c r="B294" t="s">
        <v>1536</v>
      </c>
      <c r="C294" t="s">
        <v>1133</v>
      </c>
    </row>
    <row r="295" spans="1:3" hidden="1">
      <c r="A295" t="s">
        <v>1</v>
      </c>
      <c r="B295" t="s">
        <v>1053</v>
      </c>
      <c r="C295" t="s">
        <v>1156</v>
      </c>
    </row>
    <row r="296" spans="1:3" hidden="1">
      <c r="A296" t="s">
        <v>1</v>
      </c>
      <c r="B296" t="s">
        <v>1060</v>
      </c>
      <c r="C296" t="s">
        <v>1156</v>
      </c>
    </row>
    <row r="297" spans="1:3" hidden="1">
      <c r="A297" t="s">
        <v>1</v>
      </c>
      <c r="B297" t="s">
        <v>1063</v>
      </c>
      <c r="C297" t="s">
        <v>1156</v>
      </c>
    </row>
    <row r="298" spans="1:3" hidden="1">
      <c r="A298" t="s">
        <v>1</v>
      </c>
      <c r="B298" t="s">
        <v>1102</v>
      </c>
      <c r="C298" t="s">
        <v>1156</v>
      </c>
    </row>
    <row r="299" spans="1:3" hidden="1">
      <c r="A299" t="s">
        <v>1</v>
      </c>
      <c r="B299" t="s">
        <v>1138</v>
      </c>
      <c r="C299" t="s">
        <v>1156</v>
      </c>
    </row>
    <row r="300" spans="1:3" hidden="1">
      <c r="A300" t="s">
        <v>1</v>
      </c>
      <c r="B300" t="s">
        <v>1057</v>
      </c>
      <c r="C300" t="s">
        <v>195</v>
      </c>
    </row>
    <row r="301" spans="1:3" hidden="1">
      <c r="A301" t="s">
        <v>1</v>
      </c>
      <c r="B301" t="s">
        <v>1120</v>
      </c>
      <c r="C301" t="s">
        <v>195</v>
      </c>
    </row>
    <row r="302" spans="1:3" hidden="1">
      <c r="A302" t="s">
        <v>1</v>
      </c>
      <c r="B302" t="s">
        <v>1135</v>
      </c>
      <c r="C302" t="s">
        <v>195</v>
      </c>
    </row>
    <row r="303" spans="1:3" hidden="1">
      <c r="A303" t="s">
        <v>1</v>
      </c>
      <c r="B303" t="s">
        <v>1066</v>
      </c>
      <c r="C303" t="s">
        <v>294</v>
      </c>
    </row>
    <row r="304" spans="1:3" hidden="1">
      <c r="A304" t="s">
        <v>1</v>
      </c>
      <c r="B304" t="s">
        <v>1069</v>
      </c>
      <c r="C304" t="s">
        <v>294</v>
      </c>
    </row>
    <row r="305" spans="1:3" hidden="1">
      <c r="A305" t="s">
        <v>1</v>
      </c>
      <c r="B305" t="s">
        <v>1072</v>
      </c>
      <c r="C305" t="s">
        <v>517</v>
      </c>
    </row>
    <row r="306" spans="1:3" hidden="1">
      <c r="A306" t="s">
        <v>1</v>
      </c>
      <c r="B306" t="s">
        <v>1094</v>
      </c>
      <c r="C306" t="s">
        <v>517</v>
      </c>
    </row>
    <row r="307" spans="1:3" hidden="1">
      <c r="A307" t="s">
        <v>1</v>
      </c>
      <c r="B307" t="s">
        <v>1099</v>
      </c>
      <c r="C307" t="s">
        <v>517</v>
      </c>
    </row>
    <row r="308" spans="1:3" hidden="1">
      <c r="A308" t="s">
        <v>1</v>
      </c>
      <c r="B308" t="s">
        <v>1131</v>
      </c>
      <c r="C308" t="s">
        <v>517</v>
      </c>
    </row>
    <row r="309" spans="1:3" hidden="1">
      <c r="A309" t="s">
        <v>1</v>
      </c>
      <c r="B309" t="s">
        <v>1370</v>
      </c>
      <c r="C309" t="s">
        <v>104</v>
      </c>
    </row>
    <row r="310" spans="1:3" hidden="1">
      <c r="A310" t="s">
        <v>1</v>
      </c>
      <c r="B310" t="s">
        <v>1075</v>
      </c>
      <c r="C310" t="s">
        <v>990</v>
      </c>
    </row>
    <row r="311" spans="1:3" hidden="1">
      <c r="A311" t="s">
        <v>1</v>
      </c>
      <c r="B311" t="s">
        <v>1111</v>
      </c>
      <c r="C311" t="s">
        <v>990</v>
      </c>
    </row>
    <row r="312" spans="1:3" hidden="1">
      <c r="A312" t="s">
        <v>1</v>
      </c>
      <c r="B312" t="s">
        <v>1123</v>
      </c>
      <c r="C312" t="s">
        <v>990</v>
      </c>
    </row>
    <row r="313" spans="1:3" hidden="1">
      <c r="A313" t="s">
        <v>1</v>
      </c>
      <c r="B313" t="s">
        <v>1378</v>
      </c>
      <c r="C313" t="s">
        <v>951</v>
      </c>
    </row>
    <row r="314" spans="1:3" hidden="1">
      <c r="A314" t="s">
        <v>1</v>
      </c>
      <c r="B314" t="s">
        <v>1078</v>
      </c>
      <c r="C314" t="s">
        <v>1316</v>
      </c>
    </row>
    <row r="315" spans="1:3" hidden="1">
      <c r="A315" t="s">
        <v>1</v>
      </c>
      <c r="B315" t="s">
        <v>1117</v>
      </c>
      <c r="C315" t="s">
        <v>1316</v>
      </c>
    </row>
    <row r="316" spans="1:3" hidden="1">
      <c r="A316" t="s">
        <v>1</v>
      </c>
      <c r="B316" t="s">
        <v>1383</v>
      </c>
      <c r="C316" t="s">
        <v>157</v>
      </c>
    </row>
    <row r="317" spans="1:3" hidden="1">
      <c r="A317" t="s">
        <v>1</v>
      </c>
      <c r="B317" t="s">
        <v>1081</v>
      </c>
      <c r="C317" t="s">
        <v>951</v>
      </c>
    </row>
    <row r="318" spans="1:3" hidden="1">
      <c r="A318" t="s">
        <v>1</v>
      </c>
      <c r="B318" t="s">
        <v>1152</v>
      </c>
      <c r="C318" t="s">
        <v>951</v>
      </c>
    </row>
    <row r="319" spans="1:3" hidden="1">
      <c r="A319" t="s">
        <v>1</v>
      </c>
      <c r="B319" t="s">
        <v>1303</v>
      </c>
      <c r="C319" t="s">
        <v>1133</v>
      </c>
    </row>
    <row r="320" spans="1:3" hidden="1">
      <c r="A320" t="s">
        <v>1</v>
      </c>
      <c r="B320" t="s">
        <v>1359</v>
      </c>
      <c r="C320" t="s">
        <v>1133</v>
      </c>
    </row>
    <row r="321" spans="1:3" hidden="1">
      <c r="A321" t="s">
        <v>1</v>
      </c>
      <c r="B321" t="s">
        <v>1365</v>
      </c>
      <c r="C321" t="s">
        <v>1133</v>
      </c>
    </row>
    <row r="322" spans="1:3" hidden="1">
      <c r="A322" t="s">
        <v>1</v>
      </c>
      <c r="B322" t="s">
        <v>1084</v>
      </c>
      <c r="C322" t="s">
        <v>3041</v>
      </c>
    </row>
    <row r="323" spans="1:3" hidden="1">
      <c r="A323" t="s">
        <v>1</v>
      </c>
      <c r="B323" t="s">
        <v>1309</v>
      </c>
      <c r="C323" t="s">
        <v>517</v>
      </c>
    </row>
    <row r="324" spans="1:3" hidden="1">
      <c r="A324" t="s">
        <v>1</v>
      </c>
      <c r="B324" t="s">
        <v>1324</v>
      </c>
      <c r="C324" t="s">
        <v>517</v>
      </c>
    </row>
    <row r="325" spans="1:3" hidden="1">
      <c r="A325" t="s">
        <v>1</v>
      </c>
      <c r="B325" t="s">
        <v>1327</v>
      </c>
      <c r="C325" t="s">
        <v>517</v>
      </c>
    </row>
    <row r="326" spans="1:3" hidden="1">
      <c r="A326" t="s">
        <v>1</v>
      </c>
      <c r="B326" t="s">
        <v>1330</v>
      </c>
      <c r="C326" t="s">
        <v>517</v>
      </c>
    </row>
    <row r="327" spans="1:3" hidden="1">
      <c r="A327" t="s">
        <v>1</v>
      </c>
      <c r="B327" t="s">
        <v>1362</v>
      </c>
      <c r="C327" t="s">
        <v>517</v>
      </c>
    </row>
    <row r="328" spans="1:3" hidden="1">
      <c r="A328" t="s">
        <v>1</v>
      </c>
      <c r="B328" t="s">
        <v>1089</v>
      </c>
      <c r="C328" t="s">
        <v>4077</v>
      </c>
    </row>
    <row r="329" spans="1:3" hidden="1">
      <c r="A329" t="s">
        <v>1</v>
      </c>
      <c r="B329" t="s">
        <v>1354</v>
      </c>
      <c r="C329" t="s">
        <v>1316</v>
      </c>
    </row>
    <row r="330" spans="1:3" hidden="1">
      <c r="A330" t="s">
        <v>1</v>
      </c>
      <c r="B330" t="s">
        <v>1312</v>
      </c>
      <c r="C330" t="s">
        <v>118</v>
      </c>
    </row>
    <row r="331" spans="1:3" hidden="1">
      <c r="A331" t="s">
        <v>1</v>
      </c>
      <c r="B331" t="s">
        <v>1321</v>
      </c>
      <c r="C331" t="s">
        <v>237</v>
      </c>
    </row>
    <row r="332" spans="1:3" hidden="1">
      <c r="A332" t="s">
        <v>1</v>
      </c>
      <c r="B332" t="s">
        <v>1345</v>
      </c>
      <c r="C332" t="s">
        <v>237</v>
      </c>
    </row>
    <row r="333" spans="1:3" hidden="1">
      <c r="A333" t="s">
        <v>1</v>
      </c>
      <c r="B333" t="s">
        <v>1348</v>
      </c>
      <c r="C333" t="s">
        <v>237</v>
      </c>
    </row>
    <row r="334" spans="1:3" hidden="1">
      <c r="A334" t="s">
        <v>1</v>
      </c>
      <c r="B334" t="s">
        <v>1351</v>
      </c>
      <c r="C334" t="s">
        <v>237</v>
      </c>
    </row>
    <row r="335" spans="1:3" hidden="1">
      <c r="A335" t="s">
        <v>1</v>
      </c>
      <c r="B335" t="s">
        <v>1336</v>
      </c>
      <c r="C335" t="s">
        <v>218</v>
      </c>
    </row>
    <row r="336" spans="1:3" hidden="1">
      <c r="A336" t="s">
        <v>1</v>
      </c>
      <c r="B336" t="s">
        <v>1375</v>
      </c>
      <c r="C336" t="s">
        <v>218</v>
      </c>
    </row>
    <row r="337" spans="1:3" hidden="1">
      <c r="A337" t="s">
        <v>1</v>
      </c>
      <c r="B337" t="s">
        <v>1105</v>
      </c>
      <c r="C337" t="s">
        <v>118</v>
      </c>
    </row>
    <row r="338" spans="1:3" hidden="1">
      <c r="A338" t="s">
        <v>1</v>
      </c>
      <c r="B338" t="s">
        <v>1318</v>
      </c>
      <c r="C338" t="s">
        <v>224</v>
      </c>
    </row>
    <row r="339" spans="1:3" hidden="1">
      <c r="A339" t="s">
        <v>1</v>
      </c>
      <c r="B339" t="s">
        <v>1333</v>
      </c>
      <c r="C339" t="s">
        <v>224</v>
      </c>
    </row>
    <row r="340" spans="1:3" hidden="1">
      <c r="A340" t="s">
        <v>1</v>
      </c>
      <c r="B340" t="s">
        <v>1339</v>
      </c>
      <c r="C340" t="s">
        <v>224</v>
      </c>
    </row>
    <row r="341" spans="1:3" hidden="1">
      <c r="A341" t="s">
        <v>1</v>
      </c>
      <c r="B341" t="s">
        <v>1342</v>
      </c>
      <c r="C341" t="s">
        <v>224</v>
      </c>
    </row>
    <row r="342" spans="1:3" hidden="1">
      <c r="A342" t="s">
        <v>1</v>
      </c>
      <c r="B342" t="s">
        <v>1108</v>
      </c>
      <c r="C342" t="s">
        <v>157</v>
      </c>
    </row>
    <row r="343" spans="1:3" hidden="1">
      <c r="A343" t="s">
        <v>1</v>
      </c>
      <c r="B343" t="s">
        <v>1114</v>
      </c>
      <c r="C343" t="s">
        <v>126</v>
      </c>
    </row>
    <row r="344" spans="1:3" hidden="1">
      <c r="A344" t="s">
        <v>1</v>
      </c>
      <c r="B344" t="s">
        <v>1128</v>
      </c>
      <c r="C344" t="s">
        <v>126</v>
      </c>
    </row>
    <row r="345" spans="1:3" hidden="1">
      <c r="A345" t="s">
        <v>1</v>
      </c>
      <c r="B345" t="s">
        <v>1141</v>
      </c>
      <c r="C345" t="s">
        <v>218</v>
      </c>
    </row>
    <row r="346" spans="1:3" hidden="1">
      <c r="A346" t="s">
        <v>1</v>
      </c>
      <c r="B346" t="s">
        <v>1149</v>
      </c>
      <c r="C346" t="s">
        <v>218</v>
      </c>
    </row>
    <row r="347" spans="1:3" hidden="1">
      <c r="A347" t="s">
        <v>1</v>
      </c>
      <c r="B347" t="s">
        <v>1144</v>
      </c>
      <c r="C347" t="s">
        <v>104</v>
      </c>
    </row>
    <row r="348" spans="1:3" hidden="1">
      <c r="A348" t="s">
        <v>1</v>
      </c>
      <c r="B348" t="s">
        <v>1438</v>
      </c>
      <c r="C348" t="s">
        <v>104</v>
      </c>
    </row>
    <row r="349" spans="1:3" hidden="1">
      <c r="A349" t="s">
        <v>1</v>
      </c>
      <c r="B349" t="s">
        <v>1393</v>
      </c>
      <c r="C349" t="s">
        <v>517</v>
      </c>
    </row>
    <row r="350" spans="1:3" hidden="1">
      <c r="A350" t="s">
        <v>1</v>
      </c>
      <c r="B350" t="s">
        <v>1432</v>
      </c>
      <c r="C350" t="s">
        <v>517</v>
      </c>
    </row>
    <row r="351" spans="1:3" hidden="1">
      <c r="A351" t="s">
        <v>1</v>
      </c>
      <c r="B351" t="s">
        <v>1389</v>
      </c>
      <c r="C351" t="s">
        <v>195</v>
      </c>
    </row>
    <row r="352" spans="1:3" hidden="1">
      <c r="A352" t="s">
        <v>1</v>
      </c>
      <c r="B352" t="s">
        <v>1401</v>
      </c>
      <c r="C352" t="s">
        <v>195</v>
      </c>
    </row>
    <row r="353" spans="1:3" hidden="1">
      <c r="A353" t="s">
        <v>1</v>
      </c>
      <c r="B353" t="s">
        <v>1404</v>
      </c>
      <c r="C353" t="s">
        <v>195</v>
      </c>
    </row>
    <row r="354" spans="1:3" hidden="1">
      <c r="A354" t="s">
        <v>1</v>
      </c>
      <c r="B354" t="s">
        <v>1435</v>
      </c>
      <c r="C354" t="s">
        <v>195</v>
      </c>
    </row>
    <row r="355" spans="1:3" hidden="1">
      <c r="A355" t="s">
        <v>1</v>
      </c>
      <c r="B355" t="s">
        <v>1396</v>
      </c>
      <c r="C355" t="s">
        <v>3550</v>
      </c>
    </row>
    <row r="356" spans="1:3" hidden="1">
      <c r="A356" t="s">
        <v>1</v>
      </c>
      <c r="B356" t="s">
        <v>1407</v>
      </c>
      <c r="C356" t="s">
        <v>3550</v>
      </c>
    </row>
    <row r="357" spans="1:3" hidden="1">
      <c r="A357" t="s">
        <v>1</v>
      </c>
      <c r="B357" t="s">
        <v>1412</v>
      </c>
      <c r="C357" t="s">
        <v>951</v>
      </c>
    </row>
    <row r="358" spans="1:3" hidden="1">
      <c r="A358" t="s">
        <v>1</v>
      </c>
      <c r="B358" t="s">
        <v>1427</v>
      </c>
      <c r="C358" t="s">
        <v>118</v>
      </c>
    </row>
    <row r="359" spans="1:3" hidden="1">
      <c r="A359" t="s">
        <v>1</v>
      </c>
      <c r="B359" t="s">
        <v>1417</v>
      </c>
      <c r="C359" t="s">
        <v>1316</v>
      </c>
    </row>
    <row r="360" spans="1:3" hidden="1">
      <c r="A360" t="s">
        <v>1</v>
      </c>
      <c r="B360" t="s">
        <v>1422</v>
      </c>
      <c r="C360" t="s">
        <v>1316</v>
      </c>
    </row>
    <row r="361" spans="1:3" hidden="1">
      <c r="A361" t="s">
        <v>1</v>
      </c>
      <c r="B361" t="s">
        <v>1589</v>
      </c>
      <c r="C361" t="s">
        <v>517</v>
      </c>
    </row>
    <row r="362" spans="1:3" hidden="1">
      <c r="A362" t="s">
        <v>1</v>
      </c>
      <c r="B362" t="s">
        <v>1592</v>
      </c>
      <c r="C362" t="s">
        <v>195</v>
      </c>
    </row>
    <row r="363" spans="1:3" hidden="1">
      <c r="A363" t="s">
        <v>1</v>
      </c>
      <c r="B363" t="s">
        <v>1595</v>
      </c>
      <c r="C363" t="s">
        <v>157</v>
      </c>
    </row>
    <row r="364" spans="1:3" hidden="1">
      <c r="A364" t="s">
        <v>1</v>
      </c>
      <c r="B364" t="s">
        <v>1598</v>
      </c>
      <c r="C364" t="s">
        <v>951</v>
      </c>
    </row>
    <row r="365" spans="1:3" hidden="1">
      <c r="A365" t="s">
        <v>1</v>
      </c>
      <c r="B365" t="s">
        <v>1601</v>
      </c>
      <c r="C365" t="s">
        <v>218</v>
      </c>
    </row>
    <row r="366" spans="1:3" hidden="1">
      <c r="A366" t="s">
        <v>1</v>
      </c>
      <c r="B366" t="s">
        <v>1606</v>
      </c>
      <c r="C366" t="s">
        <v>356</v>
      </c>
    </row>
    <row r="367" spans="1:3" hidden="1">
      <c r="A367" t="s">
        <v>1</v>
      </c>
      <c r="B367" t="s">
        <v>1609</v>
      </c>
      <c r="C367" t="s">
        <v>356</v>
      </c>
    </row>
    <row r="368" spans="1:3" hidden="1">
      <c r="A368" t="s">
        <v>1</v>
      </c>
      <c r="B368" t="s">
        <v>1615</v>
      </c>
      <c r="C368" t="s">
        <v>1156</v>
      </c>
    </row>
    <row r="369" spans="1:3" hidden="1">
      <c r="A369" t="s">
        <v>1</v>
      </c>
      <c r="B369" t="s">
        <v>1618</v>
      </c>
      <c r="C369" t="s">
        <v>356</v>
      </c>
    </row>
    <row r="370" spans="1:3" hidden="1">
      <c r="A370" t="s">
        <v>1</v>
      </c>
      <c r="B370" t="s">
        <v>1621</v>
      </c>
      <c r="C370" t="s">
        <v>173</v>
      </c>
    </row>
    <row r="371" spans="1:3" hidden="1">
      <c r="A371" t="s">
        <v>1</v>
      </c>
      <c r="B371" t="s">
        <v>1624</v>
      </c>
      <c r="C371" t="s">
        <v>195</v>
      </c>
    </row>
    <row r="372" spans="1:3" hidden="1">
      <c r="A372" t="s">
        <v>1</v>
      </c>
      <c r="B372" t="s">
        <v>1627</v>
      </c>
      <c r="C372" t="s">
        <v>126</v>
      </c>
    </row>
    <row r="373" spans="1:3" hidden="1">
      <c r="A373" t="s">
        <v>1</v>
      </c>
      <c r="B373" t="s">
        <v>1630</v>
      </c>
      <c r="C373" t="s">
        <v>173</v>
      </c>
    </row>
    <row r="374" spans="1:3" hidden="1">
      <c r="A374" t="s">
        <v>1</v>
      </c>
      <c r="B374" t="s">
        <v>1633</v>
      </c>
      <c r="C374" t="s">
        <v>517</v>
      </c>
    </row>
    <row r="375" spans="1:3" hidden="1">
      <c r="A375" t="s">
        <v>1</v>
      </c>
      <c r="B375" t="s">
        <v>1636</v>
      </c>
      <c r="C375" t="s">
        <v>356</v>
      </c>
    </row>
    <row r="376" spans="1:3" hidden="1">
      <c r="A376" t="s">
        <v>1</v>
      </c>
      <c r="B376" t="s">
        <v>1639</v>
      </c>
      <c r="C376" t="s">
        <v>990</v>
      </c>
    </row>
    <row r="377" spans="1:3" hidden="1">
      <c r="A377" t="s">
        <v>1</v>
      </c>
      <c r="B377" t="s">
        <v>1642</v>
      </c>
      <c r="C377" t="s">
        <v>195</v>
      </c>
    </row>
    <row r="378" spans="1:3" hidden="1">
      <c r="A378" t="s">
        <v>1</v>
      </c>
      <c r="B378" t="s">
        <v>1645</v>
      </c>
      <c r="C378" t="s">
        <v>356</v>
      </c>
    </row>
    <row r="379" spans="1:3" hidden="1">
      <c r="A379" t="s">
        <v>1</v>
      </c>
      <c r="B379" t="s">
        <v>1648</v>
      </c>
      <c r="C379" t="s">
        <v>173</v>
      </c>
    </row>
    <row r="380" spans="1:3" hidden="1">
      <c r="A380" t="s">
        <v>1</v>
      </c>
      <c r="B380" t="s">
        <v>1651</v>
      </c>
      <c r="C380" t="s">
        <v>1717</v>
      </c>
    </row>
    <row r="381" spans="1:3" hidden="1">
      <c r="A381" t="s">
        <v>1</v>
      </c>
      <c r="B381" t="s">
        <v>1654</v>
      </c>
      <c r="C381" t="s">
        <v>3041</v>
      </c>
    </row>
    <row r="382" spans="1:3" hidden="1">
      <c r="A382" t="s">
        <v>1</v>
      </c>
      <c r="B382" t="s">
        <v>1657</v>
      </c>
      <c r="C382" t="s">
        <v>4007</v>
      </c>
    </row>
    <row r="383" spans="1:3" hidden="1">
      <c r="A383" t="s">
        <v>1</v>
      </c>
      <c r="B383" t="s">
        <v>1662</v>
      </c>
      <c r="C383" t="s">
        <v>3041</v>
      </c>
    </row>
    <row r="384" spans="1:3" hidden="1">
      <c r="A384" t="s">
        <v>1</v>
      </c>
      <c r="B384" t="s">
        <v>1667</v>
      </c>
      <c r="C384" t="s">
        <v>3041</v>
      </c>
    </row>
    <row r="385" spans="1:3" hidden="1">
      <c r="A385" t="s">
        <v>1</v>
      </c>
      <c r="B385" t="s">
        <v>1672</v>
      </c>
      <c r="C385" t="s">
        <v>218</v>
      </c>
    </row>
    <row r="386" spans="1:3" hidden="1">
      <c r="A386" t="s">
        <v>1</v>
      </c>
      <c r="B386" t="s">
        <v>1675</v>
      </c>
      <c r="C386" t="s">
        <v>218</v>
      </c>
    </row>
    <row r="387" spans="1:3" hidden="1">
      <c r="A387" t="s">
        <v>1</v>
      </c>
      <c r="B387" t="s">
        <v>1678</v>
      </c>
      <c r="C387" t="s">
        <v>990</v>
      </c>
    </row>
    <row r="388" spans="1:3" hidden="1">
      <c r="A388" t="s">
        <v>1</v>
      </c>
      <c r="B388" t="s">
        <v>1681</v>
      </c>
      <c r="C388" t="s">
        <v>1133</v>
      </c>
    </row>
    <row r="389" spans="1:3" hidden="1">
      <c r="A389" t="s">
        <v>1</v>
      </c>
      <c r="B389" t="s">
        <v>1684</v>
      </c>
      <c r="C389" t="s">
        <v>218</v>
      </c>
    </row>
    <row r="390" spans="1:3" hidden="1">
      <c r="A390" t="s">
        <v>1</v>
      </c>
      <c r="B390" t="s">
        <v>1687</v>
      </c>
      <c r="C390" t="s">
        <v>4007</v>
      </c>
    </row>
    <row r="391" spans="1:3" hidden="1">
      <c r="A391" t="s">
        <v>1</v>
      </c>
      <c r="B391" t="s">
        <v>1692</v>
      </c>
      <c r="C391" t="s">
        <v>1316</v>
      </c>
    </row>
    <row r="392" spans="1:3" hidden="1">
      <c r="A392" t="s">
        <v>1</v>
      </c>
      <c r="B392" t="s">
        <v>1698</v>
      </c>
      <c r="C392" t="s">
        <v>165</v>
      </c>
    </row>
    <row r="393" spans="1:3" hidden="1">
      <c r="A393" t="s">
        <v>1</v>
      </c>
      <c r="B393" t="s">
        <v>1704</v>
      </c>
      <c r="C393" t="s">
        <v>266</v>
      </c>
    </row>
    <row r="394" spans="1:3" hidden="1">
      <c r="A394" t="s">
        <v>1</v>
      </c>
      <c r="B394" t="s">
        <v>1707</v>
      </c>
      <c r="C394" t="s">
        <v>104</v>
      </c>
    </row>
    <row r="395" spans="1:3" hidden="1">
      <c r="A395" t="s">
        <v>1</v>
      </c>
      <c r="B395" t="s">
        <v>1712</v>
      </c>
      <c r="C395" t="s">
        <v>266</v>
      </c>
    </row>
    <row r="396" spans="1:3" hidden="1">
      <c r="A396" t="s">
        <v>1</v>
      </c>
      <c r="B396" t="s">
        <v>1715</v>
      </c>
      <c r="C396" t="s">
        <v>244</v>
      </c>
    </row>
    <row r="397" spans="1:3" hidden="1">
      <c r="A397" t="s">
        <v>1</v>
      </c>
      <c r="B397" t="s">
        <v>1719</v>
      </c>
      <c r="C397" t="s">
        <v>990</v>
      </c>
    </row>
    <row r="398" spans="1:3" hidden="1">
      <c r="A398" t="s">
        <v>1</v>
      </c>
      <c r="B398" t="s">
        <v>1722</v>
      </c>
      <c r="C398" t="s">
        <v>165</v>
      </c>
    </row>
    <row r="399" spans="1:3" hidden="1">
      <c r="A399" t="s">
        <v>1</v>
      </c>
      <c r="B399" t="s">
        <v>1727</v>
      </c>
      <c r="C399" t="s">
        <v>517</v>
      </c>
    </row>
    <row r="400" spans="1:3" hidden="1">
      <c r="A400" t="s">
        <v>1</v>
      </c>
      <c r="B400" t="s">
        <v>1730</v>
      </c>
      <c r="C400" t="s">
        <v>517</v>
      </c>
    </row>
    <row r="401" spans="1:3" hidden="1">
      <c r="A401" t="s">
        <v>1</v>
      </c>
      <c r="B401" t="s">
        <v>1733</v>
      </c>
      <c r="C401" t="s">
        <v>517</v>
      </c>
    </row>
    <row r="402" spans="1:3" hidden="1">
      <c r="A402" t="s">
        <v>1</v>
      </c>
      <c r="B402" t="s">
        <v>1736</v>
      </c>
      <c r="C402" t="s">
        <v>990</v>
      </c>
    </row>
    <row r="403" spans="1:3" hidden="1">
      <c r="A403" t="s">
        <v>1</v>
      </c>
      <c r="B403" t="s">
        <v>1741</v>
      </c>
      <c r="C403" t="s">
        <v>118</v>
      </c>
    </row>
    <row r="404" spans="1:3" hidden="1">
      <c r="A404" t="s">
        <v>1</v>
      </c>
      <c r="B404" t="s">
        <v>1747</v>
      </c>
      <c r="C404" t="s">
        <v>990</v>
      </c>
    </row>
    <row r="405" spans="1:3" hidden="1">
      <c r="A405" t="s">
        <v>1</v>
      </c>
      <c r="B405" t="s">
        <v>1751</v>
      </c>
      <c r="C405" t="s">
        <v>990</v>
      </c>
    </row>
    <row r="406" spans="1:3" hidden="1">
      <c r="A406" t="s">
        <v>1</v>
      </c>
      <c r="B406" t="s">
        <v>1754</v>
      </c>
      <c r="C406" t="s">
        <v>517</v>
      </c>
    </row>
    <row r="407" spans="1:3" hidden="1">
      <c r="A407" t="s">
        <v>1</v>
      </c>
      <c r="B407" t="s">
        <v>1757</v>
      </c>
      <c r="C407" t="s">
        <v>104</v>
      </c>
    </row>
    <row r="408" spans="1:3" hidden="1">
      <c r="A408" t="s">
        <v>1</v>
      </c>
      <c r="B408" t="s">
        <v>1762</v>
      </c>
      <c r="C408" t="s">
        <v>104</v>
      </c>
    </row>
    <row r="409" spans="1:3" hidden="1">
      <c r="A409" t="s">
        <v>1</v>
      </c>
      <c r="B409" t="s">
        <v>1767</v>
      </c>
      <c r="C409" t="s">
        <v>237</v>
      </c>
    </row>
    <row r="410" spans="1:3" hidden="1">
      <c r="A410" t="s">
        <v>1</v>
      </c>
      <c r="B410" t="s">
        <v>1770</v>
      </c>
      <c r="C410" t="s">
        <v>224</v>
      </c>
    </row>
    <row r="411" spans="1:3" hidden="1">
      <c r="A411" t="s">
        <v>1</v>
      </c>
      <c r="B411" t="s">
        <v>1775</v>
      </c>
      <c r="C411" t="s">
        <v>990</v>
      </c>
    </row>
    <row r="412" spans="1:3" hidden="1">
      <c r="A412" t="s">
        <v>1</v>
      </c>
      <c r="B412" t="s">
        <v>1778</v>
      </c>
      <c r="C412" t="s">
        <v>517</v>
      </c>
    </row>
    <row r="413" spans="1:3" hidden="1">
      <c r="A413" t="s">
        <v>1</v>
      </c>
      <c r="B413" t="s">
        <v>1781</v>
      </c>
      <c r="C413" t="s">
        <v>118</v>
      </c>
    </row>
    <row r="414" spans="1:3" hidden="1">
      <c r="A414" t="s">
        <v>1</v>
      </c>
      <c r="B414" t="s">
        <v>1787</v>
      </c>
      <c r="C414" t="s">
        <v>195</v>
      </c>
    </row>
    <row r="415" spans="1:3" hidden="1">
      <c r="A415" t="s">
        <v>1</v>
      </c>
      <c r="B415" t="s">
        <v>1791</v>
      </c>
      <c r="C415" t="s">
        <v>517</v>
      </c>
    </row>
    <row r="416" spans="1:3" hidden="1">
      <c r="A416" t="s">
        <v>1</v>
      </c>
      <c r="B416" t="s">
        <v>1794</v>
      </c>
      <c r="C416" t="s">
        <v>195</v>
      </c>
    </row>
    <row r="417" spans="1:3" hidden="1">
      <c r="A417" t="s">
        <v>1</v>
      </c>
      <c r="B417" t="s">
        <v>1797</v>
      </c>
      <c r="C417" t="s">
        <v>218</v>
      </c>
    </row>
    <row r="418" spans="1:3" hidden="1">
      <c r="A418" t="s">
        <v>1</v>
      </c>
      <c r="B418" t="s">
        <v>1800</v>
      </c>
      <c r="C418" t="s">
        <v>118</v>
      </c>
    </row>
    <row r="419" spans="1:3" hidden="1">
      <c r="A419" t="s">
        <v>1</v>
      </c>
      <c r="B419" t="s">
        <v>1803</v>
      </c>
      <c r="C419" t="s">
        <v>118</v>
      </c>
    </row>
    <row r="420" spans="1:3" hidden="1">
      <c r="A420" t="s">
        <v>1</v>
      </c>
      <c r="B420" t="s">
        <v>1808</v>
      </c>
      <c r="C420" t="s">
        <v>195</v>
      </c>
    </row>
    <row r="421" spans="1:3" hidden="1">
      <c r="A421" t="s">
        <v>1</v>
      </c>
      <c r="B421" t="s">
        <v>1811</v>
      </c>
      <c r="C421" t="s">
        <v>195</v>
      </c>
    </row>
    <row r="422" spans="1:3" hidden="1">
      <c r="A422" t="s">
        <v>1</v>
      </c>
      <c r="B422" t="s">
        <v>1814</v>
      </c>
      <c r="C422" t="s">
        <v>218</v>
      </c>
    </row>
    <row r="423" spans="1:3" hidden="1">
      <c r="A423" t="s">
        <v>1</v>
      </c>
      <c r="B423" t="s">
        <v>1819</v>
      </c>
      <c r="C423" t="s">
        <v>118</v>
      </c>
    </row>
    <row r="424" spans="1:3" hidden="1">
      <c r="A424" t="s">
        <v>1</v>
      </c>
      <c r="B424" t="s">
        <v>1824</v>
      </c>
      <c r="C424" t="s">
        <v>3550</v>
      </c>
    </row>
    <row r="425" spans="1:3" hidden="1">
      <c r="A425" t="s">
        <v>1</v>
      </c>
      <c r="B425" t="s">
        <v>1827</v>
      </c>
      <c r="C425" t="s">
        <v>3550</v>
      </c>
    </row>
    <row r="426" spans="1:3" hidden="1">
      <c r="A426" t="s">
        <v>1</v>
      </c>
      <c r="B426" t="s">
        <v>1830</v>
      </c>
      <c r="C426" t="s">
        <v>517</v>
      </c>
    </row>
    <row r="427" spans="1:3" hidden="1">
      <c r="A427" t="s">
        <v>1</v>
      </c>
      <c r="B427" t="s">
        <v>1833</v>
      </c>
      <c r="C427" t="s">
        <v>517</v>
      </c>
    </row>
    <row r="428" spans="1:3" hidden="1">
      <c r="A428" t="s">
        <v>1</v>
      </c>
      <c r="B428" t="s">
        <v>1836</v>
      </c>
      <c r="C428" t="s">
        <v>3550</v>
      </c>
    </row>
    <row r="429" spans="1:3" hidden="1">
      <c r="A429" t="s">
        <v>1</v>
      </c>
      <c r="B429" t="s">
        <v>1842</v>
      </c>
      <c r="C429" t="s">
        <v>1133</v>
      </c>
    </row>
    <row r="430" spans="1:3" hidden="1">
      <c r="A430" t="s">
        <v>1</v>
      </c>
      <c r="B430" t="s">
        <v>1847</v>
      </c>
      <c r="C430" t="s">
        <v>1133</v>
      </c>
    </row>
    <row r="431" spans="1:3" hidden="1">
      <c r="A431" t="s">
        <v>1</v>
      </c>
      <c r="B431" t="s">
        <v>1852</v>
      </c>
      <c r="C431" t="s">
        <v>1133</v>
      </c>
    </row>
    <row r="432" spans="1:3" hidden="1">
      <c r="A432" t="s">
        <v>1</v>
      </c>
      <c r="B432" t="s">
        <v>1855</v>
      </c>
      <c r="C432" t="s">
        <v>157</v>
      </c>
    </row>
    <row r="433" spans="1:3" hidden="1">
      <c r="A433" t="s">
        <v>1</v>
      </c>
      <c r="B433" t="s">
        <v>1858</v>
      </c>
      <c r="C433" t="s">
        <v>157</v>
      </c>
    </row>
    <row r="434" spans="1:3" hidden="1">
      <c r="A434" t="s">
        <v>1</v>
      </c>
      <c r="B434" t="s">
        <v>1861</v>
      </c>
      <c r="C434" t="s">
        <v>104</v>
      </c>
    </row>
    <row r="435" spans="1:3" hidden="1">
      <c r="A435" t="s">
        <v>1</v>
      </c>
      <c r="B435" t="s">
        <v>1866</v>
      </c>
      <c r="C435" t="s">
        <v>951</v>
      </c>
    </row>
    <row r="436" spans="1:3" hidden="1">
      <c r="A436" t="s">
        <v>1</v>
      </c>
      <c r="B436" t="s">
        <v>1872</v>
      </c>
      <c r="C436" t="s">
        <v>118</v>
      </c>
    </row>
    <row r="437" spans="1:3" hidden="1">
      <c r="A437" t="s">
        <v>1</v>
      </c>
      <c r="B437" t="s">
        <v>1876</v>
      </c>
      <c r="C437" t="s">
        <v>1133</v>
      </c>
    </row>
    <row r="438" spans="1:3" hidden="1">
      <c r="A438" t="s">
        <v>1</v>
      </c>
      <c r="B438" t="s">
        <v>1879</v>
      </c>
      <c r="C438" t="s">
        <v>157</v>
      </c>
    </row>
    <row r="439" spans="1:3" hidden="1">
      <c r="A439" t="s">
        <v>1</v>
      </c>
      <c r="B439" t="s">
        <v>1882</v>
      </c>
      <c r="C439" t="s">
        <v>517</v>
      </c>
    </row>
    <row r="440" spans="1:3" hidden="1">
      <c r="A440" t="s">
        <v>1</v>
      </c>
      <c r="B440" t="s">
        <v>1885</v>
      </c>
      <c r="C440" t="s">
        <v>517</v>
      </c>
    </row>
    <row r="441" spans="1:3" hidden="1">
      <c r="A441" t="s">
        <v>1</v>
      </c>
      <c r="B441" t="s">
        <v>1888</v>
      </c>
      <c r="C441" t="s">
        <v>517</v>
      </c>
    </row>
    <row r="442" spans="1:3" hidden="1">
      <c r="A442" t="s">
        <v>1</v>
      </c>
      <c r="B442" t="s">
        <v>1891</v>
      </c>
      <c r="C442" t="s">
        <v>3041</v>
      </c>
    </row>
    <row r="443" spans="1:3" hidden="1">
      <c r="A443" t="s">
        <v>1</v>
      </c>
      <c r="B443" t="s">
        <v>1894</v>
      </c>
      <c r="C443" t="s">
        <v>218</v>
      </c>
    </row>
    <row r="444" spans="1:3" hidden="1">
      <c r="A444" t="s">
        <v>1</v>
      </c>
      <c r="B444" t="s">
        <v>1897</v>
      </c>
      <c r="C444" t="s">
        <v>3041</v>
      </c>
    </row>
    <row r="445" spans="1:3" hidden="1">
      <c r="A445" t="s">
        <v>1</v>
      </c>
      <c r="B445" t="s">
        <v>1900</v>
      </c>
      <c r="C445" t="s">
        <v>118</v>
      </c>
    </row>
    <row r="446" spans="1:3" hidden="1">
      <c r="A446" t="s">
        <v>1</v>
      </c>
      <c r="B446" t="s">
        <v>1903</v>
      </c>
      <c r="C446" t="s">
        <v>118</v>
      </c>
    </row>
    <row r="447" spans="1:3" hidden="1">
      <c r="A447" t="s">
        <v>1</v>
      </c>
      <c r="B447" t="s">
        <v>1906</v>
      </c>
      <c r="C447" t="s">
        <v>118</v>
      </c>
    </row>
    <row r="448" spans="1:3" hidden="1">
      <c r="A448" t="s">
        <v>1</v>
      </c>
      <c r="B448" t="s">
        <v>1909</v>
      </c>
      <c r="C448" t="s">
        <v>148</v>
      </c>
    </row>
    <row r="449" spans="1:3" hidden="1">
      <c r="A449" t="s">
        <v>1</v>
      </c>
      <c r="B449" t="s">
        <v>1912</v>
      </c>
      <c r="C449" t="s">
        <v>517</v>
      </c>
    </row>
    <row r="450" spans="1:3" hidden="1">
      <c r="A450" t="s">
        <v>1</v>
      </c>
      <c r="B450" t="s">
        <v>1915</v>
      </c>
      <c r="C450" t="s">
        <v>517</v>
      </c>
    </row>
    <row r="451" spans="1:3" hidden="1">
      <c r="A451" t="s">
        <v>1</v>
      </c>
      <c r="B451" t="s">
        <v>1918</v>
      </c>
      <c r="C451" t="s">
        <v>148</v>
      </c>
    </row>
    <row r="452" spans="1:3" hidden="1">
      <c r="A452" t="s">
        <v>1</v>
      </c>
      <c r="B452" t="s">
        <v>1921</v>
      </c>
      <c r="C452" t="s">
        <v>148</v>
      </c>
    </row>
    <row r="453" spans="1:3" hidden="1">
      <c r="A453" t="s">
        <v>1</v>
      </c>
      <c r="B453" t="s">
        <v>1926</v>
      </c>
      <c r="C453" t="s">
        <v>1133</v>
      </c>
    </row>
    <row r="454" spans="1:3" hidden="1">
      <c r="A454" t="s">
        <v>1</v>
      </c>
      <c r="B454" t="s">
        <v>1931</v>
      </c>
      <c r="C454" t="s">
        <v>104</v>
      </c>
    </row>
    <row r="455" spans="1:3" hidden="1">
      <c r="A455" t="s">
        <v>1</v>
      </c>
      <c r="B455" t="s">
        <v>1934</v>
      </c>
      <c r="C455" t="s">
        <v>951</v>
      </c>
    </row>
    <row r="456" spans="1:3" hidden="1">
      <c r="A456" t="s">
        <v>1</v>
      </c>
      <c r="B456" t="s">
        <v>1937</v>
      </c>
      <c r="C456" t="s">
        <v>157</v>
      </c>
    </row>
    <row r="457" spans="1:3" hidden="1">
      <c r="A457" t="s">
        <v>1</v>
      </c>
      <c r="B457" t="s">
        <v>1942</v>
      </c>
      <c r="C457" t="s">
        <v>218</v>
      </c>
    </row>
    <row r="458" spans="1:3" hidden="1">
      <c r="A458" t="s">
        <v>1</v>
      </c>
      <c r="B458" t="s">
        <v>1946</v>
      </c>
      <c r="C458" t="s">
        <v>1133</v>
      </c>
    </row>
    <row r="459" spans="1:3" hidden="1">
      <c r="A459" t="s">
        <v>1</v>
      </c>
      <c r="B459" t="s">
        <v>1953</v>
      </c>
      <c r="C459" t="s">
        <v>157</v>
      </c>
    </row>
    <row r="460" spans="1:3" hidden="1">
      <c r="A460" t="s">
        <v>1</v>
      </c>
      <c r="B460" t="s">
        <v>1958</v>
      </c>
      <c r="C460" t="s">
        <v>104</v>
      </c>
    </row>
    <row r="461" spans="1:3" hidden="1">
      <c r="A461" t="s">
        <v>1</v>
      </c>
      <c r="B461" t="s">
        <v>1961</v>
      </c>
      <c r="C461" t="s">
        <v>1133</v>
      </c>
    </row>
    <row r="462" spans="1:3" hidden="1">
      <c r="A462" t="s">
        <v>1</v>
      </c>
      <c r="B462" t="s">
        <v>1966</v>
      </c>
      <c r="C462" t="s">
        <v>517</v>
      </c>
    </row>
    <row r="463" spans="1:3" hidden="1">
      <c r="A463" t="s">
        <v>1</v>
      </c>
      <c r="B463" t="s">
        <v>1969</v>
      </c>
      <c r="C463" t="s">
        <v>951</v>
      </c>
    </row>
    <row r="464" spans="1:3" hidden="1">
      <c r="A464" t="s">
        <v>1</v>
      </c>
      <c r="B464" t="s">
        <v>1975</v>
      </c>
      <c r="C464" t="s">
        <v>104</v>
      </c>
    </row>
    <row r="465" spans="1:3" hidden="1">
      <c r="A465" t="s">
        <v>1</v>
      </c>
      <c r="B465" t="s">
        <v>1980</v>
      </c>
      <c r="C465" t="s">
        <v>1133</v>
      </c>
    </row>
    <row r="466" spans="1:3" hidden="1">
      <c r="A466" t="s">
        <v>1</v>
      </c>
      <c r="B466" t="s">
        <v>1986</v>
      </c>
      <c r="C466" t="s">
        <v>517</v>
      </c>
    </row>
    <row r="467" spans="1:3" hidden="1">
      <c r="A467" t="s">
        <v>1</v>
      </c>
      <c r="B467" t="s">
        <v>1989</v>
      </c>
      <c r="C467" t="s">
        <v>517</v>
      </c>
    </row>
    <row r="468" spans="1:3" hidden="1">
      <c r="A468" t="s">
        <v>1</v>
      </c>
      <c r="B468" t="s">
        <v>1992</v>
      </c>
      <c r="C468" t="s">
        <v>517</v>
      </c>
    </row>
    <row r="469" spans="1:3" hidden="1">
      <c r="A469" t="s">
        <v>1</v>
      </c>
      <c r="B469" t="s">
        <v>1995</v>
      </c>
      <c r="C469" t="s">
        <v>990</v>
      </c>
    </row>
    <row r="470" spans="1:3" hidden="1">
      <c r="A470" t="s">
        <v>1</v>
      </c>
      <c r="B470" t="s">
        <v>1998</v>
      </c>
      <c r="C470" t="s">
        <v>266</v>
      </c>
    </row>
    <row r="471" spans="1:3" hidden="1">
      <c r="A471" t="s">
        <v>1</v>
      </c>
      <c r="B471" t="s">
        <v>2001</v>
      </c>
      <c r="C471" t="s">
        <v>237</v>
      </c>
    </row>
    <row r="472" spans="1:3" hidden="1">
      <c r="A472" t="s">
        <v>1</v>
      </c>
      <c r="B472" t="s">
        <v>2004</v>
      </c>
      <c r="C472" t="s">
        <v>266</v>
      </c>
    </row>
    <row r="473" spans="1:3" hidden="1">
      <c r="A473" t="s">
        <v>1</v>
      </c>
      <c r="B473" t="s">
        <v>2007</v>
      </c>
      <c r="C473" t="s">
        <v>266</v>
      </c>
    </row>
    <row r="474" spans="1:3" hidden="1">
      <c r="A474" t="s">
        <v>1</v>
      </c>
      <c r="B474" t="s">
        <v>2010</v>
      </c>
      <c r="C474" t="s">
        <v>195</v>
      </c>
    </row>
    <row r="475" spans="1:3" hidden="1">
      <c r="A475" t="s">
        <v>1</v>
      </c>
      <c r="B475" t="s">
        <v>2013</v>
      </c>
      <c r="C475" t="s">
        <v>104</v>
      </c>
    </row>
    <row r="476" spans="1:3" hidden="1">
      <c r="A476" t="s">
        <v>1</v>
      </c>
      <c r="B476" t="s">
        <v>2018</v>
      </c>
      <c r="C476" t="s">
        <v>104</v>
      </c>
    </row>
    <row r="477" spans="1:3" hidden="1">
      <c r="A477" t="s">
        <v>1</v>
      </c>
      <c r="B477" t="s">
        <v>2023</v>
      </c>
      <c r="C477" t="s">
        <v>990</v>
      </c>
    </row>
    <row r="478" spans="1:3" hidden="1">
      <c r="A478" t="s">
        <v>1</v>
      </c>
      <c r="B478" t="s">
        <v>2026</v>
      </c>
      <c r="C478" t="s">
        <v>195</v>
      </c>
    </row>
    <row r="479" spans="1:3" hidden="1">
      <c r="A479" t="s">
        <v>1</v>
      </c>
      <c r="B479" t="s">
        <v>2029</v>
      </c>
      <c r="C479" t="s">
        <v>1133</v>
      </c>
    </row>
    <row r="480" spans="1:3" hidden="1">
      <c r="A480" t="s">
        <v>1</v>
      </c>
      <c r="B480" t="s">
        <v>2034</v>
      </c>
      <c r="C480" t="s">
        <v>1133</v>
      </c>
    </row>
    <row r="481" spans="1:3" hidden="1">
      <c r="A481" t="s">
        <v>1</v>
      </c>
      <c r="B481" t="s">
        <v>2039</v>
      </c>
      <c r="C481" t="s">
        <v>1133</v>
      </c>
    </row>
    <row r="482" spans="1:3" hidden="1">
      <c r="A482" t="s">
        <v>1</v>
      </c>
      <c r="B482" t="s">
        <v>2044</v>
      </c>
      <c r="C482" t="s">
        <v>118</v>
      </c>
    </row>
    <row r="483" spans="1:3" hidden="1">
      <c r="A483" t="s">
        <v>1</v>
      </c>
      <c r="B483" t="s">
        <v>2047</v>
      </c>
      <c r="C483" t="s">
        <v>951</v>
      </c>
    </row>
    <row r="484" spans="1:3" hidden="1">
      <c r="A484" t="s">
        <v>1</v>
      </c>
      <c r="B484" t="s">
        <v>2053</v>
      </c>
      <c r="C484" t="s">
        <v>1316</v>
      </c>
    </row>
    <row r="485" spans="1:3" hidden="1">
      <c r="A485" t="s">
        <v>1</v>
      </c>
      <c r="B485" t="s">
        <v>2057</v>
      </c>
      <c r="C485" t="s">
        <v>517</v>
      </c>
    </row>
    <row r="486" spans="1:3" hidden="1">
      <c r="A486" t="s">
        <v>1</v>
      </c>
      <c r="B486" t="s">
        <v>2060</v>
      </c>
      <c r="C486" t="s">
        <v>517</v>
      </c>
    </row>
    <row r="487" spans="1:3" hidden="1">
      <c r="A487" t="s">
        <v>1</v>
      </c>
      <c r="B487" t="s">
        <v>2063</v>
      </c>
      <c r="C487" t="s">
        <v>517</v>
      </c>
    </row>
    <row r="488" spans="1:3" hidden="1">
      <c r="A488" t="s">
        <v>1</v>
      </c>
      <c r="B488" t="s">
        <v>2066</v>
      </c>
      <c r="C488" t="s">
        <v>104</v>
      </c>
    </row>
    <row r="489" spans="1:3" hidden="1">
      <c r="A489" t="s">
        <v>1</v>
      </c>
      <c r="B489" t="s">
        <v>2069</v>
      </c>
      <c r="C489" t="s">
        <v>104</v>
      </c>
    </row>
    <row r="490" spans="1:3" hidden="1">
      <c r="A490" t="s">
        <v>1</v>
      </c>
      <c r="B490" t="s">
        <v>2072</v>
      </c>
      <c r="C490" t="s">
        <v>224</v>
      </c>
    </row>
    <row r="491" spans="1:3" hidden="1">
      <c r="A491" t="s">
        <v>1</v>
      </c>
      <c r="B491" t="s">
        <v>2075</v>
      </c>
      <c r="C491" t="s">
        <v>118</v>
      </c>
    </row>
    <row r="492" spans="1:3" hidden="1">
      <c r="A492" t="s">
        <v>1</v>
      </c>
      <c r="B492" t="s">
        <v>2078</v>
      </c>
      <c r="C492" t="s">
        <v>990</v>
      </c>
    </row>
    <row r="493" spans="1:3" hidden="1">
      <c r="A493" t="s">
        <v>1</v>
      </c>
      <c r="B493" t="s">
        <v>2081</v>
      </c>
      <c r="C493" t="s">
        <v>990</v>
      </c>
    </row>
    <row r="494" spans="1:3" hidden="1">
      <c r="A494" t="s">
        <v>1</v>
      </c>
      <c r="B494" t="s">
        <v>2084</v>
      </c>
      <c r="C494" t="s">
        <v>517</v>
      </c>
    </row>
    <row r="495" spans="1:3" hidden="1">
      <c r="A495" t="s">
        <v>1</v>
      </c>
      <c r="B495" t="s">
        <v>2087</v>
      </c>
      <c r="C495" t="s">
        <v>230</v>
      </c>
    </row>
    <row r="496" spans="1:3" hidden="1">
      <c r="A496" t="s">
        <v>1</v>
      </c>
      <c r="B496" t="s">
        <v>2090</v>
      </c>
      <c r="C496" t="s">
        <v>230</v>
      </c>
    </row>
    <row r="497" spans="1:3" hidden="1">
      <c r="A497" t="s">
        <v>1</v>
      </c>
      <c r="B497" t="s">
        <v>2093</v>
      </c>
      <c r="C497" t="s">
        <v>230</v>
      </c>
    </row>
    <row r="498" spans="1:3" hidden="1">
      <c r="A498" t="s">
        <v>1</v>
      </c>
      <c r="B498" t="s">
        <v>2096</v>
      </c>
      <c r="C498" t="s">
        <v>1316</v>
      </c>
    </row>
    <row r="499" spans="1:3" hidden="1">
      <c r="A499" t="s">
        <v>1</v>
      </c>
      <c r="B499" t="s">
        <v>2099</v>
      </c>
      <c r="C499" t="s">
        <v>237</v>
      </c>
    </row>
    <row r="500" spans="1:3" hidden="1">
      <c r="A500" t="s">
        <v>1</v>
      </c>
      <c r="B500" t="s">
        <v>2102</v>
      </c>
      <c r="C500" t="s">
        <v>224</v>
      </c>
    </row>
    <row r="501" spans="1:3" hidden="1">
      <c r="A501" t="s">
        <v>1</v>
      </c>
      <c r="B501" t="s">
        <v>2106</v>
      </c>
      <c r="C501" t="s">
        <v>118</v>
      </c>
    </row>
    <row r="502" spans="1:3" hidden="1">
      <c r="A502" t="s">
        <v>1</v>
      </c>
      <c r="B502" t="s">
        <v>2112</v>
      </c>
      <c r="C502" t="s">
        <v>118</v>
      </c>
    </row>
    <row r="503" spans="1:3" hidden="1">
      <c r="A503" t="s">
        <v>1</v>
      </c>
      <c r="B503" t="s">
        <v>2116</v>
      </c>
      <c r="C503" t="s">
        <v>126</v>
      </c>
    </row>
    <row r="504" spans="1:3" hidden="1">
      <c r="A504" t="s">
        <v>1</v>
      </c>
      <c r="B504" t="s">
        <v>2120</v>
      </c>
      <c r="C504" t="s">
        <v>387</v>
      </c>
    </row>
    <row r="505" spans="1:3" hidden="1">
      <c r="A505" t="s">
        <v>1</v>
      </c>
      <c r="B505" t="s">
        <v>2123</v>
      </c>
      <c r="C505" t="s">
        <v>314</v>
      </c>
    </row>
    <row r="506" spans="1:3" hidden="1">
      <c r="A506" t="s">
        <v>1</v>
      </c>
      <c r="B506" t="s">
        <v>2126</v>
      </c>
      <c r="C506" t="s">
        <v>517</v>
      </c>
    </row>
    <row r="507" spans="1:3" hidden="1">
      <c r="A507" t="s">
        <v>1</v>
      </c>
      <c r="B507" t="s">
        <v>2129</v>
      </c>
      <c r="C507" t="s">
        <v>126</v>
      </c>
    </row>
    <row r="508" spans="1:3" hidden="1">
      <c r="A508" t="s">
        <v>1</v>
      </c>
      <c r="B508" t="s">
        <v>2132</v>
      </c>
      <c r="C508" t="s">
        <v>387</v>
      </c>
    </row>
    <row r="509" spans="1:3" hidden="1">
      <c r="A509" t="s">
        <v>1</v>
      </c>
      <c r="B509" t="s">
        <v>2135</v>
      </c>
      <c r="C509" t="s">
        <v>126</v>
      </c>
    </row>
    <row r="510" spans="1:3" hidden="1">
      <c r="A510" t="s">
        <v>1</v>
      </c>
      <c r="B510" t="s">
        <v>2138</v>
      </c>
      <c r="C510" t="s">
        <v>195</v>
      </c>
    </row>
    <row r="511" spans="1:3" hidden="1">
      <c r="A511" t="s">
        <v>1</v>
      </c>
      <c r="B511" t="s">
        <v>2141</v>
      </c>
      <c r="C511" t="s">
        <v>387</v>
      </c>
    </row>
    <row r="512" spans="1:3" hidden="1">
      <c r="A512" t="s">
        <v>1</v>
      </c>
      <c r="B512" t="s">
        <v>2144</v>
      </c>
      <c r="C512" t="s">
        <v>126</v>
      </c>
    </row>
    <row r="513" spans="1:3" hidden="1">
      <c r="A513" t="s">
        <v>1</v>
      </c>
      <c r="B513" t="s">
        <v>2147</v>
      </c>
      <c r="C513" t="s">
        <v>126</v>
      </c>
    </row>
    <row r="514" spans="1:3" hidden="1">
      <c r="A514" t="s">
        <v>1</v>
      </c>
      <c r="B514" t="s">
        <v>2150</v>
      </c>
      <c r="C514" t="s">
        <v>195</v>
      </c>
    </row>
    <row r="515" spans="1:3" hidden="1">
      <c r="A515" t="s">
        <v>1</v>
      </c>
      <c r="B515" t="s">
        <v>2153</v>
      </c>
      <c r="C515" t="s">
        <v>126</v>
      </c>
    </row>
    <row r="516" spans="1:3" hidden="1">
      <c r="A516" t="s">
        <v>1</v>
      </c>
      <c r="B516" t="s">
        <v>2156</v>
      </c>
      <c r="C516" t="s">
        <v>517</v>
      </c>
    </row>
    <row r="517" spans="1:3" hidden="1">
      <c r="A517" t="s">
        <v>1</v>
      </c>
      <c r="B517" t="s">
        <v>2159</v>
      </c>
      <c r="C517" t="s">
        <v>3550</v>
      </c>
    </row>
    <row r="518" spans="1:3" hidden="1">
      <c r="A518" t="s">
        <v>1</v>
      </c>
      <c r="B518" t="s">
        <v>2163</v>
      </c>
      <c r="C518" t="s">
        <v>157</v>
      </c>
    </row>
    <row r="519" spans="1:3" hidden="1">
      <c r="A519" t="s">
        <v>1</v>
      </c>
      <c r="B519" t="s">
        <v>2168</v>
      </c>
      <c r="C519" t="s">
        <v>157</v>
      </c>
    </row>
    <row r="520" spans="1:3" hidden="1">
      <c r="A520" t="s">
        <v>1</v>
      </c>
      <c r="B520" t="s">
        <v>2173</v>
      </c>
      <c r="C520" t="s">
        <v>990</v>
      </c>
    </row>
    <row r="521" spans="1:3" hidden="1">
      <c r="A521" t="s">
        <v>1</v>
      </c>
      <c r="B521" t="s">
        <v>2176</v>
      </c>
      <c r="C521" t="s">
        <v>1133</v>
      </c>
    </row>
    <row r="522" spans="1:3" hidden="1">
      <c r="A522" t="s">
        <v>1</v>
      </c>
      <c r="B522" t="s">
        <v>2179</v>
      </c>
      <c r="C522" t="s">
        <v>517</v>
      </c>
    </row>
    <row r="523" spans="1:3" hidden="1">
      <c r="A523" t="s">
        <v>1</v>
      </c>
      <c r="B523" t="s">
        <v>2182</v>
      </c>
      <c r="C523" t="s">
        <v>517</v>
      </c>
    </row>
    <row r="524" spans="1:3" hidden="1">
      <c r="A524" t="s">
        <v>1</v>
      </c>
      <c r="B524" t="s">
        <v>2185</v>
      </c>
      <c r="C524" t="s">
        <v>990</v>
      </c>
    </row>
    <row r="525" spans="1:3" hidden="1">
      <c r="A525" t="s">
        <v>1</v>
      </c>
      <c r="B525" t="s">
        <v>2189</v>
      </c>
      <c r="C525" t="s">
        <v>157</v>
      </c>
    </row>
    <row r="526" spans="1:3" hidden="1">
      <c r="A526" t="s">
        <v>1</v>
      </c>
      <c r="B526" t="s">
        <v>2192</v>
      </c>
      <c r="C526" t="s">
        <v>218</v>
      </c>
    </row>
    <row r="527" spans="1:3" hidden="1">
      <c r="A527" t="s">
        <v>1</v>
      </c>
      <c r="B527" t="s">
        <v>2195</v>
      </c>
      <c r="C527" t="s">
        <v>517</v>
      </c>
    </row>
    <row r="528" spans="1:3" hidden="1">
      <c r="A528" t="s">
        <v>1</v>
      </c>
      <c r="B528" t="s">
        <v>2198</v>
      </c>
      <c r="C528" t="s">
        <v>990</v>
      </c>
    </row>
    <row r="529" spans="1:3" hidden="1">
      <c r="A529" t="s">
        <v>1</v>
      </c>
      <c r="B529" t="s">
        <v>2201</v>
      </c>
      <c r="C529" t="s">
        <v>517</v>
      </c>
    </row>
    <row r="530" spans="1:3" hidden="1">
      <c r="A530" t="s">
        <v>1</v>
      </c>
      <c r="B530" t="s">
        <v>2204</v>
      </c>
      <c r="C530" t="s">
        <v>517</v>
      </c>
    </row>
    <row r="531" spans="1:3" hidden="1">
      <c r="A531" t="s">
        <v>1</v>
      </c>
      <c r="B531" t="s">
        <v>2207</v>
      </c>
      <c r="C531" t="s">
        <v>517</v>
      </c>
    </row>
    <row r="532" spans="1:3" hidden="1">
      <c r="A532" t="s">
        <v>1</v>
      </c>
      <c r="B532" t="s">
        <v>2210</v>
      </c>
      <c r="C532" t="s">
        <v>218</v>
      </c>
    </row>
    <row r="533" spans="1:3" hidden="1">
      <c r="A533" t="s">
        <v>1</v>
      </c>
      <c r="B533" t="s">
        <v>2213</v>
      </c>
      <c r="C533" t="s">
        <v>218</v>
      </c>
    </row>
    <row r="534" spans="1:3" hidden="1">
      <c r="A534" t="s">
        <v>1</v>
      </c>
      <c r="B534" t="s">
        <v>2218</v>
      </c>
      <c r="C534" t="s">
        <v>207</v>
      </c>
    </row>
    <row r="535" spans="1:3" hidden="1">
      <c r="A535" t="s">
        <v>1</v>
      </c>
      <c r="B535" t="s">
        <v>2221</v>
      </c>
      <c r="C535" t="s">
        <v>148</v>
      </c>
    </row>
    <row r="536" spans="1:3" hidden="1">
      <c r="A536" t="s">
        <v>1</v>
      </c>
      <c r="B536" t="s">
        <v>2224</v>
      </c>
      <c r="C536" t="s">
        <v>207</v>
      </c>
    </row>
    <row r="537" spans="1:3" hidden="1">
      <c r="A537" t="s">
        <v>1</v>
      </c>
      <c r="B537" t="s">
        <v>2227</v>
      </c>
      <c r="C537" t="s">
        <v>207</v>
      </c>
    </row>
    <row r="538" spans="1:3" hidden="1">
      <c r="A538" t="s">
        <v>1</v>
      </c>
      <c r="B538" t="s">
        <v>2232</v>
      </c>
      <c r="C538" t="s">
        <v>148</v>
      </c>
    </row>
    <row r="539" spans="1:3" hidden="1">
      <c r="A539" t="s">
        <v>1</v>
      </c>
      <c r="B539" t="s">
        <v>2237</v>
      </c>
      <c r="C539" t="s">
        <v>1133</v>
      </c>
    </row>
    <row r="540" spans="1:3" hidden="1">
      <c r="A540" t="s">
        <v>1</v>
      </c>
      <c r="B540" t="s">
        <v>2240</v>
      </c>
      <c r="C540" t="s">
        <v>1133</v>
      </c>
    </row>
    <row r="541" spans="1:3" hidden="1">
      <c r="A541" t="s">
        <v>1</v>
      </c>
      <c r="B541" t="s">
        <v>2245</v>
      </c>
      <c r="C541" t="s">
        <v>118</v>
      </c>
    </row>
    <row r="542" spans="1:3" hidden="1">
      <c r="A542" t="s">
        <v>1</v>
      </c>
      <c r="B542" t="s">
        <v>2250</v>
      </c>
      <c r="C542" t="s">
        <v>104</v>
      </c>
    </row>
    <row r="543" spans="1:3" hidden="1">
      <c r="A543" t="s">
        <v>1</v>
      </c>
      <c r="B543" t="s">
        <v>2255</v>
      </c>
      <c r="C543" t="s">
        <v>951</v>
      </c>
    </row>
    <row r="544" spans="1:3" hidden="1">
      <c r="A544" t="s">
        <v>1</v>
      </c>
      <c r="B544" t="s">
        <v>2261</v>
      </c>
      <c r="C544" t="s">
        <v>951</v>
      </c>
    </row>
    <row r="545" spans="1:3" hidden="1">
      <c r="A545" t="s">
        <v>1</v>
      </c>
      <c r="B545" t="s">
        <v>2265</v>
      </c>
      <c r="C545" t="s">
        <v>157</v>
      </c>
    </row>
    <row r="546" spans="1:3" hidden="1">
      <c r="A546" t="s">
        <v>1</v>
      </c>
      <c r="B546" t="s">
        <v>2268</v>
      </c>
      <c r="C546" t="s">
        <v>104</v>
      </c>
    </row>
    <row r="547" spans="1:3" hidden="1">
      <c r="A547" t="s">
        <v>1</v>
      </c>
      <c r="B547" t="s">
        <v>2273</v>
      </c>
      <c r="C547" t="s">
        <v>157</v>
      </c>
    </row>
    <row r="548" spans="1:3" hidden="1">
      <c r="A548" t="s">
        <v>1</v>
      </c>
      <c r="B548" t="s">
        <v>2276</v>
      </c>
      <c r="C548" t="s">
        <v>951</v>
      </c>
    </row>
    <row r="549" spans="1:3" hidden="1">
      <c r="A549" t="s">
        <v>1</v>
      </c>
      <c r="B549" t="s">
        <v>2282</v>
      </c>
      <c r="C549" t="s">
        <v>517</v>
      </c>
    </row>
    <row r="550" spans="1:3" hidden="1">
      <c r="A550" t="s">
        <v>1</v>
      </c>
      <c r="B550" t="s">
        <v>2286</v>
      </c>
      <c r="C550" t="s">
        <v>517</v>
      </c>
    </row>
    <row r="551" spans="1:3" hidden="1">
      <c r="A551" t="s">
        <v>1</v>
      </c>
      <c r="B551" t="s">
        <v>2289</v>
      </c>
      <c r="C551" t="s">
        <v>118</v>
      </c>
    </row>
    <row r="552" spans="1:3" hidden="1">
      <c r="A552" t="s">
        <v>1</v>
      </c>
      <c r="B552" t="s">
        <v>2294</v>
      </c>
      <c r="C552" t="s">
        <v>118</v>
      </c>
    </row>
    <row r="553" spans="1:3" hidden="1">
      <c r="A553" t="s">
        <v>1</v>
      </c>
      <c r="B553" t="s">
        <v>2299</v>
      </c>
      <c r="C553" t="s">
        <v>517</v>
      </c>
    </row>
    <row r="554" spans="1:3" hidden="1">
      <c r="A554" t="s">
        <v>1</v>
      </c>
      <c r="B554" t="s">
        <v>2302</v>
      </c>
      <c r="C554" t="s">
        <v>237</v>
      </c>
    </row>
    <row r="555" spans="1:3" hidden="1">
      <c r="A555" t="s">
        <v>1</v>
      </c>
      <c r="B555" t="s">
        <v>2307</v>
      </c>
      <c r="C555" t="s">
        <v>1133</v>
      </c>
    </row>
    <row r="556" spans="1:3" hidden="1">
      <c r="A556" t="s">
        <v>1</v>
      </c>
      <c r="B556" t="s">
        <v>2312</v>
      </c>
      <c r="C556" t="s">
        <v>1133</v>
      </c>
    </row>
    <row r="557" spans="1:3" hidden="1">
      <c r="A557" t="s">
        <v>1</v>
      </c>
      <c r="B557" t="s">
        <v>2317</v>
      </c>
      <c r="C557" t="s">
        <v>104</v>
      </c>
    </row>
    <row r="558" spans="1:3" hidden="1">
      <c r="A558" t="s">
        <v>1</v>
      </c>
      <c r="B558" t="s">
        <v>2322</v>
      </c>
      <c r="C558" t="s">
        <v>104</v>
      </c>
    </row>
    <row r="559" spans="1:3" hidden="1">
      <c r="A559" t="s">
        <v>1</v>
      </c>
      <c r="B559" t="s">
        <v>2328</v>
      </c>
      <c r="C559" t="s">
        <v>517</v>
      </c>
    </row>
    <row r="560" spans="1:3" hidden="1">
      <c r="A560" t="s">
        <v>1</v>
      </c>
      <c r="B560" t="s">
        <v>2332</v>
      </c>
      <c r="C560" t="s">
        <v>517</v>
      </c>
    </row>
    <row r="561" spans="1:3" hidden="1">
      <c r="A561" t="s">
        <v>1</v>
      </c>
      <c r="B561" t="s">
        <v>2335</v>
      </c>
      <c r="C561" t="s">
        <v>118</v>
      </c>
    </row>
    <row r="562" spans="1:3" hidden="1">
      <c r="A562" t="s">
        <v>1</v>
      </c>
      <c r="B562" t="s">
        <v>2338</v>
      </c>
      <c r="C562" t="s">
        <v>118</v>
      </c>
    </row>
    <row r="563" spans="1:3" hidden="1">
      <c r="A563" t="s">
        <v>1</v>
      </c>
      <c r="B563" t="s">
        <v>2341</v>
      </c>
      <c r="C563" t="s">
        <v>517</v>
      </c>
    </row>
    <row r="564" spans="1:3" hidden="1">
      <c r="A564" t="s">
        <v>1</v>
      </c>
      <c r="B564" t="s">
        <v>2344</v>
      </c>
      <c r="C564" t="s">
        <v>517</v>
      </c>
    </row>
    <row r="565" spans="1:3" hidden="1">
      <c r="A565" t="s">
        <v>1</v>
      </c>
      <c r="B565" t="s">
        <v>2347</v>
      </c>
      <c r="C565" t="s">
        <v>1133</v>
      </c>
    </row>
    <row r="566" spans="1:3" hidden="1">
      <c r="A566" t="s">
        <v>1</v>
      </c>
      <c r="B566" t="s">
        <v>2352</v>
      </c>
      <c r="C566" t="s">
        <v>1133</v>
      </c>
    </row>
    <row r="567" spans="1:3" hidden="1">
      <c r="A567" t="s">
        <v>1</v>
      </c>
      <c r="B567" t="s">
        <v>2357</v>
      </c>
      <c r="C567" t="s">
        <v>104</v>
      </c>
    </row>
    <row r="568" spans="1:3" hidden="1">
      <c r="A568" t="s">
        <v>1</v>
      </c>
      <c r="B568" t="s">
        <v>2360</v>
      </c>
      <c r="C568" t="s">
        <v>951</v>
      </c>
    </row>
    <row r="569" spans="1:3" hidden="1">
      <c r="A569" t="s">
        <v>1</v>
      </c>
      <c r="B569" t="s">
        <v>2366</v>
      </c>
      <c r="C569" t="s">
        <v>990</v>
      </c>
    </row>
    <row r="570" spans="1:3" hidden="1">
      <c r="A570" t="s">
        <v>1</v>
      </c>
      <c r="B570" t="s">
        <v>2370</v>
      </c>
      <c r="C570" t="s">
        <v>266</v>
      </c>
    </row>
    <row r="571" spans="1:3" hidden="1">
      <c r="A571" t="s">
        <v>1</v>
      </c>
      <c r="B571" t="s">
        <v>2373</v>
      </c>
      <c r="C571" t="s">
        <v>990</v>
      </c>
    </row>
    <row r="572" spans="1:3" hidden="1">
      <c r="A572" t="s">
        <v>1</v>
      </c>
      <c r="B572" t="s">
        <v>2376</v>
      </c>
      <c r="C572" t="s">
        <v>266</v>
      </c>
    </row>
    <row r="573" spans="1:3" hidden="1">
      <c r="A573" t="s">
        <v>1</v>
      </c>
      <c r="B573" t="s">
        <v>2379</v>
      </c>
      <c r="C573" t="s">
        <v>990</v>
      </c>
    </row>
    <row r="574" spans="1:3" hidden="1">
      <c r="A574" t="s">
        <v>1</v>
      </c>
      <c r="B574" t="s">
        <v>2382</v>
      </c>
      <c r="C574" t="s">
        <v>990</v>
      </c>
    </row>
    <row r="575" spans="1:3" hidden="1">
      <c r="A575" t="s">
        <v>1</v>
      </c>
      <c r="B575" t="s">
        <v>2385</v>
      </c>
      <c r="C575" t="s">
        <v>1133</v>
      </c>
    </row>
    <row r="576" spans="1:3" hidden="1">
      <c r="A576" t="s">
        <v>1</v>
      </c>
      <c r="B576" t="s">
        <v>2390</v>
      </c>
      <c r="C576" t="s">
        <v>3550</v>
      </c>
    </row>
    <row r="577" spans="1:3" hidden="1">
      <c r="A577" t="s">
        <v>1</v>
      </c>
      <c r="B577" t="s">
        <v>2395</v>
      </c>
      <c r="C577" t="s">
        <v>118</v>
      </c>
    </row>
    <row r="578" spans="1:3" hidden="1">
      <c r="A578" t="s">
        <v>1</v>
      </c>
      <c r="B578" t="s">
        <v>2398</v>
      </c>
      <c r="C578" t="s">
        <v>237</v>
      </c>
    </row>
    <row r="579" spans="1:3" hidden="1">
      <c r="A579" t="s">
        <v>1</v>
      </c>
      <c r="B579" t="s">
        <v>2401</v>
      </c>
      <c r="C579" t="s">
        <v>126</v>
      </c>
    </row>
    <row r="580" spans="1:3" hidden="1">
      <c r="A580" t="s">
        <v>1</v>
      </c>
      <c r="B580" t="s">
        <v>2404</v>
      </c>
      <c r="C580" t="s">
        <v>990</v>
      </c>
    </row>
    <row r="581" spans="1:3" hidden="1">
      <c r="A581" t="s">
        <v>1</v>
      </c>
      <c r="B581" t="s">
        <v>2407</v>
      </c>
      <c r="C581" t="s">
        <v>517</v>
      </c>
    </row>
    <row r="582" spans="1:3" hidden="1">
      <c r="A582" t="s">
        <v>1</v>
      </c>
      <c r="B582" t="s">
        <v>2410</v>
      </c>
      <c r="C582" t="s">
        <v>118</v>
      </c>
    </row>
    <row r="583" spans="1:3" hidden="1">
      <c r="A583" t="s">
        <v>1</v>
      </c>
      <c r="B583" t="s">
        <v>2413</v>
      </c>
      <c r="C583" t="s">
        <v>266</v>
      </c>
    </row>
    <row r="584" spans="1:3" hidden="1">
      <c r="A584" t="s">
        <v>1</v>
      </c>
      <c r="B584" t="s">
        <v>2416</v>
      </c>
      <c r="C584" t="s">
        <v>195</v>
      </c>
    </row>
    <row r="585" spans="1:3" hidden="1">
      <c r="A585" t="s">
        <v>1</v>
      </c>
      <c r="B585" t="s">
        <v>2419</v>
      </c>
      <c r="C585" t="s">
        <v>1133</v>
      </c>
    </row>
    <row r="586" spans="1:3" hidden="1">
      <c r="A586" t="s">
        <v>1</v>
      </c>
      <c r="B586" t="s">
        <v>2424</v>
      </c>
      <c r="C586" t="s">
        <v>148</v>
      </c>
    </row>
    <row r="587" spans="1:3" hidden="1">
      <c r="A587" t="s">
        <v>1</v>
      </c>
      <c r="B587" t="s">
        <v>2429</v>
      </c>
      <c r="C587" t="s">
        <v>126</v>
      </c>
    </row>
    <row r="588" spans="1:3" hidden="1">
      <c r="A588" t="s">
        <v>1</v>
      </c>
      <c r="B588" t="s">
        <v>2432</v>
      </c>
      <c r="C588" t="s">
        <v>118</v>
      </c>
    </row>
    <row r="589" spans="1:3" hidden="1">
      <c r="A589" t="s">
        <v>1</v>
      </c>
      <c r="B589" t="s">
        <v>2435</v>
      </c>
      <c r="C589" t="s">
        <v>3550</v>
      </c>
    </row>
    <row r="590" spans="1:3" hidden="1">
      <c r="A590" t="s">
        <v>1</v>
      </c>
      <c r="B590" t="s">
        <v>2438</v>
      </c>
      <c r="C590" t="s">
        <v>517</v>
      </c>
    </row>
    <row r="591" spans="1:3" hidden="1">
      <c r="A591" t="s">
        <v>1</v>
      </c>
      <c r="B591" t="s">
        <v>2441</v>
      </c>
      <c r="C591" t="s">
        <v>118</v>
      </c>
    </row>
    <row r="592" spans="1:3" hidden="1">
      <c r="A592" t="s">
        <v>1</v>
      </c>
      <c r="B592" t="s">
        <v>2444</v>
      </c>
      <c r="C592" t="s">
        <v>237</v>
      </c>
    </row>
    <row r="593" spans="1:3" hidden="1">
      <c r="A593" t="s">
        <v>1</v>
      </c>
      <c r="B593" t="s">
        <v>2447</v>
      </c>
      <c r="C593" t="s">
        <v>224</v>
      </c>
    </row>
    <row r="594" spans="1:3" hidden="1">
      <c r="A594" t="s">
        <v>1</v>
      </c>
      <c r="B594" t="s">
        <v>2450</v>
      </c>
      <c r="C594" t="s">
        <v>126</v>
      </c>
    </row>
    <row r="595" spans="1:3" hidden="1">
      <c r="A595" t="s">
        <v>1</v>
      </c>
      <c r="B595" t="s">
        <v>2453</v>
      </c>
      <c r="C595" t="s">
        <v>148</v>
      </c>
    </row>
    <row r="596" spans="1:3" hidden="1">
      <c r="A596" t="s">
        <v>1</v>
      </c>
      <c r="B596" t="s">
        <v>2458</v>
      </c>
      <c r="C596" t="s">
        <v>517</v>
      </c>
    </row>
    <row r="597" spans="1:3" hidden="1">
      <c r="A597" t="s">
        <v>1</v>
      </c>
      <c r="B597" t="s">
        <v>2461</v>
      </c>
      <c r="C597" t="s">
        <v>1156</v>
      </c>
    </row>
    <row r="598" spans="1:3" hidden="1">
      <c r="A598" t="s">
        <v>1</v>
      </c>
      <c r="B598" t="s">
        <v>2464</v>
      </c>
      <c r="C598" t="s">
        <v>1717</v>
      </c>
    </row>
    <row r="599" spans="1:3" hidden="1">
      <c r="A599" t="s">
        <v>1</v>
      </c>
      <c r="B599" t="s">
        <v>2467</v>
      </c>
      <c r="C599" t="s">
        <v>1156</v>
      </c>
    </row>
    <row r="600" spans="1:3" hidden="1">
      <c r="A600" t="s">
        <v>1</v>
      </c>
      <c r="B600" t="s">
        <v>2470</v>
      </c>
      <c r="C600" t="s">
        <v>266</v>
      </c>
    </row>
    <row r="601" spans="1:3" hidden="1">
      <c r="A601" t="s">
        <v>1</v>
      </c>
      <c r="B601" t="s">
        <v>2475</v>
      </c>
      <c r="C601" t="s">
        <v>1156</v>
      </c>
    </row>
    <row r="602" spans="1:3" hidden="1">
      <c r="A602" t="s">
        <v>1</v>
      </c>
      <c r="B602" t="s">
        <v>2478</v>
      </c>
      <c r="C602" t="s">
        <v>1156</v>
      </c>
    </row>
    <row r="603" spans="1:3" hidden="1">
      <c r="A603" t="s">
        <v>1</v>
      </c>
      <c r="B603" t="s">
        <v>2481</v>
      </c>
      <c r="C603" t="s">
        <v>195</v>
      </c>
    </row>
    <row r="604" spans="1:3" hidden="1">
      <c r="A604" t="s">
        <v>1</v>
      </c>
      <c r="B604" t="s">
        <v>2484</v>
      </c>
      <c r="C604" t="s">
        <v>3550</v>
      </c>
    </row>
    <row r="605" spans="1:3" hidden="1">
      <c r="A605" t="s">
        <v>1</v>
      </c>
      <c r="B605" t="s">
        <v>2487</v>
      </c>
      <c r="C605" t="s">
        <v>1133</v>
      </c>
    </row>
    <row r="606" spans="1:3" hidden="1">
      <c r="A606" t="s">
        <v>1</v>
      </c>
      <c r="B606" t="s">
        <v>2492</v>
      </c>
      <c r="C606" t="s">
        <v>1156</v>
      </c>
    </row>
    <row r="607" spans="1:3" hidden="1">
      <c r="A607" t="s">
        <v>1</v>
      </c>
      <c r="B607" t="s">
        <v>2495</v>
      </c>
      <c r="C607" t="s">
        <v>118</v>
      </c>
    </row>
    <row r="608" spans="1:3" hidden="1">
      <c r="A608" t="s">
        <v>1</v>
      </c>
      <c r="B608" t="s">
        <v>2498</v>
      </c>
      <c r="C608" t="s">
        <v>207</v>
      </c>
    </row>
    <row r="609" spans="1:3" hidden="1">
      <c r="A609" t="s">
        <v>1</v>
      </c>
      <c r="B609" t="s">
        <v>2501</v>
      </c>
      <c r="C609" t="s">
        <v>104</v>
      </c>
    </row>
    <row r="610" spans="1:3" hidden="1">
      <c r="A610" t="s">
        <v>1</v>
      </c>
      <c r="B610" t="s">
        <v>2507</v>
      </c>
      <c r="C610" t="s">
        <v>517</v>
      </c>
    </row>
    <row r="611" spans="1:3" hidden="1">
      <c r="A611" t="s">
        <v>1</v>
      </c>
      <c r="B611" t="s">
        <v>2511</v>
      </c>
      <c r="C611" t="s">
        <v>148</v>
      </c>
    </row>
    <row r="612" spans="1:3" hidden="1">
      <c r="A612" t="s">
        <v>1</v>
      </c>
      <c r="B612" t="s">
        <v>2516</v>
      </c>
      <c r="C612" t="s">
        <v>148</v>
      </c>
    </row>
    <row r="613" spans="1:3" hidden="1">
      <c r="A613" t="s">
        <v>1</v>
      </c>
      <c r="B613" t="s">
        <v>2521</v>
      </c>
      <c r="C613" t="s">
        <v>148</v>
      </c>
    </row>
    <row r="614" spans="1:3" hidden="1">
      <c r="A614" t="s">
        <v>1</v>
      </c>
      <c r="B614" t="s">
        <v>2524</v>
      </c>
      <c r="C614" t="s">
        <v>1133</v>
      </c>
    </row>
    <row r="615" spans="1:3" hidden="1">
      <c r="A615" t="s">
        <v>1</v>
      </c>
      <c r="B615" t="s">
        <v>2530</v>
      </c>
      <c r="C615" t="s">
        <v>157</v>
      </c>
    </row>
    <row r="616" spans="1:3" hidden="1">
      <c r="A616" t="s">
        <v>1</v>
      </c>
      <c r="B616" t="s">
        <v>2535</v>
      </c>
      <c r="C616" t="s">
        <v>157</v>
      </c>
    </row>
    <row r="617" spans="1:3" hidden="1">
      <c r="A617" t="s">
        <v>1</v>
      </c>
      <c r="B617" t="s">
        <v>2540</v>
      </c>
      <c r="C617" t="s">
        <v>157</v>
      </c>
    </row>
    <row r="618" spans="1:3" hidden="1">
      <c r="A618" t="s">
        <v>1</v>
      </c>
      <c r="B618" t="s">
        <v>2545</v>
      </c>
      <c r="C618" t="s">
        <v>207</v>
      </c>
    </row>
    <row r="619" spans="1:3" hidden="1">
      <c r="A619" t="s">
        <v>1</v>
      </c>
      <c r="B619" t="s">
        <v>2548</v>
      </c>
      <c r="C619" t="s">
        <v>517</v>
      </c>
    </row>
    <row r="620" spans="1:3" hidden="1">
      <c r="A620" t="s">
        <v>1</v>
      </c>
      <c r="B620" t="s">
        <v>2551</v>
      </c>
      <c r="C620" t="s">
        <v>1133</v>
      </c>
    </row>
    <row r="621" spans="1:3" hidden="1">
      <c r="A621" t="s">
        <v>1</v>
      </c>
      <c r="B621" t="s">
        <v>2556</v>
      </c>
      <c r="C621" t="s">
        <v>1133</v>
      </c>
    </row>
    <row r="622" spans="1:3" hidden="1">
      <c r="A622" t="s">
        <v>1</v>
      </c>
      <c r="B622" t="s">
        <v>2561</v>
      </c>
      <c r="C622" t="s">
        <v>1133</v>
      </c>
    </row>
    <row r="623" spans="1:3" hidden="1">
      <c r="A623" t="s">
        <v>1</v>
      </c>
      <c r="B623" t="s">
        <v>2566</v>
      </c>
      <c r="C623" t="s">
        <v>207</v>
      </c>
    </row>
    <row r="624" spans="1:3" hidden="1">
      <c r="A624" t="s">
        <v>1</v>
      </c>
      <c r="B624" t="s">
        <v>2571</v>
      </c>
      <c r="C624" t="s">
        <v>207</v>
      </c>
    </row>
    <row r="625" spans="1:3" hidden="1">
      <c r="A625" t="s">
        <v>1</v>
      </c>
      <c r="B625" t="s">
        <v>2574</v>
      </c>
      <c r="C625" t="s">
        <v>951</v>
      </c>
    </row>
    <row r="626" spans="1:3" hidden="1">
      <c r="A626" t="s">
        <v>1</v>
      </c>
      <c r="B626" t="s">
        <v>2579</v>
      </c>
      <c r="C626" t="s">
        <v>951</v>
      </c>
    </row>
    <row r="627" spans="1:3" hidden="1">
      <c r="A627" t="s">
        <v>1</v>
      </c>
      <c r="B627" t="s">
        <v>2584</v>
      </c>
      <c r="C627" t="s">
        <v>104</v>
      </c>
    </row>
    <row r="628" spans="1:3" hidden="1">
      <c r="A628" t="s">
        <v>1</v>
      </c>
      <c r="B628" t="s">
        <v>2590</v>
      </c>
      <c r="C628" t="s">
        <v>195</v>
      </c>
    </row>
    <row r="629" spans="1:3" hidden="1">
      <c r="A629" t="s">
        <v>1</v>
      </c>
      <c r="B629" t="s">
        <v>2594</v>
      </c>
      <c r="C629" t="s">
        <v>517</v>
      </c>
    </row>
    <row r="630" spans="1:3" hidden="1">
      <c r="A630" t="s">
        <v>1</v>
      </c>
      <c r="B630" t="s">
        <v>2600</v>
      </c>
      <c r="C630" t="s">
        <v>195</v>
      </c>
    </row>
    <row r="631" spans="1:3" hidden="1">
      <c r="A631" t="s">
        <v>1</v>
      </c>
      <c r="B631" t="s">
        <v>2603</v>
      </c>
      <c r="C631" t="s">
        <v>517</v>
      </c>
    </row>
    <row r="632" spans="1:3" hidden="1">
      <c r="A632" t="s">
        <v>1</v>
      </c>
      <c r="B632" t="s">
        <v>2606</v>
      </c>
      <c r="C632" t="s">
        <v>517</v>
      </c>
    </row>
    <row r="633" spans="1:3" hidden="1">
      <c r="A633" t="s">
        <v>1</v>
      </c>
      <c r="B633" t="s">
        <v>2609</v>
      </c>
      <c r="C633" t="s">
        <v>126</v>
      </c>
    </row>
    <row r="634" spans="1:3" hidden="1">
      <c r="A634" t="s">
        <v>1</v>
      </c>
      <c r="B634" t="s">
        <v>2612</v>
      </c>
      <c r="C634" t="s">
        <v>126</v>
      </c>
    </row>
    <row r="635" spans="1:3" hidden="1">
      <c r="A635" t="s">
        <v>1</v>
      </c>
      <c r="B635" t="s">
        <v>2615</v>
      </c>
      <c r="C635" t="s">
        <v>126</v>
      </c>
    </row>
    <row r="636" spans="1:3" hidden="1">
      <c r="A636" t="s">
        <v>1</v>
      </c>
      <c r="B636" t="s">
        <v>2618</v>
      </c>
      <c r="C636" t="s">
        <v>195</v>
      </c>
    </row>
    <row r="637" spans="1:3" hidden="1">
      <c r="A637" t="s">
        <v>1</v>
      </c>
      <c r="B637" t="s">
        <v>2621</v>
      </c>
      <c r="C637" t="s">
        <v>118</v>
      </c>
    </row>
    <row r="638" spans="1:3" hidden="1">
      <c r="A638" t="s">
        <v>1</v>
      </c>
      <c r="B638" t="s">
        <v>2626</v>
      </c>
      <c r="C638" t="s">
        <v>104</v>
      </c>
    </row>
    <row r="639" spans="1:3" hidden="1">
      <c r="A639" t="s">
        <v>1</v>
      </c>
      <c r="B639" t="s">
        <v>2632</v>
      </c>
      <c r="C639" t="s">
        <v>118</v>
      </c>
    </row>
    <row r="640" spans="1:3" hidden="1">
      <c r="A640" t="s">
        <v>1</v>
      </c>
      <c r="B640" t="s">
        <v>2636</v>
      </c>
      <c r="C640" t="s">
        <v>118</v>
      </c>
    </row>
    <row r="641" spans="1:3" hidden="1">
      <c r="A641" t="s">
        <v>1</v>
      </c>
      <c r="B641" t="s">
        <v>2642</v>
      </c>
      <c r="C641" t="s">
        <v>990</v>
      </c>
    </row>
    <row r="642" spans="1:3" hidden="1">
      <c r="A642" t="s">
        <v>1</v>
      </c>
      <c r="B642" t="s">
        <v>2648</v>
      </c>
      <c r="C642" t="s">
        <v>118</v>
      </c>
    </row>
    <row r="643" spans="1:3" hidden="1">
      <c r="A643" t="s">
        <v>1</v>
      </c>
      <c r="B643" t="s">
        <v>2652</v>
      </c>
      <c r="C643" t="s">
        <v>244</v>
      </c>
    </row>
    <row r="644" spans="1:3" hidden="1">
      <c r="A644" t="s">
        <v>1</v>
      </c>
      <c r="B644" t="s">
        <v>2655</v>
      </c>
      <c r="C644" t="s">
        <v>1316</v>
      </c>
    </row>
    <row r="645" spans="1:3" hidden="1">
      <c r="A645" t="s">
        <v>1</v>
      </c>
      <c r="B645" t="s">
        <v>2658</v>
      </c>
      <c r="C645" t="s">
        <v>951</v>
      </c>
    </row>
    <row r="646" spans="1:3" hidden="1">
      <c r="A646" t="s">
        <v>1</v>
      </c>
      <c r="B646" t="s">
        <v>2661</v>
      </c>
      <c r="C646" t="s">
        <v>104</v>
      </c>
    </row>
    <row r="647" spans="1:3" hidden="1">
      <c r="A647" t="s">
        <v>1</v>
      </c>
      <c r="B647" t="s">
        <v>2666</v>
      </c>
      <c r="C647" t="s">
        <v>237</v>
      </c>
    </row>
    <row r="648" spans="1:3" hidden="1">
      <c r="A648" t="s">
        <v>1</v>
      </c>
      <c r="B648" t="s">
        <v>2669</v>
      </c>
      <c r="C648" t="s">
        <v>990</v>
      </c>
    </row>
    <row r="649" spans="1:3" hidden="1">
      <c r="A649" t="s">
        <v>1</v>
      </c>
      <c r="B649" t="s">
        <v>2672</v>
      </c>
      <c r="C649" t="s">
        <v>237</v>
      </c>
    </row>
    <row r="650" spans="1:3" hidden="1">
      <c r="A650" t="s">
        <v>1</v>
      </c>
      <c r="B650" t="s">
        <v>2675</v>
      </c>
      <c r="C650" t="s">
        <v>237</v>
      </c>
    </row>
    <row r="651" spans="1:3" hidden="1">
      <c r="A651" t="s">
        <v>1</v>
      </c>
      <c r="B651" t="s">
        <v>2678</v>
      </c>
      <c r="C651" t="s">
        <v>244</v>
      </c>
    </row>
    <row r="652" spans="1:3" hidden="1">
      <c r="A652" t="s">
        <v>1</v>
      </c>
      <c r="B652" t="s">
        <v>2681</v>
      </c>
      <c r="C652" t="s">
        <v>244</v>
      </c>
    </row>
    <row r="653" spans="1:3" hidden="1">
      <c r="A653" t="s">
        <v>1</v>
      </c>
      <c r="B653" t="s">
        <v>2684</v>
      </c>
      <c r="C653" t="s">
        <v>244</v>
      </c>
    </row>
    <row r="654" spans="1:3" hidden="1">
      <c r="A654" t="s">
        <v>1</v>
      </c>
      <c r="B654" t="s">
        <v>2687</v>
      </c>
      <c r="C654" t="s">
        <v>517</v>
      </c>
    </row>
    <row r="655" spans="1:3" hidden="1">
      <c r="A655" t="s">
        <v>1</v>
      </c>
      <c r="B655" t="s">
        <v>2690</v>
      </c>
      <c r="C655" t="s">
        <v>517</v>
      </c>
    </row>
    <row r="656" spans="1:3" hidden="1">
      <c r="A656" t="s">
        <v>1</v>
      </c>
      <c r="B656" t="s">
        <v>2693</v>
      </c>
      <c r="C656" t="s">
        <v>517</v>
      </c>
    </row>
    <row r="657" spans="1:3" hidden="1">
      <c r="A657" t="s">
        <v>1</v>
      </c>
      <c r="B657" t="s">
        <v>2696</v>
      </c>
      <c r="C657" t="s">
        <v>517</v>
      </c>
    </row>
    <row r="658" spans="1:3" hidden="1">
      <c r="A658" t="s">
        <v>1</v>
      </c>
      <c r="B658" t="s">
        <v>2699</v>
      </c>
      <c r="C658" t="s">
        <v>517</v>
      </c>
    </row>
    <row r="659" spans="1:3" hidden="1">
      <c r="A659" t="s">
        <v>1</v>
      </c>
      <c r="B659" t="s">
        <v>2702</v>
      </c>
      <c r="C659" t="s">
        <v>951</v>
      </c>
    </row>
    <row r="660" spans="1:3" hidden="1">
      <c r="A660" t="s">
        <v>1</v>
      </c>
      <c r="B660" t="s">
        <v>2705</v>
      </c>
      <c r="C660" t="s">
        <v>951</v>
      </c>
    </row>
    <row r="661" spans="1:3" hidden="1">
      <c r="A661" t="s">
        <v>1</v>
      </c>
      <c r="B661" t="s">
        <v>2708</v>
      </c>
      <c r="C661" t="s">
        <v>1316</v>
      </c>
    </row>
    <row r="662" spans="1:3" hidden="1">
      <c r="A662" t="s">
        <v>1</v>
      </c>
      <c r="B662" t="s">
        <v>2711</v>
      </c>
      <c r="C662" t="s">
        <v>244</v>
      </c>
    </row>
    <row r="663" spans="1:3" hidden="1">
      <c r="A663" t="s">
        <v>1</v>
      </c>
      <c r="B663" t="s">
        <v>2714</v>
      </c>
      <c r="C663" t="s">
        <v>1316</v>
      </c>
    </row>
    <row r="664" spans="1:3" hidden="1">
      <c r="A664" t="s">
        <v>1</v>
      </c>
      <c r="B664" t="s">
        <v>2717</v>
      </c>
      <c r="C664" t="s">
        <v>1316</v>
      </c>
    </row>
    <row r="665" spans="1:3" hidden="1">
      <c r="A665" t="s">
        <v>1</v>
      </c>
      <c r="B665" t="s">
        <v>2720</v>
      </c>
      <c r="C665" t="s">
        <v>195</v>
      </c>
    </row>
    <row r="666" spans="1:3" hidden="1">
      <c r="A666" t="s">
        <v>1</v>
      </c>
      <c r="B666" t="s">
        <v>2723</v>
      </c>
      <c r="C666" t="s">
        <v>118</v>
      </c>
    </row>
    <row r="667" spans="1:3" hidden="1">
      <c r="A667" t="s">
        <v>1</v>
      </c>
      <c r="B667" t="s">
        <v>2727</v>
      </c>
      <c r="C667" t="s">
        <v>990</v>
      </c>
    </row>
    <row r="668" spans="1:3" hidden="1">
      <c r="A668" t="s">
        <v>1</v>
      </c>
      <c r="B668" t="s">
        <v>2731</v>
      </c>
      <c r="C668" t="s">
        <v>266</v>
      </c>
    </row>
    <row r="669" spans="1:3" hidden="1">
      <c r="A669" t="s">
        <v>1</v>
      </c>
      <c r="B669" t="s">
        <v>2734</v>
      </c>
      <c r="C669" t="s">
        <v>990</v>
      </c>
    </row>
    <row r="670" spans="1:3" hidden="1">
      <c r="A670" t="s">
        <v>1</v>
      </c>
      <c r="B670" t="s">
        <v>2737</v>
      </c>
      <c r="C670" t="s">
        <v>990</v>
      </c>
    </row>
    <row r="671" spans="1:3" hidden="1">
      <c r="A671" t="s">
        <v>1</v>
      </c>
      <c r="B671" t="s">
        <v>2741</v>
      </c>
      <c r="C671" t="s">
        <v>990</v>
      </c>
    </row>
    <row r="672" spans="1:3" hidden="1">
      <c r="A672" t="s">
        <v>1</v>
      </c>
      <c r="B672" t="s">
        <v>2744</v>
      </c>
      <c r="C672" t="s">
        <v>266</v>
      </c>
    </row>
    <row r="673" spans="1:3" hidden="1">
      <c r="A673" t="s">
        <v>1</v>
      </c>
      <c r="B673" t="s">
        <v>2747</v>
      </c>
      <c r="C673" t="s">
        <v>990</v>
      </c>
    </row>
    <row r="674" spans="1:3" hidden="1">
      <c r="A674" t="s">
        <v>1</v>
      </c>
      <c r="B674" t="s">
        <v>2752</v>
      </c>
      <c r="C674" t="s">
        <v>118</v>
      </c>
    </row>
    <row r="675" spans="1:3" hidden="1">
      <c r="A675" t="s">
        <v>1</v>
      </c>
      <c r="B675" t="s">
        <v>2755</v>
      </c>
      <c r="C675" t="s">
        <v>104</v>
      </c>
    </row>
    <row r="676" spans="1:3" hidden="1">
      <c r="A676" t="s">
        <v>1</v>
      </c>
      <c r="B676" t="s">
        <v>2761</v>
      </c>
      <c r="C676" t="s">
        <v>517</v>
      </c>
    </row>
    <row r="677" spans="1:3" hidden="1">
      <c r="A677" t="s">
        <v>1</v>
      </c>
      <c r="B677" t="s">
        <v>2765</v>
      </c>
      <c r="C677" t="s">
        <v>517</v>
      </c>
    </row>
    <row r="678" spans="1:3" hidden="1">
      <c r="A678" t="s">
        <v>1</v>
      </c>
      <c r="B678" t="s">
        <v>2768</v>
      </c>
      <c r="C678" t="s">
        <v>951</v>
      </c>
    </row>
    <row r="679" spans="1:3" hidden="1">
      <c r="A679" t="s">
        <v>1</v>
      </c>
      <c r="B679" t="s">
        <v>2773</v>
      </c>
      <c r="C679" t="s">
        <v>951</v>
      </c>
    </row>
    <row r="680" spans="1:3" hidden="1">
      <c r="A680" t="s">
        <v>1</v>
      </c>
      <c r="B680" t="s">
        <v>2778</v>
      </c>
      <c r="C680" t="s">
        <v>517</v>
      </c>
    </row>
    <row r="681" spans="1:3" hidden="1">
      <c r="A681" t="s">
        <v>1</v>
      </c>
      <c r="B681" t="s">
        <v>2781</v>
      </c>
      <c r="C681" t="s">
        <v>118</v>
      </c>
    </row>
    <row r="682" spans="1:3" hidden="1">
      <c r="A682" t="s">
        <v>1</v>
      </c>
      <c r="B682" t="s">
        <v>2784</v>
      </c>
      <c r="C682" t="s">
        <v>118</v>
      </c>
    </row>
    <row r="683" spans="1:3" hidden="1">
      <c r="A683" t="s">
        <v>1</v>
      </c>
      <c r="B683" t="s">
        <v>2789</v>
      </c>
      <c r="C683" t="s">
        <v>104</v>
      </c>
    </row>
    <row r="684" spans="1:3" hidden="1">
      <c r="A684" t="s">
        <v>1</v>
      </c>
      <c r="B684" t="s">
        <v>2795</v>
      </c>
      <c r="C684" t="s">
        <v>118</v>
      </c>
    </row>
    <row r="685" spans="1:3" hidden="1">
      <c r="A685" t="s">
        <v>1</v>
      </c>
      <c r="B685" t="s">
        <v>2799</v>
      </c>
      <c r="C685" t="s">
        <v>118</v>
      </c>
    </row>
    <row r="686" spans="1:3" hidden="1">
      <c r="A686" t="s">
        <v>1</v>
      </c>
      <c r="B686" t="s">
        <v>2803</v>
      </c>
      <c r="C686" t="s">
        <v>126</v>
      </c>
    </row>
    <row r="687" spans="1:3" hidden="1">
      <c r="A687" t="s">
        <v>1</v>
      </c>
      <c r="B687" t="s">
        <v>2807</v>
      </c>
      <c r="C687" t="s">
        <v>126</v>
      </c>
    </row>
    <row r="688" spans="1:3" hidden="1">
      <c r="A688" t="s">
        <v>1</v>
      </c>
      <c r="B688" t="s">
        <v>2810</v>
      </c>
      <c r="C688" t="s">
        <v>1316</v>
      </c>
    </row>
    <row r="689" spans="1:3" hidden="1">
      <c r="A689" t="s">
        <v>1</v>
      </c>
      <c r="B689" t="s">
        <v>2813</v>
      </c>
      <c r="C689" t="s">
        <v>517</v>
      </c>
    </row>
    <row r="690" spans="1:3" hidden="1">
      <c r="A690" t="s">
        <v>1</v>
      </c>
      <c r="B690" t="s">
        <v>2816</v>
      </c>
      <c r="C690" t="s">
        <v>517</v>
      </c>
    </row>
    <row r="691" spans="1:3" hidden="1">
      <c r="A691" t="s">
        <v>1</v>
      </c>
      <c r="B691" t="s">
        <v>2819</v>
      </c>
      <c r="C691" t="s">
        <v>517</v>
      </c>
    </row>
    <row r="692" spans="1:3" hidden="1">
      <c r="A692" t="s">
        <v>1</v>
      </c>
      <c r="B692" t="s">
        <v>2825</v>
      </c>
      <c r="C692" t="s">
        <v>1156</v>
      </c>
    </row>
    <row r="693" spans="1:3" hidden="1">
      <c r="A693" t="s">
        <v>1</v>
      </c>
      <c r="B693" t="s">
        <v>2828</v>
      </c>
      <c r="C693" t="s">
        <v>195</v>
      </c>
    </row>
    <row r="694" spans="1:3" hidden="1">
      <c r="A694" t="s">
        <v>1</v>
      </c>
      <c r="B694" t="s">
        <v>2831</v>
      </c>
      <c r="C694" t="s">
        <v>157</v>
      </c>
    </row>
    <row r="695" spans="1:3" hidden="1">
      <c r="A695" t="s">
        <v>1</v>
      </c>
      <c r="B695" t="s">
        <v>2834</v>
      </c>
      <c r="C695" t="s">
        <v>104</v>
      </c>
    </row>
    <row r="696" spans="1:3" hidden="1">
      <c r="A696" t="s">
        <v>1</v>
      </c>
      <c r="B696" t="s">
        <v>2837</v>
      </c>
      <c r="C696" t="s">
        <v>157</v>
      </c>
    </row>
    <row r="697" spans="1:3" hidden="1">
      <c r="A697" t="s">
        <v>1</v>
      </c>
      <c r="B697" t="s">
        <v>2840</v>
      </c>
      <c r="C697" t="s">
        <v>126</v>
      </c>
    </row>
    <row r="698" spans="1:3" hidden="1">
      <c r="A698" t="s">
        <v>1</v>
      </c>
      <c r="B698" t="s">
        <v>2843</v>
      </c>
      <c r="C698" t="s">
        <v>104</v>
      </c>
    </row>
    <row r="699" spans="1:3" hidden="1">
      <c r="A699" t="s">
        <v>1</v>
      </c>
      <c r="B699" t="s">
        <v>2848</v>
      </c>
      <c r="C699" t="s">
        <v>951</v>
      </c>
    </row>
    <row r="700" spans="1:3" hidden="1">
      <c r="A700" t="s">
        <v>1</v>
      </c>
      <c r="B700" t="s">
        <v>2851</v>
      </c>
      <c r="C700" t="s">
        <v>517</v>
      </c>
    </row>
    <row r="701" spans="1:3" hidden="1">
      <c r="A701" t="s">
        <v>1</v>
      </c>
      <c r="B701" t="s">
        <v>2854</v>
      </c>
      <c r="C701" t="s">
        <v>1316</v>
      </c>
    </row>
    <row r="702" spans="1:3" hidden="1">
      <c r="A702" t="s">
        <v>1</v>
      </c>
      <c r="B702" t="s">
        <v>2859</v>
      </c>
      <c r="C702" t="s">
        <v>157</v>
      </c>
    </row>
    <row r="703" spans="1:3" hidden="1">
      <c r="A703" t="s">
        <v>1</v>
      </c>
      <c r="B703" t="s">
        <v>2864</v>
      </c>
      <c r="C703" t="s">
        <v>195</v>
      </c>
    </row>
    <row r="704" spans="1:3" hidden="1">
      <c r="A704" t="s">
        <v>1</v>
      </c>
      <c r="B704" t="s">
        <v>2870</v>
      </c>
      <c r="C704" t="s">
        <v>517</v>
      </c>
    </row>
    <row r="705" spans="1:3" hidden="1">
      <c r="A705" t="s">
        <v>1</v>
      </c>
      <c r="B705" t="s">
        <v>2876</v>
      </c>
      <c r="C705" t="s">
        <v>126</v>
      </c>
    </row>
    <row r="706" spans="1:3" hidden="1">
      <c r="A706" t="s">
        <v>1</v>
      </c>
      <c r="B706" t="s">
        <v>2881</v>
      </c>
      <c r="C706" t="s">
        <v>951</v>
      </c>
    </row>
    <row r="707" spans="1:3" hidden="1">
      <c r="A707" t="s">
        <v>1</v>
      </c>
      <c r="B707" t="s">
        <v>2885</v>
      </c>
      <c r="C707" t="s">
        <v>517</v>
      </c>
    </row>
    <row r="708" spans="1:3" hidden="1">
      <c r="A708" t="s">
        <v>1</v>
      </c>
      <c r="B708" t="s">
        <v>2889</v>
      </c>
      <c r="C708" t="s">
        <v>104</v>
      </c>
    </row>
    <row r="709" spans="1:3" hidden="1">
      <c r="A709" t="s">
        <v>1</v>
      </c>
      <c r="B709" t="s">
        <v>2892</v>
      </c>
      <c r="C709" t="s">
        <v>157</v>
      </c>
    </row>
    <row r="710" spans="1:3" hidden="1">
      <c r="A710" t="s">
        <v>1</v>
      </c>
      <c r="B710" t="s">
        <v>2895</v>
      </c>
      <c r="C710" t="s">
        <v>951</v>
      </c>
    </row>
    <row r="711" spans="1:3" hidden="1">
      <c r="A711" t="s">
        <v>1</v>
      </c>
      <c r="B711" t="s">
        <v>2898</v>
      </c>
      <c r="C711" t="s">
        <v>951</v>
      </c>
    </row>
    <row r="712" spans="1:3" hidden="1">
      <c r="A712" t="s">
        <v>1</v>
      </c>
      <c r="B712" t="s">
        <v>2903</v>
      </c>
      <c r="C712" t="s">
        <v>118</v>
      </c>
    </row>
    <row r="713" spans="1:3" hidden="1">
      <c r="A713" t="s">
        <v>1</v>
      </c>
      <c r="B713" t="s">
        <v>2906</v>
      </c>
      <c r="C713" t="s">
        <v>157</v>
      </c>
    </row>
    <row r="714" spans="1:3" hidden="1">
      <c r="A714" t="s">
        <v>1</v>
      </c>
      <c r="B714" t="s">
        <v>2911</v>
      </c>
      <c r="C714" t="s">
        <v>157</v>
      </c>
    </row>
    <row r="715" spans="1:3" hidden="1">
      <c r="A715" t="s">
        <v>1</v>
      </c>
      <c r="B715" t="s">
        <v>2914</v>
      </c>
      <c r="C715" t="s">
        <v>104</v>
      </c>
    </row>
    <row r="716" spans="1:3" hidden="1">
      <c r="A716" t="s">
        <v>1</v>
      </c>
      <c r="B716" t="s">
        <v>2919</v>
      </c>
      <c r="C716" t="s">
        <v>951</v>
      </c>
    </row>
    <row r="717" spans="1:3" hidden="1">
      <c r="A717" t="s">
        <v>1</v>
      </c>
      <c r="B717" t="s">
        <v>2924</v>
      </c>
      <c r="C717" t="s">
        <v>118</v>
      </c>
    </row>
    <row r="718" spans="1:3" hidden="1">
      <c r="A718" t="s">
        <v>1</v>
      </c>
      <c r="B718" t="s">
        <v>2927</v>
      </c>
      <c r="C718" t="s">
        <v>118</v>
      </c>
    </row>
    <row r="719" spans="1:3" hidden="1">
      <c r="A719" t="s">
        <v>1</v>
      </c>
      <c r="B719" t="s">
        <v>2931</v>
      </c>
      <c r="C719" t="s">
        <v>517</v>
      </c>
    </row>
    <row r="720" spans="1:3" hidden="1">
      <c r="A720" t="s">
        <v>1</v>
      </c>
      <c r="B720" t="s">
        <v>2935</v>
      </c>
      <c r="C720" t="s">
        <v>517</v>
      </c>
    </row>
    <row r="721" spans="1:3" hidden="1">
      <c r="A721" t="s">
        <v>1</v>
      </c>
      <c r="B721" t="s">
        <v>2938</v>
      </c>
      <c r="C721" t="s">
        <v>1133</v>
      </c>
    </row>
    <row r="722" spans="1:3" hidden="1">
      <c r="A722" t="s">
        <v>1</v>
      </c>
      <c r="B722" t="s">
        <v>2943</v>
      </c>
      <c r="C722" t="s">
        <v>1133</v>
      </c>
    </row>
    <row r="723" spans="1:3" hidden="1">
      <c r="A723" t="s">
        <v>1</v>
      </c>
      <c r="B723" t="s">
        <v>2948</v>
      </c>
      <c r="C723" t="s">
        <v>148</v>
      </c>
    </row>
    <row r="724" spans="1:3" hidden="1">
      <c r="A724" t="s">
        <v>1</v>
      </c>
      <c r="B724" t="s">
        <v>2953</v>
      </c>
      <c r="C724" t="s">
        <v>148</v>
      </c>
    </row>
    <row r="725" spans="1:3" hidden="1">
      <c r="A725" t="s">
        <v>1</v>
      </c>
      <c r="B725" t="s">
        <v>2958</v>
      </c>
      <c r="C725" t="s">
        <v>148</v>
      </c>
    </row>
    <row r="726" spans="1:3" hidden="1">
      <c r="A726" t="s">
        <v>1</v>
      </c>
      <c r="B726" t="s">
        <v>2963</v>
      </c>
      <c r="C726" t="s">
        <v>517</v>
      </c>
    </row>
    <row r="727" spans="1:3" hidden="1">
      <c r="A727" t="s">
        <v>1</v>
      </c>
      <c r="B727" t="s">
        <v>2969</v>
      </c>
      <c r="C727" t="s">
        <v>517</v>
      </c>
    </row>
    <row r="728" spans="1:3" hidden="1">
      <c r="A728" t="s">
        <v>1</v>
      </c>
      <c r="B728" t="s">
        <v>2972</v>
      </c>
      <c r="C728" t="s">
        <v>104</v>
      </c>
    </row>
    <row r="729" spans="1:3" hidden="1">
      <c r="A729" t="s">
        <v>1</v>
      </c>
      <c r="B729" t="s">
        <v>2977</v>
      </c>
      <c r="C729" t="s">
        <v>951</v>
      </c>
    </row>
    <row r="730" spans="1:3" hidden="1">
      <c r="A730" t="s">
        <v>1</v>
      </c>
      <c r="B730" t="s">
        <v>2980</v>
      </c>
      <c r="C730" t="s">
        <v>104</v>
      </c>
    </row>
    <row r="731" spans="1:3" hidden="1">
      <c r="A731" t="s">
        <v>1</v>
      </c>
      <c r="B731" t="s">
        <v>2985</v>
      </c>
      <c r="C731" t="s">
        <v>951</v>
      </c>
    </row>
    <row r="732" spans="1:3" hidden="1">
      <c r="A732" t="s">
        <v>1</v>
      </c>
      <c r="B732" t="s">
        <v>2991</v>
      </c>
      <c r="C732" t="s">
        <v>990</v>
      </c>
    </row>
    <row r="733" spans="1:3" hidden="1">
      <c r="A733" t="s">
        <v>1</v>
      </c>
      <c r="B733" t="s">
        <v>2995</v>
      </c>
      <c r="C733" t="s">
        <v>990</v>
      </c>
    </row>
    <row r="734" spans="1:3" hidden="1">
      <c r="A734" t="s">
        <v>1</v>
      </c>
      <c r="B734" t="s">
        <v>2998</v>
      </c>
      <c r="C734" t="s">
        <v>990</v>
      </c>
    </row>
    <row r="735" spans="1:3" hidden="1">
      <c r="A735" t="s">
        <v>1</v>
      </c>
      <c r="B735" t="s">
        <v>3001</v>
      </c>
      <c r="C735" t="s">
        <v>990</v>
      </c>
    </row>
    <row r="736" spans="1:3" hidden="1">
      <c r="A736" t="s">
        <v>1</v>
      </c>
      <c r="B736" t="s">
        <v>3004</v>
      </c>
      <c r="C736" t="s">
        <v>4079</v>
      </c>
    </row>
    <row r="737" spans="1:3" hidden="1">
      <c r="A737" t="s">
        <v>1</v>
      </c>
      <c r="B737" t="s">
        <v>3007</v>
      </c>
      <c r="C737" t="s">
        <v>1133</v>
      </c>
    </row>
    <row r="738" spans="1:3" hidden="1">
      <c r="A738" t="s">
        <v>1</v>
      </c>
      <c r="B738" t="s">
        <v>3012</v>
      </c>
      <c r="C738" t="s">
        <v>266</v>
      </c>
    </row>
    <row r="739" spans="1:3" hidden="1">
      <c r="A739" t="s">
        <v>1</v>
      </c>
      <c r="B739" t="s">
        <v>3015</v>
      </c>
      <c r="C739" t="s">
        <v>4079</v>
      </c>
    </row>
    <row r="740" spans="1:3" hidden="1">
      <c r="A740" t="s">
        <v>1</v>
      </c>
      <c r="B740" t="s">
        <v>3018</v>
      </c>
      <c r="C740" t="s">
        <v>990</v>
      </c>
    </row>
    <row r="741" spans="1:3" hidden="1">
      <c r="A741" t="s">
        <v>1</v>
      </c>
      <c r="B741" t="s">
        <v>3021</v>
      </c>
      <c r="C741" t="s">
        <v>1133</v>
      </c>
    </row>
    <row r="742" spans="1:3" hidden="1">
      <c r="A742" t="s">
        <v>1</v>
      </c>
      <c r="B742" t="s">
        <v>3026</v>
      </c>
      <c r="C742" t="s">
        <v>266</v>
      </c>
    </row>
    <row r="743" spans="1:3" hidden="1">
      <c r="A743" t="s">
        <v>1</v>
      </c>
      <c r="B743" t="s">
        <v>3030</v>
      </c>
      <c r="C743" t="s">
        <v>517</v>
      </c>
    </row>
    <row r="744" spans="1:3" hidden="1">
      <c r="A744" t="s">
        <v>1</v>
      </c>
      <c r="B744" t="s">
        <v>3036</v>
      </c>
      <c r="C744" t="s">
        <v>118</v>
      </c>
    </row>
    <row r="745" spans="1:3" hidden="1">
      <c r="A745" t="s">
        <v>1</v>
      </c>
      <c r="B745" t="s">
        <v>3039</v>
      </c>
      <c r="C745" t="s">
        <v>990</v>
      </c>
    </row>
    <row r="746" spans="1:3" hidden="1">
      <c r="A746" t="s">
        <v>1</v>
      </c>
      <c r="B746" t="s">
        <v>3043</v>
      </c>
      <c r="C746" t="s">
        <v>990</v>
      </c>
    </row>
    <row r="747" spans="1:3" hidden="1">
      <c r="A747" t="s">
        <v>1</v>
      </c>
      <c r="B747" t="s">
        <v>3046</v>
      </c>
      <c r="C747" t="s">
        <v>990</v>
      </c>
    </row>
    <row r="748" spans="1:3" hidden="1">
      <c r="A748" t="s">
        <v>1</v>
      </c>
      <c r="B748" t="s">
        <v>3049</v>
      </c>
      <c r="C748" t="s">
        <v>990</v>
      </c>
    </row>
    <row r="749" spans="1:3" hidden="1">
      <c r="A749" t="s">
        <v>1</v>
      </c>
      <c r="B749" t="s">
        <v>3054</v>
      </c>
      <c r="C749" t="s">
        <v>237</v>
      </c>
    </row>
    <row r="750" spans="1:3" hidden="1">
      <c r="A750" t="s">
        <v>1</v>
      </c>
      <c r="B750" t="s">
        <v>3057</v>
      </c>
      <c r="C750" t="s">
        <v>951</v>
      </c>
    </row>
    <row r="751" spans="1:3" hidden="1">
      <c r="A751" t="s">
        <v>1</v>
      </c>
      <c r="B751" t="s">
        <v>3060</v>
      </c>
      <c r="C751" t="s">
        <v>148</v>
      </c>
    </row>
    <row r="752" spans="1:3" hidden="1">
      <c r="A752" t="s">
        <v>1</v>
      </c>
      <c r="B752" t="s">
        <v>3063</v>
      </c>
      <c r="C752" t="s">
        <v>517</v>
      </c>
    </row>
    <row r="753" spans="1:3" hidden="1">
      <c r="A753" t="s">
        <v>1</v>
      </c>
      <c r="B753" t="s">
        <v>3069</v>
      </c>
      <c r="C753" t="s">
        <v>990</v>
      </c>
    </row>
    <row r="754" spans="1:3" hidden="1">
      <c r="A754" t="s">
        <v>1</v>
      </c>
      <c r="B754" t="s">
        <v>3072</v>
      </c>
      <c r="C754" t="s">
        <v>237</v>
      </c>
    </row>
    <row r="755" spans="1:3" hidden="1">
      <c r="A755" t="s">
        <v>1</v>
      </c>
      <c r="B755" t="s">
        <v>3075</v>
      </c>
      <c r="C755" t="s">
        <v>237</v>
      </c>
    </row>
    <row r="756" spans="1:3" hidden="1">
      <c r="A756" t="s">
        <v>1</v>
      </c>
      <c r="B756" t="s">
        <v>3078</v>
      </c>
      <c r="C756" t="s">
        <v>237</v>
      </c>
    </row>
    <row r="757" spans="1:3" hidden="1">
      <c r="A757" t="s">
        <v>1</v>
      </c>
      <c r="B757" t="s">
        <v>3081</v>
      </c>
      <c r="C757" t="s">
        <v>237</v>
      </c>
    </row>
    <row r="758" spans="1:3" hidden="1">
      <c r="A758" t="s">
        <v>1</v>
      </c>
      <c r="B758" t="s">
        <v>3084</v>
      </c>
      <c r="C758" t="s">
        <v>244</v>
      </c>
    </row>
    <row r="759" spans="1:3" hidden="1">
      <c r="A759" t="s">
        <v>1</v>
      </c>
      <c r="B759" t="s">
        <v>3087</v>
      </c>
      <c r="C759" t="s">
        <v>244</v>
      </c>
    </row>
    <row r="760" spans="1:3" hidden="1">
      <c r="A760" t="s">
        <v>1</v>
      </c>
      <c r="B760" t="s">
        <v>3090</v>
      </c>
      <c r="C760" t="s">
        <v>517</v>
      </c>
    </row>
    <row r="761" spans="1:3" hidden="1">
      <c r="A761" t="s">
        <v>1</v>
      </c>
      <c r="B761" t="s">
        <v>3093</v>
      </c>
      <c r="C761" t="s">
        <v>517</v>
      </c>
    </row>
    <row r="762" spans="1:3" hidden="1">
      <c r="A762" t="s">
        <v>1</v>
      </c>
      <c r="B762" t="s">
        <v>3096</v>
      </c>
      <c r="C762" t="s">
        <v>517</v>
      </c>
    </row>
    <row r="763" spans="1:3" hidden="1">
      <c r="A763" t="s">
        <v>1</v>
      </c>
      <c r="B763" t="s">
        <v>3099</v>
      </c>
      <c r="C763" t="s">
        <v>517</v>
      </c>
    </row>
    <row r="764" spans="1:3" hidden="1">
      <c r="A764" t="s">
        <v>1</v>
      </c>
      <c r="B764" t="s">
        <v>3102</v>
      </c>
      <c r="C764" t="s">
        <v>517</v>
      </c>
    </row>
    <row r="765" spans="1:3" hidden="1">
      <c r="A765" t="s">
        <v>1</v>
      </c>
      <c r="B765" t="s">
        <v>3105</v>
      </c>
      <c r="C765" t="s">
        <v>1133</v>
      </c>
    </row>
    <row r="766" spans="1:3" hidden="1">
      <c r="A766" t="s">
        <v>1</v>
      </c>
      <c r="B766" t="s">
        <v>3108</v>
      </c>
      <c r="C766" t="s">
        <v>1133</v>
      </c>
    </row>
    <row r="767" spans="1:3" hidden="1">
      <c r="A767" t="s">
        <v>1</v>
      </c>
      <c r="B767" t="s">
        <v>3111</v>
      </c>
      <c r="C767" t="s">
        <v>1133</v>
      </c>
    </row>
    <row r="768" spans="1:3" hidden="1">
      <c r="A768" t="s">
        <v>1</v>
      </c>
      <c r="B768" t="s">
        <v>3114</v>
      </c>
      <c r="C768" t="s">
        <v>1133</v>
      </c>
    </row>
    <row r="769" spans="1:3" hidden="1">
      <c r="A769" t="s">
        <v>1</v>
      </c>
      <c r="B769" t="s">
        <v>3117</v>
      </c>
      <c r="C769" t="s">
        <v>148</v>
      </c>
    </row>
    <row r="770" spans="1:3" hidden="1">
      <c r="A770" t="s">
        <v>1</v>
      </c>
      <c r="B770" t="s">
        <v>3120</v>
      </c>
      <c r="C770" t="s">
        <v>1133</v>
      </c>
    </row>
    <row r="771" spans="1:3" hidden="1">
      <c r="A771" t="s">
        <v>1</v>
      </c>
      <c r="B771" t="s">
        <v>3125</v>
      </c>
      <c r="C771" t="s">
        <v>118</v>
      </c>
    </row>
    <row r="772" spans="1:3" hidden="1">
      <c r="A772" t="s">
        <v>1</v>
      </c>
      <c r="B772" t="s">
        <v>3130</v>
      </c>
      <c r="C772" t="s">
        <v>104</v>
      </c>
    </row>
    <row r="773" spans="1:3" hidden="1">
      <c r="A773" t="s">
        <v>1</v>
      </c>
      <c r="B773" t="s">
        <v>3135</v>
      </c>
      <c r="C773" t="s">
        <v>104</v>
      </c>
    </row>
    <row r="774" spans="1:3" hidden="1">
      <c r="A774" t="s">
        <v>1</v>
      </c>
      <c r="B774" t="s">
        <v>3139</v>
      </c>
      <c r="C774" t="s">
        <v>517</v>
      </c>
    </row>
    <row r="775" spans="1:3" hidden="1">
      <c r="A775" t="s">
        <v>1</v>
      </c>
      <c r="B775" t="s">
        <v>3143</v>
      </c>
      <c r="C775" t="s">
        <v>195</v>
      </c>
    </row>
    <row r="776" spans="1:3" hidden="1">
      <c r="A776" t="s">
        <v>1</v>
      </c>
      <c r="B776" t="s">
        <v>3146</v>
      </c>
      <c r="C776" t="s">
        <v>3550</v>
      </c>
    </row>
    <row r="777" spans="1:3" hidden="1">
      <c r="A777" t="s">
        <v>1</v>
      </c>
      <c r="B777" t="s">
        <v>3149</v>
      </c>
      <c r="C777" t="s">
        <v>387</v>
      </c>
    </row>
    <row r="778" spans="1:3" hidden="1">
      <c r="A778" t="s">
        <v>1</v>
      </c>
      <c r="B778" t="s">
        <v>3152</v>
      </c>
      <c r="C778" t="s">
        <v>195</v>
      </c>
    </row>
    <row r="779" spans="1:3" hidden="1">
      <c r="A779" t="s">
        <v>1</v>
      </c>
      <c r="B779" t="s">
        <v>3155</v>
      </c>
      <c r="C779" t="s">
        <v>517</v>
      </c>
    </row>
    <row r="780" spans="1:3" hidden="1">
      <c r="A780" t="s">
        <v>1</v>
      </c>
      <c r="B780" t="s">
        <v>3158</v>
      </c>
      <c r="C780" t="s">
        <v>195</v>
      </c>
    </row>
    <row r="781" spans="1:3" hidden="1">
      <c r="A781" t="s">
        <v>1</v>
      </c>
      <c r="B781" t="s">
        <v>3161</v>
      </c>
      <c r="C781" t="s">
        <v>387</v>
      </c>
    </row>
    <row r="782" spans="1:3" hidden="1">
      <c r="A782" t="s">
        <v>1</v>
      </c>
      <c r="B782" t="s">
        <v>3164</v>
      </c>
      <c r="C782" t="s">
        <v>195</v>
      </c>
    </row>
    <row r="783" spans="1:3" hidden="1">
      <c r="A783" t="s">
        <v>1</v>
      </c>
      <c r="B783" t="s">
        <v>3167</v>
      </c>
      <c r="C783" t="s">
        <v>517</v>
      </c>
    </row>
    <row r="784" spans="1:3" hidden="1">
      <c r="A784" t="s">
        <v>1</v>
      </c>
      <c r="B784" t="s">
        <v>3170</v>
      </c>
      <c r="C784" t="s">
        <v>126</v>
      </c>
    </row>
    <row r="785" spans="1:3" hidden="1">
      <c r="A785" t="s">
        <v>1</v>
      </c>
      <c r="B785" t="s">
        <v>3173</v>
      </c>
      <c r="C785" t="s">
        <v>314</v>
      </c>
    </row>
    <row r="786" spans="1:3" hidden="1">
      <c r="A786" t="s">
        <v>1</v>
      </c>
      <c r="B786" t="s">
        <v>3178</v>
      </c>
      <c r="C786" t="s">
        <v>126</v>
      </c>
    </row>
    <row r="787" spans="1:3" hidden="1">
      <c r="A787" t="s">
        <v>1</v>
      </c>
      <c r="B787" t="s">
        <v>3181</v>
      </c>
      <c r="C787" t="s">
        <v>126</v>
      </c>
    </row>
    <row r="788" spans="1:3" hidden="1">
      <c r="A788" t="s">
        <v>1</v>
      </c>
      <c r="B788" t="s">
        <v>3185</v>
      </c>
      <c r="C788" t="s">
        <v>990</v>
      </c>
    </row>
    <row r="789" spans="1:3" hidden="1">
      <c r="A789" t="s">
        <v>1</v>
      </c>
      <c r="B789" t="s">
        <v>3189</v>
      </c>
      <c r="C789" t="s">
        <v>990</v>
      </c>
    </row>
    <row r="790" spans="1:3" hidden="1">
      <c r="A790" t="s">
        <v>1</v>
      </c>
      <c r="B790" t="s">
        <v>3192</v>
      </c>
      <c r="C790" t="s">
        <v>195</v>
      </c>
    </row>
    <row r="791" spans="1:3" hidden="1">
      <c r="A791" t="s">
        <v>1</v>
      </c>
      <c r="B791" t="s">
        <v>3195</v>
      </c>
      <c r="C791" t="s">
        <v>1316</v>
      </c>
    </row>
    <row r="792" spans="1:3" hidden="1">
      <c r="A792" t="s">
        <v>1</v>
      </c>
      <c r="B792" t="s">
        <v>3198</v>
      </c>
      <c r="C792" t="s">
        <v>195</v>
      </c>
    </row>
    <row r="793" spans="1:3" hidden="1">
      <c r="A793" t="s">
        <v>1</v>
      </c>
      <c r="B793" t="s">
        <v>3201</v>
      </c>
      <c r="C793" t="s">
        <v>1316</v>
      </c>
    </row>
    <row r="794" spans="1:3" hidden="1">
      <c r="A794" t="s">
        <v>1</v>
      </c>
      <c r="B794" t="s">
        <v>3204</v>
      </c>
      <c r="C794" t="s">
        <v>118</v>
      </c>
    </row>
    <row r="795" spans="1:3" hidden="1">
      <c r="A795" t="s">
        <v>1</v>
      </c>
      <c r="B795" t="s">
        <v>3207</v>
      </c>
      <c r="C795" t="s">
        <v>990</v>
      </c>
    </row>
    <row r="796" spans="1:3" hidden="1">
      <c r="A796" t="s">
        <v>1</v>
      </c>
      <c r="B796" t="s">
        <v>3210</v>
      </c>
      <c r="C796" t="s">
        <v>195</v>
      </c>
    </row>
    <row r="797" spans="1:3" hidden="1">
      <c r="A797" t="s">
        <v>1</v>
      </c>
      <c r="B797" t="s">
        <v>3213</v>
      </c>
      <c r="C797" t="s">
        <v>195</v>
      </c>
    </row>
    <row r="798" spans="1:3" hidden="1">
      <c r="A798" t="s">
        <v>1</v>
      </c>
      <c r="B798" t="s">
        <v>3216</v>
      </c>
      <c r="C798" t="s">
        <v>195</v>
      </c>
    </row>
    <row r="799" spans="1:3" hidden="1">
      <c r="A799" t="s">
        <v>1</v>
      </c>
      <c r="B799" t="s">
        <v>3219</v>
      </c>
      <c r="C799" t="s">
        <v>1316</v>
      </c>
    </row>
    <row r="800" spans="1:3" hidden="1">
      <c r="A800" t="s">
        <v>1</v>
      </c>
      <c r="B800" t="s">
        <v>3222</v>
      </c>
      <c r="C800" t="s">
        <v>1316</v>
      </c>
    </row>
    <row r="801" spans="1:3" hidden="1">
      <c r="A801" t="s">
        <v>1</v>
      </c>
      <c r="B801" t="s">
        <v>3225</v>
      </c>
      <c r="C801" t="s">
        <v>517</v>
      </c>
    </row>
    <row r="802" spans="1:3" hidden="1">
      <c r="A802" t="s">
        <v>1</v>
      </c>
      <c r="B802" t="s">
        <v>3228</v>
      </c>
      <c r="C802" t="s">
        <v>118</v>
      </c>
    </row>
    <row r="803" spans="1:3" hidden="1">
      <c r="A803" t="s">
        <v>1</v>
      </c>
      <c r="B803" t="s">
        <v>3232</v>
      </c>
      <c r="C803" t="s">
        <v>118</v>
      </c>
    </row>
    <row r="804" spans="1:3" hidden="1">
      <c r="A804" t="s">
        <v>1</v>
      </c>
      <c r="B804" t="s">
        <v>3238</v>
      </c>
      <c r="C804" t="s">
        <v>118</v>
      </c>
    </row>
    <row r="805" spans="1:3" hidden="1">
      <c r="A805" t="s">
        <v>1</v>
      </c>
      <c r="B805" t="s">
        <v>3242</v>
      </c>
    </row>
    <row r="806" spans="1:3" hidden="1">
      <c r="A806" t="s">
        <v>1</v>
      </c>
      <c r="B806" t="s">
        <v>3246</v>
      </c>
    </row>
    <row r="807" spans="1:3" hidden="1">
      <c r="A807" t="s">
        <v>1</v>
      </c>
      <c r="B807" t="s">
        <v>3249</v>
      </c>
    </row>
    <row r="808" spans="1:3" hidden="1">
      <c r="A808" t="s">
        <v>1</v>
      </c>
      <c r="B808" t="s">
        <v>3252</v>
      </c>
    </row>
    <row r="809" spans="1:3" hidden="1">
      <c r="A809" t="s">
        <v>1</v>
      </c>
      <c r="B809" t="s">
        <v>3255</v>
      </c>
    </row>
    <row r="810" spans="1:3" hidden="1">
      <c r="A810" t="s">
        <v>1</v>
      </c>
      <c r="B810" t="s">
        <v>3258</v>
      </c>
    </row>
    <row r="811" spans="1:3" hidden="1">
      <c r="A811" t="s">
        <v>1</v>
      </c>
      <c r="B811" t="s">
        <v>3261</v>
      </c>
    </row>
    <row r="812" spans="1:3" hidden="1">
      <c r="A812" t="s">
        <v>1</v>
      </c>
      <c r="B812" t="s">
        <v>3264</v>
      </c>
    </row>
    <row r="813" spans="1:3" hidden="1">
      <c r="A813" t="s">
        <v>1</v>
      </c>
      <c r="B813" t="s">
        <v>3267</v>
      </c>
    </row>
    <row r="814" spans="1:3" hidden="1">
      <c r="A814" t="s">
        <v>1</v>
      </c>
      <c r="B814" t="s">
        <v>3270</v>
      </c>
    </row>
    <row r="815" spans="1:3" hidden="1">
      <c r="A815" t="s">
        <v>1</v>
      </c>
      <c r="B815" t="s">
        <v>3273</v>
      </c>
    </row>
    <row r="816" spans="1:3" hidden="1">
      <c r="A816" t="s">
        <v>1</v>
      </c>
      <c r="B816" t="s">
        <v>3276</v>
      </c>
    </row>
    <row r="817" spans="1:2" hidden="1">
      <c r="A817" t="s">
        <v>1</v>
      </c>
      <c r="B817" t="s">
        <v>3279</v>
      </c>
    </row>
    <row r="818" spans="1:2" hidden="1">
      <c r="A818" t="s">
        <v>1</v>
      </c>
      <c r="B818" t="s">
        <v>3282</v>
      </c>
    </row>
    <row r="819" spans="1:2" hidden="1">
      <c r="A819" t="s">
        <v>1</v>
      </c>
      <c r="B819" t="s">
        <v>3285</v>
      </c>
    </row>
    <row r="820" spans="1:2" hidden="1">
      <c r="A820" t="s">
        <v>1</v>
      </c>
      <c r="B820" t="s">
        <v>3288</v>
      </c>
    </row>
    <row r="821" spans="1:2" hidden="1">
      <c r="A821" t="s">
        <v>1</v>
      </c>
      <c r="B821" t="s">
        <v>3291</v>
      </c>
    </row>
    <row r="822" spans="1:2" hidden="1">
      <c r="A822" t="s">
        <v>1</v>
      </c>
      <c r="B822" t="s">
        <v>3295</v>
      </c>
    </row>
    <row r="823" spans="1:2" hidden="1">
      <c r="A823" t="s">
        <v>1</v>
      </c>
      <c r="B823" t="s">
        <v>3301</v>
      </c>
    </row>
    <row r="824" spans="1:2" hidden="1">
      <c r="A824" t="s">
        <v>1</v>
      </c>
      <c r="B824" t="s">
        <v>3306</v>
      </c>
    </row>
    <row r="825" spans="1:2" hidden="1">
      <c r="A825" t="s">
        <v>1</v>
      </c>
      <c r="B825" t="s">
        <v>3309</v>
      </c>
    </row>
    <row r="826" spans="1:2" hidden="1">
      <c r="A826" t="s">
        <v>1</v>
      </c>
      <c r="B826" t="s">
        <v>3314</v>
      </c>
    </row>
    <row r="827" spans="1:2" hidden="1">
      <c r="A827" t="s">
        <v>1</v>
      </c>
      <c r="B827" t="s">
        <v>3319</v>
      </c>
    </row>
    <row r="828" spans="1:2" hidden="1">
      <c r="A828" t="s">
        <v>1</v>
      </c>
      <c r="B828" t="s">
        <v>3322</v>
      </c>
    </row>
    <row r="829" spans="1:2" hidden="1">
      <c r="A829" t="s">
        <v>1</v>
      </c>
      <c r="B829" t="s">
        <v>3327</v>
      </c>
    </row>
    <row r="830" spans="1:2" hidden="1">
      <c r="A830" t="s">
        <v>1</v>
      </c>
      <c r="B830" t="s">
        <v>3332</v>
      </c>
    </row>
    <row r="831" spans="1:2" hidden="1">
      <c r="A831" t="s">
        <v>1</v>
      </c>
      <c r="B831" t="s">
        <v>3336</v>
      </c>
    </row>
    <row r="832" spans="1:2" hidden="1">
      <c r="A832" t="s">
        <v>1</v>
      </c>
      <c r="B832" t="s">
        <v>3340</v>
      </c>
    </row>
    <row r="833" spans="1:2" hidden="1">
      <c r="A833" t="s">
        <v>1</v>
      </c>
      <c r="B833" t="s">
        <v>3343</v>
      </c>
    </row>
    <row r="834" spans="1:2" hidden="1">
      <c r="A834" t="s">
        <v>1</v>
      </c>
      <c r="B834" t="s">
        <v>3346</v>
      </c>
    </row>
    <row r="835" spans="1:2" hidden="1">
      <c r="A835" t="s">
        <v>1</v>
      </c>
      <c r="B835" t="s">
        <v>3349</v>
      </c>
    </row>
    <row r="836" spans="1:2" hidden="1">
      <c r="A836" t="s">
        <v>1</v>
      </c>
      <c r="B836" t="s">
        <v>3352</v>
      </c>
    </row>
    <row r="837" spans="1:2" hidden="1">
      <c r="A837" t="s">
        <v>1</v>
      </c>
      <c r="B837" t="s">
        <v>3355</v>
      </c>
    </row>
    <row r="838" spans="1:2" hidden="1">
      <c r="A838" t="s">
        <v>1</v>
      </c>
      <c r="B838" t="s">
        <v>3358</v>
      </c>
    </row>
    <row r="839" spans="1:2" hidden="1">
      <c r="A839" t="s">
        <v>1</v>
      </c>
      <c r="B839" t="s">
        <v>3361</v>
      </c>
    </row>
    <row r="840" spans="1:2" hidden="1">
      <c r="A840" t="s">
        <v>1</v>
      </c>
      <c r="B840" t="s">
        <v>3364</v>
      </c>
    </row>
    <row r="841" spans="1:2" hidden="1">
      <c r="A841" t="s">
        <v>1</v>
      </c>
      <c r="B841" t="s">
        <v>3369</v>
      </c>
    </row>
    <row r="842" spans="1:2" hidden="1">
      <c r="A842" t="s">
        <v>1</v>
      </c>
      <c r="B842" t="s">
        <v>3372</v>
      </c>
    </row>
    <row r="843" spans="1:2" hidden="1">
      <c r="A843" t="s">
        <v>1</v>
      </c>
      <c r="B843" t="s">
        <v>3375</v>
      </c>
    </row>
    <row r="844" spans="1:2" hidden="1">
      <c r="A844" t="s">
        <v>1</v>
      </c>
      <c r="B844" t="s">
        <v>3378</v>
      </c>
    </row>
    <row r="845" spans="1:2" hidden="1">
      <c r="A845" t="s">
        <v>1</v>
      </c>
      <c r="B845" t="s">
        <v>3381</v>
      </c>
    </row>
    <row r="846" spans="1:2" hidden="1">
      <c r="A846" t="s">
        <v>1</v>
      </c>
      <c r="B846" t="s">
        <v>3384</v>
      </c>
    </row>
    <row r="847" spans="1:2" hidden="1">
      <c r="A847" t="s">
        <v>1</v>
      </c>
      <c r="B847" t="s">
        <v>3387</v>
      </c>
    </row>
    <row r="848" spans="1:2" hidden="1">
      <c r="A848" t="s">
        <v>1</v>
      </c>
      <c r="B848" t="s">
        <v>3390</v>
      </c>
    </row>
    <row r="849" spans="1:2" hidden="1">
      <c r="A849" t="s">
        <v>1</v>
      </c>
      <c r="B849" t="s">
        <v>3393</v>
      </c>
    </row>
    <row r="850" spans="1:2" hidden="1">
      <c r="A850" t="s">
        <v>1</v>
      </c>
      <c r="B850" t="s">
        <v>3398</v>
      </c>
    </row>
    <row r="851" spans="1:2" hidden="1">
      <c r="A851" t="s">
        <v>1</v>
      </c>
      <c r="B851" t="s">
        <v>3403</v>
      </c>
    </row>
    <row r="852" spans="1:2" hidden="1">
      <c r="A852" t="s">
        <v>1</v>
      </c>
      <c r="B852" t="s">
        <v>3407</v>
      </c>
    </row>
    <row r="853" spans="1:2" hidden="1">
      <c r="A853" t="s">
        <v>1</v>
      </c>
      <c r="B853" t="s">
        <v>3411</v>
      </c>
    </row>
    <row r="854" spans="1:2" hidden="1">
      <c r="A854" t="s">
        <v>1</v>
      </c>
      <c r="B854" t="s">
        <v>3414</v>
      </c>
    </row>
    <row r="855" spans="1:2" hidden="1">
      <c r="A855" t="s">
        <v>1</v>
      </c>
      <c r="B855" t="s">
        <v>3417</v>
      </c>
    </row>
    <row r="856" spans="1:2" hidden="1">
      <c r="A856" t="s">
        <v>1</v>
      </c>
      <c r="B856" t="s">
        <v>3422</v>
      </c>
    </row>
    <row r="857" spans="1:2" hidden="1">
      <c r="A857" t="s">
        <v>1</v>
      </c>
      <c r="B857" t="s">
        <v>3425</v>
      </c>
    </row>
    <row r="858" spans="1:2" hidden="1">
      <c r="A858" t="s">
        <v>1</v>
      </c>
      <c r="B858" t="s">
        <v>3430</v>
      </c>
    </row>
    <row r="859" spans="1:2" hidden="1">
      <c r="A859" t="s">
        <v>1</v>
      </c>
      <c r="B859" t="s">
        <v>3433</v>
      </c>
    </row>
    <row r="860" spans="1:2" hidden="1">
      <c r="A860" t="s">
        <v>1</v>
      </c>
      <c r="B860" t="s">
        <v>3436</v>
      </c>
    </row>
    <row r="861" spans="1:2" hidden="1">
      <c r="A861" t="s">
        <v>1</v>
      </c>
      <c r="B861" t="s">
        <v>3441</v>
      </c>
    </row>
    <row r="862" spans="1:2" hidden="1">
      <c r="A862" t="s">
        <v>1</v>
      </c>
      <c r="B862" t="s">
        <v>3447</v>
      </c>
    </row>
    <row r="863" spans="1:2" hidden="1">
      <c r="A863" t="s">
        <v>1</v>
      </c>
      <c r="B863" t="s">
        <v>3454</v>
      </c>
    </row>
    <row r="864" spans="1:2" hidden="1">
      <c r="A864" t="s">
        <v>1</v>
      </c>
      <c r="B864" t="s">
        <v>3458</v>
      </c>
    </row>
    <row r="865" spans="1:2" hidden="1">
      <c r="A865" t="s">
        <v>1</v>
      </c>
      <c r="B865" t="s">
        <v>3461</v>
      </c>
    </row>
    <row r="866" spans="1:2" hidden="1">
      <c r="A866" t="s">
        <v>1</v>
      </c>
      <c r="B866" t="s">
        <v>3464</v>
      </c>
    </row>
    <row r="867" spans="1:2" hidden="1">
      <c r="A867" t="s">
        <v>1</v>
      </c>
      <c r="B867" t="s">
        <v>3467</v>
      </c>
    </row>
    <row r="868" spans="1:2" hidden="1">
      <c r="A868" t="s">
        <v>1</v>
      </c>
      <c r="B868" t="s">
        <v>3471</v>
      </c>
    </row>
    <row r="869" spans="1:2" hidden="1">
      <c r="A869" t="s">
        <v>1</v>
      </c>
      <c r="B869" t="s">
        <v>3477</v>
      </c>
    </row>
    <row r="870" spans="1:2" hidden="1">
      <c r="A870" t="s">
        <v>1</v>
      </c>
      <c r="B870" t="s">
        <v>3480</v>
      </c>
    </row>
    <row r="871" spans="1:2" hidden="1">
      <c r="A871" t="s">
        <v>1</v>
      </c>
      <c r="B871" t="s">
        <v>3484</v>
      </c>
    </row>
    <row r="872" spans="1:2" hidden="1">
      <c r="A872" t="s">
        <v>1</v>
      </c>
      <c r="B872" t="s">
        <v>3488</v>
      </c>
    </row>
    <row r="873" spans="1:2" hidden="1">
      <c r="A873" t="s">
        <v>1</v>
      </c>
      <c r="B873" t="s">
        <v>3491</v>
      </c>
    </row>
    <row r="874" spans="1:2" hidden="1">
      <c r="A874" t="s">
        <v>1</v>
      </c>
      <c r="B874" t="s">
        <v>3494</v>
      </c>
    </row>
    <row r="875" spans="1:2" hidden="1">
      <c r="A875" t="s">
        <v>1</v>
      </c>
      <c r="B875" t="s">
        <v>3498</v>
      </c>
    </row>
    <row r="876" spans="1:2" hidden="1">
      <c r="A876" t="s">
        <v>1</v>
      </c>
      <c r="B876" t="s">
        <v>3502</v>
      </c>
    </row>
    <row r="877" spans="1:2" hidden="1">
      <c r="A877" t="s">
        <v>1</v>
      </c>
      <c r="B877" t="s">
        <v>3505</v>
      </c>
    </row>
    <row r="878" spans="1:2" hidden="1">
      <c r="A878" t="s">
        <v>1</v>
      </c>
      <c r="B878" t="s">
        <v>3511</v>
      </c>
    </row>
    <row r="879" spans="1:2" hidden="1">
      <c r="A879" t="s">
        <v>1</v>
      </c>
      <c r="B879" t="s">
        <v>3516</v>
      </c>
    </row>
    <row r="880" spans="1:2" hidden="1">
      <c r="A880" t="s">
        <v>1</v>
      </c>
      <c r="B880" t="s">
        <v>3520</v>
      </c>
    </row>
    <row r="881" spans="1:2" hidden="1">
      <c r="A881" t="s">
        <v>1</v>
      </c>
      <c r="B881" t="s">
        <v>3525</v>
      </c>
    </row>
    <row r="882" spans="1:2" hidden="1">
      <c r="A882" t="s">
        <v>1</v>
      </c>
      <c r="B882" t="s">
        <v>3528</v>
      </c>
    </row>
    <row r="883" spans="1:2" hidden="1">
      <c r="A883" t="s">
        <v>1</v>
      </c>
      <c r="B883" t="s">
        <v>3534</v>
      </c>
    </row>
    <row r="884" spans="1:2" hidden="1">
      <c r="A884" t="s">
        <v>1</v>
      </c>
      <c r="B884" t="s">
        <v>3538</v>
      </c>
    </row>
    <row r="885" spans="1:2" hidden="1">
      <c r="A885" t="s">
        <v>1</v>
      </c>
      <c r="B885" t="s">
        <v>3541</v>
      </c>
    </row>
    <row r="886" spans="1:2" hidden="1">
      <c r="A886" t="s">
        <v>1</v>
      </c>
      <c r="B886" t="s">
        <v>3546</v>
      </c>
    </row>
    <row r="887" spans="1:2" hidden="1">
      <c r="A887" t="s">
        <v>1</v>
      </c>
      <c r="B887" t="s">
        <v>3552</v>
      </c>
    </row>
    <row r="888" spans="1:2" hidden="1">
      <c r="A888" t="s">
        <v>1</v>
      </c>
      <c r="B888" t="s">
        <v>3555</v>
      </c>
    </row>
    <row r="889" spans="1:2" hidden="1">
      <c r="A889" t="s">
        <v>1</v>
      </c>
      <c r="B889" t="s">
        <v>3558</v>
      </c>
    </row>
    <row r="890" spans="1:2" hidden="1">
      <c r="A890" t="s">
        <v>1</v>
      </c>
      <c r="B890" t="s">
        <v>3561</v>
      </c>
    </row>
    <row r="891" spans="1:2" hidden="1">
      <c r="A891" t="s">
        <v>1</v>
      </c>
      <c r="B891" t="s">
        <v>3564</v>
      </c>
    </row>
    <row r="892" spans="1:2" hidden="1">
      <c r="A892" t="s">
        <v>1</v>
      </c>
      <c r="B892" t="s">
        <v>3567</v>
      </c>
    </row>
    <row r="893" spans="1:2" hidden="1">
      <c r="A893" t="s">
        <v>1</v>
      </c>
      <c r="B893" t="s">
        <v>3570</v>
      </c>
    </row>
    <row r="894" spans="1:2" hidden="1">
      <c r="A894" t="s">
        <v>1</v>
      </c>
      <c r="B894" t="s">
        <v>3573</v>
      </c>
    </row>
    <row r="895" spans="1:2" hidden="1">
      <c r="A895" t="s">
        <v>1</v>
      </c>
      <c r="B895" t="s">
        <v>3578</v>
      </c>
    </row>
    <row r="896" spans="1:2" hidden="1">
      <c r="A896" t="s">
        <v>1</v>
      </c>
      <c r="B896" t="s">
        <v>3584</v>
      </c>
    </row>
    <row r="897" spans="1:2" hidden="1">
      <c r="A897" t="s">
        <v>1</v>
      </c>
      <c r="B897" t="s">
        <v>3588</v>
      </c>
    </row>
    <row r="898" spans="1:2" hidden="1">
      <c r="A898" t="s">
        <v>1</v>
      </c>
      <c r="B898" t="s">
        <v>3591</v>
      </c>
    </row>
    <row r="899" spans="1:2" hidden="1">
      <c r="A899" t="s">
        <v>1</v>
      </c>
      <c r="B899" t="s">
        <v>3594</v>
      </c>
    </row>
    <row r="900" spans="1:2" hidden="1">
      <c r="A900" t="s">
        <v>1</v>
      </c>
      <c r="B900" t="s">
        <v>3597</v>
      </c>
    </row>
    <row r="901" spans="1:2" hidden="1">
      <c r="A901" t="s">
        <v>1</v>
      </c>
      <c r="B901" t="s">
        <v>3602</v>
      </c>
    </row>
    <row r="902" spans="1:2" hidden="1">
      <c r="A902" t="s">
        <v>1</v>
      </c>
      <c r="B902" t="s">
        <v>3605</v>
      </c>
    </row>
    <row r="903" spans="1:2" hidden="1">
      <c r="A903" t="s">
        <v>1</v>
      </c>
      <c r="B903" t="s">
        <v>3608</v>
      </c>
    </row>
    <row r="904" spans="1:2" hidden="1">
      <c r="A904" t="s">
        <v>1</v>
      </c>
      <c r="B904" t="s">
        <v>3611</v>
      </c>
    </row>
    <row r="905" spans="1:2" hidden="1">
      <c r="A905" t="s">
        <v>1</v>
      </c>
      <c r="B905" t="s">
        <v>3614</v>
      </c>
    </row>
    <row r="906" spans="1:2" hidden="1">
      <c r="A906" t="s">
        <v>1</v>
      </c>
      <c r="B906" t="s">
        <v>3620</v>
      </c>
    </row>
    <row r="907" spans="1:2" hidden="1">
      <c r="A907" t="s">
        <v>1</v>
      </c>
      <c r="B907" t="s">
        <v>3626</v>
      </c>
    </row>
    <row r="908" spans="1:2" hidden="1">
      <c r="A908" t="s">
        <v>1</v>
      </c>
      <c r="B908" t="s">
        <v>3632</v>
      </c>
    </row>
    <row r="909" spans="1:2" hidden="1">
      <c r="A909" t="s">
        <v>1</v>
      </c>
      <c r="B909" t="s">
        <v>3637</v>
      </c>
    </row>
    <row r="910" spans="1:2" hidden="1">
      <c r="A910" t="s">
        <v>1</v>
      </c>
      <c r="B910" t="s">
        <v>3643</v>
      </c>
    </row>
    <row r="911" spans="1:2" hidden="1">
      <c r="A911" t="s">
        <v>1</v>
      </c>
      <c r="B911" t="s">
        <v>3646</v>
      </c>
    </row>
    <row r="912" spans="1:2" hidden="1">
      <c r="A912" t="s">
        <v>1</v>
      </c>
      <c r="B912" t="s">
        <v>3650</v>
      </c>
    </row>
    <row r="913" spans="1:2" hidden="1">
      <c r="A913" t="s">
        <v>1</v>
      </c>
      <c r="B913" t="s">
        <v>3654</v>
      </c>
    </row>
    <row r="914" spans="1:2" hidden="1">
      <c r="A914" t="s">
        <v>1</v>
      </c>
      <c r="B914" t="s">
        <v>3657</v>
      </c>
    </row>
    <row r="915" spans="1:2" hidden="1">
      <c r="A915" t="s">
        <v>1</v>
      </c>
      <c r="B915" t="s">
        <v>3661</v>
      </c>
    </row>
    <row r="916" spans="1:2" hidden="1">
      <c r="A916" t="s">
        <v>1</v>
      </c>
      <c r="B916" t="s">
        <v>3665</v>
      </c>
    </row>
    <row r="917" spans="1:2" hidden="1">
      <c r="A917" t="s">
        <v>1</v>
      </c>
      <c r="B917" t="s">
        <v>3668</v>
      </c>
    </row>
    <row r="918" spans="1:2" hidden="1">
      <c r="A918" t="s">
        <v>1</v>
      </c>
      <c r="B918" t="s">
        <v>3671</v>
      </c>
    </row>
    <row r="919" spans="1:2" hidden="1">
      <c r="A919" t="s">
        <v>1</v>
      </c>
      <c r="B919" t="s">
        <v>3675</v>
      </c>
    </row>
    <row r="920" spans="1:2" hidden="1">
      <c r="A920" t="s">
        <v>1</v>
      </c>
      <c r="B920" t="s">
        <v>3680</v>
      </c>
    </row>
    <row r="921" spans="1:2" hidden="1">
      <c r="A921" t="s">
        <v>1</v>
      </c>
      <c r="B921" t="s">
        <v>3684</v>
      </c>
    </row>
    <row r="922" spans="1:2" hidden="1">
      <c r="A922" t="s">
        <v>1</v>
      </c>
      <c r="B922" t="s">
        <v>3687</v>
      </c>
    </row>
    <row r="923" spans="1:2" hidden="1">
      <c r="A923" t="s">
        <v>1</v>
      </c>
      <c r="B923" t="s">
        <v>3690</v>
      </c>
    </row>
    <row r="924" spans="1:2" hidden="1">
      <c r="A924" t="s">
        <v>1</v>
      </c>
      <c r="B924" t="s">
        <v>3693</v>
      </c>
    </row>
    <row r="925" spans="1:2" hidden="1">
      <c r="A925" t="s">
        <v>1</v>
      </c>
      <c r="B925" t="s">
        <v>3696</v>
      </c>
    </row>
    <row r="926" spans="1:2" hidden="1">
      <c r="A926" t="s">
        <v>1</v>
      </c>
      <c r="B926" t="s">
        <v>3699</v>
      </c>
    </row>
    <row r="927" spans="1:2" hidden="1">
      <c r="A927" t="s">
        <v>1</v>
      </c>
      <c r="B927" t="s">
        <v>3702</v>
      </c>
    </row>
    <row r="928" spans="1:2" hidden="1">
      <c r="A928" t="s">
        <v>1</v>
      </c>
      <c r="B928" t="s">
        <v>3705</v>
      </c>
    </row>
    <row r="929" spans="1:2" hidden="1">
      <c r="A929" t="s">
        <v>1</v>
      </c>
      <c r="B929" t="s">
        <v>3708</v>
      </c>
    </row>
    <row r="930" spans="1:2" hidden="1">
      <c r="A930" t="s">
        <v>1</v>
      </c>
      <c r="B930" t="s">
        <v>3711</v>
      </c>
    </row>
    <row r="931" spans="1:2" hidden="1">
      <c r="A931" t="s">
        <v>1</v>
      </c>
      <c r="B931" t="s">
        <v>3714</v>
      </c>
    </row>
    <row r="932" spans="1:2" hidden="1">
      <c r="A932" t="s">
        <v>1</v>
      </c>
      <c r="B932" t="s">
        <v>3717</v>
      </c>
    </row>
    <row r="933" spans="1:2" hidden="1">
      <c r="A933" t="s">
        <v>1</v>
      </c>
      <c r="B933" t="s">
        <v>3721</v>
      </c>
    </row>
    <row r="934" spans="1:2" hidden="1">
      <c r="A934" t="s">
        <v>1</v>
      </c>
      <c r="B934" t="s">
        <v>3725</v>
      </c>
    </row>
    <row r="935" spans="1:2" hidden="1">
      <c r="A935" t="s">
        <v>1</v>
      </c>
      <c r="B935" t="s">
        <v>3728</v>
      </c>
    </row>
    <row r="936" spans="1:2" hidden="1">
      <c r="A936" t="s">
        <v>1</v>
      </c>
      <c r="B936" t="s">
        <v>3731</v>
      </c>
    </row>
    <row r="937" spans="1:2" hidden="1">
      <c r="A937" t="s">
        <v>1</v>
      </c>
      <c r="B937" t="s">
        <v>3734</v>
      </c>
    </row>
    <row r="938" spans="1:2" hidden="1">
      <c r="A938" t="s">
        <v>1</v>
      </c>
      <c r="B938" t="s">
        <v>3737</v>
      </c>
    </row>
    <row r="939" spans="1:2" hidden="1">
      <c r="A939" t="s">
        <v>1</v>
      </c>
      <c r="B939" t="s">
        <v>3741</v>
      </c>
    </row>
    <row r="940" spans="1:2" hidden="1">
      <c r="A940" t="s">
        <v>1</v>
      </c>
      <c r="B940" t="s">
        <v>3745</v>
      </c>
    </row>
    <row r="941" spans="1:2" hidden="1">
      <c r="A941" t="s">
        <v>1</v>
      </c>
      <c r="B941" t="s">
        <v>3750</v>
      </c>
    </row>
    <row r="942" spans="1:2" hidden="1">
      <c r="A942" t="s">
        <v>1</v>
      </c>
      <c r="B942" t="s">
        <v>3755</v>
      </c>
    </row>
    <row r="943" spans="1:2" hidden="1">
      <c r="A943" t="s">
        <v>1</v>
      </c>
      <c r="B943" t="s">
        <v>3761</v>
      </c>
    </row>
    <row r="944" spans="1:2" hidden="1">
      <c r="A944" t="s">
        <v>1</v>
      </c>
      <c r="B944" t="s">
        <v>3765</v>
      </c>
    </row>
    <row r="945" spans="1:2" hidden="1">
      <c r="A945" t="s">
        <v>1</v>
      </c>
      <c r="B945" t="s">
        <v>3768</v>
      </c>
    </row>
    <row r="946" spans="1:2" hidden="1">
      <c r="A946" t="s">
        <v>1</v>
      </c>
      <c r="B946" t="s">
        <v>3771</v>
      </c>
    </row>
    <row r="947" spans="1:2" hidden="1">
      <c r="A947" t="s">
        <v>1</v>
      </c>
      <c r="B947" t="s">
        <v>3775</v>
      </c>
    </row>
    <row r="948" spans="1:2" hidden="1">
      <c r="A948" t="s">
        <v>1</v>
      </c>
      <c r="B948" t="s">
        <v>3783</v>
      </c>
    </row>
    <row r="949" spans="1:2" hidden="1">
      <c r="A949" t="s">
        <v>1</v>
      </c>
      <c r="B949" t="s">
        <v>3790</v>
      </c>
    </row>
    <row r="950" spans="1:2" hidden="1">
      <c r="A950" t="s">
        <v>1</v>
      </c>
      <c r="B950" t="s">
        <v>3795</v>
      </c>
    </row>
    <row r="951" spans="1:2" hidden="1">
      <c r="A951" t="s">
        <v>1</v>
      </c>
      <c r="B951" t="s">
        <v>3800</v>
      </c>
    </row>
    <row r="952" spans="1:2" hidden="1">
      <c r="A952" t="s">
        <v>1</v>
      </c>
      <c r="B952" t="s">
        <v>3804</v>
      </c>
    </row>
    <row r="953" spans="1:2" hidden="1">
      <c r="A953" t="s">
        <v>1</v>
      </c>
      <c r="B953" t="s">
        <v>3807</v>
      </c>
    </row>
    <row r="954" spans="1:2" hidden="1">
      <c r="A954" t="s">
        <v>1</v>
      </c>
      <c r="B954" t="s">
        <v>3810</v>
      </c>
    </row>
    <row r="955" spans="1:2" hidden="1">
      <c r="A955" t="s">
        <v>1</v>
      </c>
      <c r="B955" t="s">
        <v>3814</v>
      </c>
    </row>
    <row r="956" spans="1:2" hidden="1">
      <c r="A956" t="s">
        <v>1</v>
      </c>
      <c r="B956" t="s">
        <v>3820</v>
      </c>
    </row>
    <row r="957" spans="1:2" hidden="1">
      <c r="A957" t="s">
        <v>1</v>
      </c>
      <c r="B957" t="s">
        <v>3823</v>
      </c>
    </row>
    <row r="958" spans="1:2" hidden="1">
      <c r="A958" t="s">
        <v>1</v>
      </c>
      <c r="B958" t="s">
        <v>3826</v>
      </c>
    </row>
    <row r="959" spans="1:2" hidden="1">
      <c r="A959" t="s">
        <v>1</v>
      </c>
      <c r="B959" t="s">
        <v>3829</v>
      </c>
    </row>
    <row r="960" spans="1:2" hidden="1">
      <c r="A960" t="s">
        <v>1</v>
      </c>
      <c r="B960" t="s">
        <v>3832</v>
      </c>
    </row>
    <row r="961" spans="1:2" hidden="1">
      <c r="A961" t="s">
        <v>1</v>
      </c>
      <c r="B961" t="s">
        <v>3838</v>
      </c>
    </row>
    <row r="962" spans="1:2" hidden="1">
      <c r="A962" t="s">
        <v>1</v>
      </c>
      <c r="B962" t="s">
        <v>3845</v>
      </c>
    </row>
    <row r="963" spans="1:2" hidden="1">
      <c r="A963" t="s">
        <v>1</v>
      </c>
      <c r="B963" t="s">
        <v>3850</v>
      </c>
    </row>
    <row r="964" spans="1:2" hidden="1">
      <c r="A964" t="s">
        <v>1</v>
      </c>
      <c r="B964" t="s">
        <v>3854</v>
      </c>
    </row>
    <row r="965" spans="1:2" hidden="1">
      <c r="A965" t="s">
        <v>1</v>
      </c>
      <c r="B965" t="s">
        <v>3857</v>
      </c>
    </row>
    <row r="966" spans="1:2" hidden="1">
      <c r="A966" t="s">
        <v>1</v>
      </c>
      <c r="B966" t="s">
        <v>3860</v>
      </c>
    </row>
    <row r="967" spans="1:2" hidden="1">
      <c r="A967" t="s">
        <v>1</v>
      </c>
      <c r="B967" t="s">
        <v>3863</v>
      </c>
    </row>
    <row r="968" spans="1:2" hidden="1">
      <c r="A968" t="s">
        <v>1</v>
      </c>
      <c r="B968" t="s">
        <v>3867</v>
      </c>
    </row>
    <row r="969" spans="1:2" hidden="1">
      <c r="A969" t="s">
        <v>1</v>
      </c>
      <c r="B969" t="s">
        <v>3872</v>
      </c>
    </row>
    <row r="970" spans="1:2" hidden="1">
      <c r="A970" t="s">
        <v>1</v>
      </c>
      <c r="B970" t="s">
        <v>3877</v>
      </c>
    </row>
    <row r="971" spans="1:2" hidden="1">
      <c r="A971" t="s">
        <v>1</v>
      </c>
      <c r="B971" t="s">
        <v>3884</v>
      </c>
    </row>
    <row r="972" spans="1:2" hidden="1">
      <c r="A972" t="s">
        <v>1</v>
      </c>
      <c r="B972" t="s">
        <v>3889</v>
      </c>
    </row>
    <row r="973" spans="1:2" hidden="1">
      <c r="A973" t="s">
        <v>1</v>
      </c>
      <c r="B973" t="s">
        <v>3896</v>
      </c>
    </row>
    <row r="974" spans="1:2" hidden="1">
      <c r="A974" t="s">
        <v>1</v>
      </c>
      <c r="B974" t="s">
        <v>3903</v>
      </c>
    </row>
    <row r="975" spans="1:2" hidden="1">
      <c r="A975" t="s">
        <v>1</v>
      </c>
      <c r="B975" t="s">
        <v>3908</v>
      </c>
    </row>
    <row r="976" spans="1:2" hidden="1">
      <c r="A976" t="s">
        <v>1</v>
      </c>
      <c r="B976" t="s">
        <v>3913</v>
      </c>
    </row>
    <row r="977" spans="1:2" hidden="1">
      <c r="A977" t="s">
        <v>1</v>
      </c>
      <c r="B977" t="s">
        <v>3918</v>
      </c>
    </row>
    <row r="978" spans="1:2" hidden="1">
      <c r="A978" t="s">
        <v>1</v>
      </c>
      <c r="B978" t="s">
        <v>3923</v>
      </c>
    </row>
    <row r="979" spans="1:2" hidden="1">
      <c r="A979" t="s">
        <v>1</v>
      </c>
      <c r="B979" t="s">
        <v>3927</v>
      </c>
    </row>
    <row r="980" spans="1:2" hidden="1">
      <c r="A980" t="s">
        <v>1</v>
      </c>
      <c r="B980" t="s">
        <v>3933</v>
      </c>
    </row>
    <row r="981" spans="1:2" hidden="1">
      <c r="A981" t="s">
        <v>1</v>
      </c>
      <c r="B981" t="s">
        <v>3938</v>
      </c>
    </row>
    <row r="982" spans="1:2" hidden="1">
      <c r="A982" t="s">
        <v>1</v>
      </c>
      <c r="B982" t="s">
        <v>3942</v>
      </c>
    </row>
    <row r="983" spans="1:2" hidden="1">
      <c r="A983" t="s">
        <v>1</v>
      </c>
      <c r="B983" t="s">
        <v>3945</v>
      </c>
    </row>
    <row r="984" spans="1:2" hidden="1">
      <c r="A984" t="s">
        <v>1</v>
      </c>
      <c r="B984" t="s">
        <v>3948</v>
      </c>
    </row>
    <row r="985" spans="1:2" hidden="1">
      <c r="A985" t="s">
        <v>1</v>
      </c>
      <c r="B985" t="s">
        <v>3951</v>
      </c>
    </row>
    <row r="986" spans="1:2" hidden="1">
      <c r="A986" t="s">
        <v>1</v>
      </c>
      <c r="B986" t="s">
        <v>3954</v>
      </c>
    </row>
    <row r="987" spans="1:2" hidden="1">
      <c r="A987" t="s">
        <v>1</v>
      </c>
      <c r="B987" t="s">
        <v>3957</v>
      </c>
    </row>
    <row r="988" spans="1:2" hidden="1">
      <c r="A988" t="s">
        <v>1</v>
      </c>
      <c r="B988" t="s">
        <v>3960</v>
      </c>
    </row>
    <row r="989" spans="1:2" hidden="1">
      <c r="A989" t="s">
        <v>1</v>
      </c>
      <c r="B989" t="s">
        <v>3963</v>
      </c>
    </row>
    <row r="990" spans="1:2" hidden="1">
      <c r="A990" t="s">
        <v>1</v>
      </c>
      <c r="B990" t="s">
        <v>3966</v>
      </c>
    </row>
    <row r="991" spans="1:2" hidden="1">
      <c r="A991" t="s">
        <v>1</v>
      </c>
      <c r="B991" t="s">
        <v>3969</v>
      </c>
    </row>
    <row r="992" spans="1:2" hidden="1">
      <c r="A992" t="s">
        <v>1</v>
      </c>
      <c r="B992" t="s">
        <v>3972</v>
      </c>
    </row>
    <row r="993" spans="1:2" hidden="1">
      <c r="A993" t="s">
        <v>1</v>
      </c>
      <c r="B993" t="s">
        <v>3975</v>
      </c>
    </row>
    <row r="994" spans="1:2" hidden="1">
      <c r="A994" t="s">
        <v>1</v>
      </c>
      <c r="B994" t="s">
        <v>3978</v>
      </c>
    </row>
    <row r="995" spans="1:2" hidden="1">
      <c r="A995" t="s">
        <v>1</v>
      </c>
      <c r="B995" t="s">
        <v>3981</v>
      </c>
    </row>
    <row r="996" spans="1:2" hidden="1">
      <c r="A996" t="s">
        <v>1</v>
      </c>
      <c r="B996" t="s">
        <v>3984</v>
      </c>
    </row>
    <row r="997" spans="1:2" hidden="1">
      <c r="A997" t="s">
        <v>1</v>
      </c>
      <c r="B997" t="s">
        <v>3987</v>
      </c>
    </row>
    <row r="998" spans="1:2" hidden="1">
      <c r="A998" t="s">
        <v>1</v>
      </c>
      <c r="B998" t="s">
        <v>3990</v>
      </c>
    </row>
    <row r="999" spans="1:2" hidden="1">
      <c r="A999" t="s">
        <v>1</v>
      </c>
      <c r="B999" t="s">
        <v>3993</v>
      </c>
    </row>
    <row r="1000" spans="1:2" hidden="1">
      <c r="A1000" t="s">
        <v>1</v>
      </c>
      <c r="B1000" t="s">
        <v>3996</v>
      </c>
    </row>
    <row r="1001" spans="1:2" hidden="1">
      <c r="A1001" t="s">
        <v>1</v>
      </c>
      <c r="B1001" t="s">
        <v>3999</v>
      </c>
    </row>
    <row r="1002" spans="1:2" hidden="1">
      <c r="A1002" t="s">
        <v>1</v>
      </c>
      <c r="B1002" t="s">
        <v>4002</v>
      </c>
    </row>
    <row r="1003" spans="1:2" hidden="1">
      <c r="A1003" t="s">
        <v>1</v>
      </c>
      <c r="B1003" t="s">
        <v>4005</v>
      </c>
    </row>
    <row r="1004" spans="1:2" hidden="1">
      <c r="A1004" t="s">
        <v>1</v>
      </c>
      <c r="B1004" t="s">
        <v>4009</v>
      </c>
    </row>
    <row r="1005" spans="1:2" hidden="1">
      <c r="A1005" t="s">
        <v>1</v>
      </c>
      <c r="B1005" t="s">
        <v>4012</v>
      </c>
    </row>
    <row r="1006" spans="1:2" hidden="1">
      <c r="A1006" t="s">
        <v>1</v>
      </c>
      <c r="B1006" t="s">
        <v>4015</v>
      </c>
    </row>
    <row r="1007" spans="1:2" hidden="1">
      <c r="A1007" t="s">
        <v>1</v>
      </c>
      <c r="B1007" t="s">
        <v>4018</v>
      </c>
    </row>
    <row r="1008" spans="1:2" hidden="1">
      <c r="A1008" t="s">
        <v>1</v>
      </c>
      <c r="B1008" t="s">
        <v>4021</v>
      </c>
    </row>
    <row r="1009" spans="1:2" hidden="1">
      <c r="A1009" t="s">
        <v>1</v>
      </c>
      <c r="B1009" t="s">
        <v>4024</v>
      </c>
    </row>
    <row r="1010" spans="1:2" hidden="1">
      <c r="A1010" t="s">
        <v>1</v>
      </c>
      <c r="B1010" t="s">
        <v>4027</v>
      </c>
    </row>
    <row r="1011" spans="1:2" hidden="1">
      <c r="A1011" t="s">
        <v>1</v>
      </c>
      <c r="B1011" t="s">
        <v>4030</v>
      </c>
    </row>
    <row r="1012" spans="1:2" hidden="1">
      <c r="A1012" t="s">
        <v>1</v>
      </c>
      <c r="B1012" t="s">
        <v>4033</v>
      </c>
    </row>
    <row r="1013" spans="1:2" hidden="1">
      <c r="A1013" t="s">
        <v>1</v>
      </c>
      <c r="B1013" t="s">
        <v>4036</v>
      </c>
    </row>
    <row r="1014" spans="1:2" hidden="1">
      <c r="A1014" t="s">
        <v>1</v>
      </c>
      <c r="B1014" t="s">
        <v>4039</v>
      </c>
    </row>
    <row r="1015" spans="1:2" hidden="1">
      <c r="A1015" t="s">
        <v>1</v>
      </c>
      <c r="B1015" t="s">
        <v>4042</v>
      </c>
    </row>
    <row r="1016" spans="1:2" hidden="1">
      <c r="A1016" t="s">
        <v>1</v>
      </c>
      <c r="B1016" t="s">
        <v>4045</v>
      </c>
    </row>
    <row r="1017" spans="1:2" hidden="1">
      <c r="A1017" t="s">
        <v>1</v>
      </c>
      <c r="B1017" t="s">
        <v>4048</v>
      </c>
    </row>
    <row r="1018" spans="1:2" hidden="1">
      <c r="A1018" t="s">
        <v>1</v>
      </c>
      <c r="B1018" t="s">
        <v>4051</v>
      </c>
    </row>
    <row r="1019" spans="1:2" hidden="1">
      <c r="A1019" t="s">
        <v>1</v>
      </c>
      <c r="B1019" t="s">
        <v>4054</v>
      </c>
    </row>
    <row r="1020" spans="1:2" hidden="1">
      <c r="A1020" t="s">
        <v>1</v>
      </c>
      <c r="B1020" t="s">
        <v>4057</v>
      </c>
    </row>
    <row r="1021" spans="1:2" hidden="1">
      <c r="A1021" t="s">
        <v>1</v>
      </c>
      <c r="B1021" t="s">
        <v>4060</v>
      </c>
    </row>
    <row r="1022" spans="1:2" hidden="1">
      <c r="A1022" t="s">
        <v>1</v>
      </c>
      <c r="B1022" t="s">
        <v>4063</v>
      </c>
    </row>
  </sheetData>
  <phoneticPr fontId="4" type="noConversion"/>
  <pageMargins left="0.7" right="0.7" top="0.75" bottom="0.75" header="0.3" footer="0.3"/>
  <customProperties>
    <customPr name="_pios_id" r:id="rId1"/>
  </customPropertie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92862-F653-42E0-870B-FF929E7ED11C}">
  <sheetPr>
    <tabColor theme="8"/>
  </sheetPr>
  <dimension ref="A3:R994"/>
  <sheetViews>
    <sheetView showGridLines="0" topLeftCell="A995" workbookViewId="0">
      <selection activeCell="A6" sqref="A6:A994"/>
    </sheetView>
  </sheetViews>
  <sheetFormatPr baseColWidth="10" defaultColWidth="8.83203125" defaultRowHeight="15"/>
  <cols>
    <col min="1" max="1" width="7.1640625" bestFit="1" customWidth="1"/>
    <col min="2" max="2" width="10.83203125" bestFit="1" customWidth="1"/>
    <col min="3" max="3" width="9.83203125" bestFit="1" customWidth="1"/>
    <col min="4" max="4" width="18.83203125" bestFit="1" customWidth="1"/>
    <col min="5" max="5" width="17.1640625" bestFit="1" customWidth="1"/>
    <col min="6" max="6" width="21.83203125" bestFit="1" customWidth="1"/>
    <col min="10" max="10" width="7.1640625" bestFit="1" customWidth="1"/>
    <col min="11" max="11" width="10.83203125" bestFit="1" customWidth="1"/>
    <col min="12" max="12" width="9.83203125" bestFit="1" customWidth="1"/>
    <col min="13" max="13" width="21.83203125" bestFit="1" customWidth="1"/>
  </cols>
  <sheetData>
    <row r="3" spans="1:18">
      <c r="A3" s="18" t="s">
        <v>4080</v>
      </c>
      <c r="J3" t="s">
        <v>4081</v>
      </c>
      <c r="R3" t="s">
        <v>4082</v>
      </c>
    </row>
    <row r="4" spans="1:18" ht="16" thickBot="1"/>
    <row r="5" spans="1:18" ht="18" thickTop="1" thickBot="1">
      <c r="A5" t="s">
        <v>4083</v>
      </c>
      <c r="B5" t="s">
        <v>38</v>
      </c>
      <c r="C5" t="s">
        <v>4084</v>
      </c>
      <c r="D5" t="s">
        <v>4085</v>
      </c>
      <c r="E5" t="s">
        <v>4086</v>
      </c>
      <c r="F5" s="39" t="s">
        <v>4087</v>
      </c>
      <c r="J5" t="s">
        <v>4083</v>
      </c>
      <c r="K5" t="s">
        <v>38</v>
      </c>
      <c r="L5" t="s">
        <v>4084</v>
      </c>
      <c r="M5" s="39" t="s">
        <v>4087</v>
      </c>
      <c r="R5" s="41" t="s">
        <v>4070</v>
      </c>
    </row>
    <row r="6" spans="1:18" ht="16" hidden="1" thickTop="1">
      <c r="A6" t="s">
        <v>4088</v>
      </c>
      <c r="B6" t="s">
        <v>606</v>
      </c>
      <c r="C6" t="s">
        <v>4089</v>
      </c>
      <c r="D6">
        <v>576</v>
      </c>
      <c r="E6">
        <v>576</v>
      </c>
      <c r="F6" t="s">
        <v>4090</v>
      </c>
      <c r="J6" t="s">
        <v>4091</v>
      </c>
      <c r="K6" t="s">
        <v>1309</v>
      </c>
      <c r="L6" t="s">
        <v>4092</v>
      </c>
      <c r="M6" t="s">
        <v>4090</v>
      </c>
      <c r="R6" s="41" t="s">
        <v>4093</v>
      </c>
    </row>
    <row r="7" spans="1:18" ht="16" hidden="1" thickTop="1">
      <c r="A7" t="s">
        <v>4093</v>
      </c>
      <c r="B7" t="s">
        <v>606</v>
      </c>
      <c r="C7" t="s">
        <v>4089</v>
      </c>
      <c r="D7">
        <v>576</v>
      </c>
      <c r="E7">
        <v>576</v>
      </c>
      <c r="F7" t="s">
        <v>4090</v>
      </c>
      <c r="J7" t="s">
        <v>4091</v>
      </c>
      <c r="K7" t="s">
        <v>3520</v>
      </c>
      <c r="L7" t="s">
        <v>4094</v>
      </c>
      <c r="M7" t="s">
        <v>4095</v>
      </c>
      <c r="R7" s="41" t="s">
        <v>4096</v>
      </c>
    </row>
    <row r="8" spans="1:18" hidden="1">
      <c r="A8" t="s">
        <v>4096</v>
      </c>
      <c r="B8" t="s">
        <v>1401</v>
      </c>
      <c r="C8" t="s">
        <v>4097</v>
      </c>
      <c r="D8">
        <v>150</v>
      </c>
      <c r="E8">
        <v>150</v>
      </c>
      <c r="F8" t="s">
        <v>4090</v>
      </c>
      <c r="J8" t="s">
        <v>4091</v>
      </c>
      <c r="K8" t="s">
        <v>1378</v>
      </c>
      <c r="L8" t="s">
        <v>4098</v>
      </c>
      <c r="M8" t="s">
        <v>4090</v>
      </c>
      <c r="R8" s="41" t="s">
        <v>4099</v>
      </c>
    </row>
    <row r="9" spans="1:18" hidden="1">
      <c r="A9" t="s">
        <v>4096</v>
      </c>
      <c r="B9" t="s">
        <v>1407</v>
      </c>
      <c r="C9" t="s">
        <v>4100</v>
      </c>
      <c r="D9">
        <v>44</v>
      </c>
      <c r="E9">
        <v>44</v>
      </c>
      <c r="F9" t="s">
        <v>4090</v>
      </c>
      <c r="J9" t="s">
        <v>4091</v>
      </c>
      <c r="K9" t="s">
        <v>1312</v>
      </c>
      <c r="L9" t="s">
        <v>4101</v>
      </c>
      <c r="M9" t="s">
        <v>4090</v>
      </c>
      <c r="R9" s="41" t="s">
        <v>4102</v>
      </c>
    </row>
    <row r="10" spans="1:18" hidden="1">
      <c r="A10" t="s">
        <v>4099</v>
      </c>
      <c r="B10" t="s">
        <v>3204</v>
      </c>
      <c r="C10" t="s">
        <v>4103</v>
      </c>
      <c r="D10">
        <v>24</v>
      </c>
      <c r="E10">
        <v>24</v>
      </c>
      <c r="F10" t="s">
        <v>4090</v>
      </c>
      <c r="J10" t="s">
        <v>4091</v>
      </c>
      <c r="K10" t="s">
        <v>1168</v>
      </c>
      <c r="L10" t="s">
        <v>4104</v>
      </c>
      <c r="M10" t="s">
        <v>4090</v>
      </c>
      <c r="R10" s="41" t="s">
        <v>4088</v>
      </c>
    </row>
    <row r="11" spans="1:18" hidden="1">
      <c r="A11" t="s">
        <v>4102</v>
      </c>
      <c r="B11" t="s">
        <v>3204</v>
      </c>
      <c r="C11" t="s">
        <v>4103</v>
      </c>
      <c r="D11">
        <v>24</v>
      </c>
      <c r="E11">
        <v>24</v>
      </c>
      <c r="F11" t="s">
        <v>4090</v>
      </c>
      <c r="J11" t="s">
        <v>4088</v>
      </c>
      <c r="K11" t="s">
        <v>3957</v>
      </c>
      <c r="L11" t="s">
        <v>4105</v>
      </c>
      <c r="M11" t="s">
        <v>4095</v>
      </c>
      <c r="R11" s="41" t="s">
        <v>4106</v>
      </c>
    </row>
    <row r="12" spans="1:18" hidden="1">
      <c r="A12" t="s">
        <v>4088</v>
      </c>
      <c r="B12" t="s">
        <v>3204</v>
      </c>
      <c r="C12" t="s">
        <v>4103</v>
      </c>
      <c r="D12">
        <v>24</v>
      </c>
      <c r="E12">
        <v>24</v>
      </c>
      <c r="F12" t="s">
        <v>4090</v>
      </c>
      <c r="J12" t="s">
        <v>4088</v>
      </c>
      <c r="K12" t="s">
        <v>3954</v>
      </c>
      <c r="L12" t="s">
        <v>4105</v>
      </c>
      <c r="M12" t="s">
        <v>4095</v>
      </c>
      <c r="R12" s="41" t="s">
        <v>4107</v>
      </c>
    </row>
    <row r="13" spans="1:18" hidden="1">
      <c r="A13" t="s">
        <v>4106</v>
      </c>
      <c r="B13" t="s">
        <v>3207</v>
      </c>
      <c r="C13" t="s">
        <v>4108</v>
      </c>
      <c r="D13">
        <v>56</v>
      </c>
      <c r="E13">
        <v>56</v>
      </c>
      <c r="F13" t="s">
        <v>4090</v>
      </c>
      <c r="J13" t="s">
        <v>4088</v>
      </c>
      <c r="K13" t="s">
        <v>3951</v>
      </c>
      <c r="L13" t="s">
        <v>4109</v>
      </c>
      <c r="M13" t="s">
        <v>4095</v>
      </c>
      <c r="R13" s="41" t="s">
        <v>4110</v>
      </c>
    </row>
    <row r="14" spans="1:18" hidden="1">
      <c r="A14" t="s">
        <v>4088</v>
      </c>
      <c r="B14" t="s">
        <v>3207</v>
      </c>
      <c r="C14" t="s">
        <v>4108</v>
      </c>
      <c r="D14">
        <v>56</v>
      </c>
      <c r="E14">
        <v>56</v>
      </c>
      <c r="F14" t="s">
        <v>4090</v>
      </c>
      <c r="J14" t="s">
        <v>4111</v>
      </c>
      <c r="K14" t="s">
        <v>2851</v>
      </c>
      <c r="L14" t="s">
        <v>4112</v>
      </c>
      <c r="M14" t="s">
        <v>4090</v>
      </c>
      <c r="R14" s="41" t="s">
        <v>4111</v>
      </c>
    </row>
    <row r="15" spans="1:18" hidden="1">
      <c r="A15" t="s">
        <v>4102</v>
      </c>
      <c r="B15" t="s">
        <v>3207</v>
      </c>
      <c r="C15" t="s">
        <v>4108</v>
      </c>
      <c r="D15">
        <v>56</v>
      </c>
      <c r="E15">
        <v>56</v>
      </c>
      <c r="F15" t="s">
        <v>4090</v>
      </c>
      <c r="J15" t="s">
        <v>4113</v>
      </c>
      <c r="K15" t="s">
        <v>2851</v>
      </c>
      <c r="L15" t="s">
        <v>4112</v>
      </c>
      <c r="M15" t="s">
        <v>4090</v>
      </c>
      <c r="R15" s="41" t="s">
        <v>4113</v>
      </c>
    </row>
    <row r="16" spans="1:18" hidden="1">
      <c r="A16" t="s">
        <v>4099</v>
      </c>
      <c r="B16" t="s">
        <v>3207</v>
      </c>
      <c r="C16" t="s">
        <v>4108</v>
      </c>
      <c r="D16">
        <v>56</v>
      </c>
      <c r="E16">
        <v>56</v>
      </c>
      <c r="F16" t="s">
        <v>4090</v>
      </c>
      <c r="J16" t="s">
        <v>4114</v>
      </c>
      <c r="K16" t="s">
        <v>2851</v>
      </c>
      <c r="L16" t="s">
        <v>4112</v>
      </c>
      <c r="M16" t="s">
        <v>4090</v>
      </c>
      <c r="R16" s="41" t="s">
        <v>4114</v>
      </c>
    </row>
    <row r="17" spans="1:18" hidden="1">
      <c r="A17" t="s">
        <v>4088</v>
      </c>
      <c r="B17" t="s">
        <v>3189</v>
      </c>
      <c r="C17" t="s">
        <v>4108</v>
      </c>
      <c r="D17">
        <v>76</v>
      </c>
      <c r="E17">
        <v>76</v>
      </c>
      <c r="F17" t="s">
        <v>4090</v>
      </c>
      <c r="J17" t="s">
        <v>4114</v>
      </c>
      <c r="K17" t="s">
        <v>2864</v>
      </c>
      <c r="L17" t="s">
        <v>4115</v>
      </c>
      <c r="M17" t="s">
        <v>4090</v>
      </c>
      <c r="R17" s="41" t="s">
        <v>4091</v>
      </c>
    </row>
    <row r="18" spans="1:18" hidden="1">
      <c r="A18" t="s">
        <v>4102</v>
      </c>
      <c r="B18" t="s">
        <v>3210</v>
      </c>
      <c r="C18" t="s">
        <v>4112</v>
      </c>
      <c r="D18">
        <v>396</v>
      </c>
      <c r="E18">
        <v>66</v>
      </c>
      <c r="F18" t="s">
        <v>4090</v>
      </c>
      <c r="J18" t="s">
        <v>4111</v>
      </c>
      <c r="K18" t="s">
        <v>2864</v>
      </c>
      <c r="L18" t="s">
        <v>4115</v>
      </c>
      <c r="M18" t="s">
        <v>4090</v>
      </c>
      <c r="R18" s="41" t="s">
        <v>4116</v>
      </c>
    </row>
    <row r="19" spans="1:18" hidden="1">
      <c r="A19" t="s">
        <v>4088</v>
      </c>
      <c r="B19" t="s">
        <v>3210</v>
      </c>
      <c r="C19" t="s">
        <v>4112</v>
      </c>
      <c r="D19">
        <v>396</v>
      </c>
      <c r="E19">
        <v>66</v>
      </c>
      <c r="F19" t="s">
        <v>4090</v>
      </c>
      <c r="J19" t="s">
        <v>4113</v>
      </c>
      <c r="K19" t="s">
        <v>2864</v>
      </c>
      <c r="L19" t="s">
        <v>4115</v>
      </c>
      <c r="M19" t="s">
        <v>4090</v>
      </c>
      <c r="R19" s="41" t="s">
        <v>4117</v>
      </c>
    </row>
    <row r="20" spans="1:18" hidden="1">
      <c r="A20" t="s">
        <v>4099</v>
      </c>
      <c r="B20" t="s">
        <v>3210</v>
      </c>
      <c r="C20" t="s">
        <v>4112</v>
      </c>
      <c r="D20">
        <v>396</v>
      </c>
      <c r="E20">
        <v>66</v>
      </c>
      <c r="F20" t="s">
        <v>4090</v>
      </c>
      <c r="J20" t="s">
        <v>4093</v>
      </c>
      <c r="K20" t="s">
        <v>2129</v>
      </c>
      <c r="L20" t="s">
        <v>4118</v>
      </c>
      <c r="M20" t="s">
        <v>4090</v>
      </c>
      <c r="R20" s="41" t="s">
        <v>4119</v>
      </c>
    </row>
    <row r="21" spans="1:18" hidden="1">
      <c r="A21" t="s">
        <v>4106</v>
      </c>
      <c r="B21" t="s">
        <v>3210</v>
      </c>
      <c r="C21" t="s">
        <v>4112</v>
      </c>
      <c r="D21">
        <v>396</v>
      </c>
      <c r="E21">
        <v>66</v>
      </c>
      <c r="F21" t="s">
        <v>4090</v>
      </c>
      <c r="J21" t="s">
        <v>4093</v>
      </c>
      <c r="K21" t="s">
        <v>2132</v>
      </c>
      <c r="L21" t="s">
        <v>4101</v>
      </c>
      <c r="M21" t="s">
        <v>4090</v>
      </c>
    </row>
    <row r="22" spans="1:18" hidden="1">
      <c r="A22" t="s">
        <v>4107</v>
      </c>
      <c r="B22" t="s">
        <v>1595</v>
      </c>
      <c r="C22" t="s">
        <v>4120</v>
      </c>
      <c r="D22">
        <v>44</v>
      </c>
      <c r="E22">
        <v>44</v>
      </c>
      <c r="F22" t="s">
        <v>4090</v>
      </c>
      <c r="J22" t="s">
        <v>4106</v>
      </c>
      <c r="K22" t="s">
        <v>510</v>
      </c>
      <c r="L22" t="s">
        <v>4092</v>
      </c>
      <c r="M22" t="s">
        <v>4090</v>
      </c>
    </row>
    <row r="23" spans="1:18" hidden="1">
      <c r="A23" t="s">
        <v>4093</v>
      </c>
      <c r="B23" t="s">
        <v>247</v>
      </c>
      <c r="C23" t="s">
        <v>4121</v>
      </c>
      <c r="D23">
        <v>60</v>
      </c>
      <c r="E23">
        <v>60</v>
      </c>
      <c r="F23" t="s">
        <v>4090</v>
      </c>
      <c r="J23" t="s">
        <v>4106</v>
      </c>
      <c r="K23" t="s">
        <v>478</v>
      </c>
      <c r="L23" t="s">
        <v>4122</v>
      </c>
      <c r="M23" t="s">
        <v>4090</v>
      </c>
    </row>
    <row r="24" spans="1:18" hidden="1">
      <c r="A24" t="s">
        <v>4093</v>
      </c>
      <c r="B24" t="s">
        <v>404</v>
      </c>
      <c r="C24" t="s">
        <v>4123</v>
      </c>
      <c r="D24">
        <v>27</v>
      </c>
      <c r="E24">
        <v>27</v>
      </c>
      <c r="F24" t="s">
        <v>4090</v>
      </c>
      <c r="J24" t="s">
        <v>4099</v>
      </c>
      <c r="K24" t="s">
        <v>2112</v>
      </c>
      <c r="L24" t="s">
        <v>4124</v>
      </c>
      <c r="M24" t="s">
        <v>4090</v>
      </c>
    </row>
    <row r="25" spans="1:18" hidden="1">
      <c r="A25" t="s">
        <v>4093</v>
      </c>
      <c r="B25" t="s">
        <v>1903</v>
      </c>
      <c r="C25" t="s">
        <v>4125</v>
      </c>
      <c r="D25">
        <v>60</v>
      </c>
      <c r="E25">
        <v>60</v>
      </c>
      <c r="F25" t="s">
        <v>4090</v>
      </c>
      <c r="J25" t="s">
        <v>4099</v>
      </c>
      <c r="K25" t="s">
        <v>2795</v>
      </c>
      <c r="L25" t="s">
        <v>4126</v>
      </c>
      <c r="M25" t="s">
        <v>4090</v>
      </c>
    </row>
    <row r="26" spans="1:18" hidden="1">
      <c r="A26" t="s">
        <v>4093</v>
      </c>
      <c r="B26" t="s">
        <v>1891</v>
      </c>
      <c r="C26" t="s">
        <v>4092</v>
      </c>
      <c r="D26">
        <v>27</v>
      </c>
      <c r="E26">
        <v>27</v>
      </c>
      <c r="F26" t="s">
        <v>4090</v>
      </c>
      <c r="J26" t="s">
        <v>4099</v>
      </c>
      <c r="K26" t="s">
        <v>2600</v>
      </c>
      <c r="L26" t="s">
        <v>4123</v>
      </c>
      <c r="M26" t="s">
        <v>4090</v>
      </c>
    </row>
    <row r="27" spans="1:18" hidden="1">
      <c r="A27" t="s">
        <v>4088</v>
      </c>
      <c r="B27" t="s">
        <v>2373</v>
      </c>
      <c r="C27" t="s">
        <v>4127</v>
      </c>
      <c r="D27">
        <v>70</v>
      </c>
      <c r="E27">
        <v>70</v>
      </c>
      <c r="F27" t="s">
        <v>4090</v>
      </c>
      <c r="J27" t="s">
        <v>4099</v>
      </c>
      <c r="K27" t="s">
        <v>2609</v>
      </c>
      <c r="L27" t="s">
        <v>4128</v>
      </c>
      <c r="M27" t="s">
        <v>4090</v>
      </c>
    </row>
    <row r="28" spans="1:18" hidden="1">
      <c r="A28" t="s">
        <v>4088</v>
      </c>
      <c r="B28" t="s">
        <v>2370</v>
      </c>
      <c r="C28" t="s">
        <v>4118</v>
      </c>
      <c r="D28">
        <v>40</v>
      </c>
      <c r="E28">
        <v>40</v>
      </c>
      <c r="F28" t="s">
        <v>4090</v>
      </c>
      <c r="J28" t="s">
        <v>4099</v>
      </c>
      <c r="K28" t="s">
        <v>3702</v>
      </c>
      <c r="L28" t="s">
        <v>4105</v>
      </c>
      <c r="M28" t="s">
        <v>4095</v>
      </c>
    </row>
    <row r="29" spans="1:18" hidden="1">
      <c r="A29" t="s">
        <v>4088</v>
      </c>
      <c r="B29" t="s">
        <v>2379</v>
      </c>
      <c r="C29" t="s">
        <v>4127</v>
      </c>
      <c r="D29">
        <v>95</v>
      </c>
      <c r="E29">
        <v>95</v>
      </c>
      <c r="F29" t="s">
        <v>4090</v>
      </c>
      <c r="J29" t="s">
        <v>4099</v>
      </c>
      <c r="K29" t="s">
        <v>3705</v>
      </c>
      <c r="L29" t="s">
        <v>4105</v>
      </c>
      <c r="M29" t="s">
        <v>4095</v>
      </c>
    </row>
    <row r="30" spans="1:18" hidden="1">
      <c r="A30" t="s">
        <v>4088</v>
      </c>
      <c r="B30" t="s">
        <v>2366</v>
      </c>
      <c r="C30" t="s">
        <v>4127</v>
      </c>
      <c r="D30">
        <v>70</v>
      </c>
      <c r="E30">
        <v>70</v>
      </c>
      <c r="F30" t="s">
        <v>4090</v>
      </c>
      <c r="J30" t="s">
        <v>4099</v>
      </c>
      <c r="K30" t="s">
        <v>3708</v>
      </c>
      <c r="L30" t="s">
        <v>4109</v>
      </c>
      <c r="M30" t="s">
        <v>4095</v>
      </c>
    </row>
    <row r="31" spans="1:18" hidden="1">
      <c r="A31" t="s">
        <v>4088</v>
      </c>
      <c r="B31" t="s">
        <v>2376</v>
      </c>
      <c r="C31" t="s">
        <v>4118</v>
      </c>
      <c r="D31">
        <v>40</v>
      </c>
      <c r="E31">
        <v>40</v>
      </c>
      <c r="F31" t="s">
        <v>4090</v>
      </c>
      <c r="J31" t="s">
        <v>4093</v>
      </c>
      <c r="K31" t="s">
        <v>2501</v>
      </c>
      <c r="L31" t="s">
        <v>4129</v>
      </c>
      <c r="M31" t="s">
        <v>4090</v>
      </c>
    </row>
    <row r="32" spans="1:18" hidden="1">
      <c r="A32" t="s">
        <v>4106</v>
      </c>
      <c r="B32" t="s">
        <v>2001</v>
      </c>
      <c r="C32" t="s">
        <v>4130</v>
      </c>
      <c r="D32">
        <v>24</v>
      </c>
      <c r="E32">
        <v>24</v>
      </c>
      <c r="F32" t="s">
        <v>4090</v>
      </c>
      <c r="J32" t="s">
        <v>4114</v>
      </c>
      <c r="K32" t="s">
        <v>1618</v>
      </c>
      <c r="L32" t="s">
        <v>4092</v>
      </c>
      <c r="M32" t="s">
        <v>4090</v>
      </c>
    </row>
    <row r="33" spans="1:13" hidden="1">
      <c r="A33" t="s">
        <v>4106</v>
      </c>
      <c r="B33" t="s">
        <v>1995</v>
      </c>
      <c r="C33" t="s">
        <v>4131</v>
      </c>
      <c r="D33">
        <v>68</v>
      </c>
      <c r="E33">
        <v>68</v>
      </c>
      <c r="F33" t="s">
        <v>4090</v>
      </c>
      <c r="J33" t="s">
        <v>4093</v>
      </c>
      <c r="K33" t="s">
        <v>3775</v>
      </c>
      <c r="L33" t="s">
        <v>4094</v>
      </c>
      <c r="M33" t="s">
        <v>4095</v>
      </c>
    </row>
    <row r="34" spans="1:13" hidden="1">
      <c r="A34" t="s">
        <v>4106</v>
      </c>
      <c r="B34" t="s">
        <v>2010</v>
      </c>
      <c r="C34" t="s">
        <v>4132</v>
      </c>
      <c r="D34">
        <v>396</v>
      </c>
      <c r="E34">
        <v>396</v>
      </c>
      <c r="F34" t="s">
        <v>4090</v>
      </c>
      <c r="J34" t="s">
        <v>4091</v>
      </c>
      <c r="K34" t="s">
        <v>3591</v>
      </c>
      <c r="L34" t="s">
        <v>4109</v>
      </c>
      <c r="M34" t="s">
        <v>4095</v>
      </c>
    </row>
    <row r="35" spans="1:13" hidden="1">
      <c r="A35" t="s">
        <v>4093</v>
      </c>
      <c r="B35" t="s">
        <v>3903</v>
      </c>
      <c r="C35" t="s">
        <v>4105</v>
      </c>
      <c r="D35">
        <v>150</v>
      </c>
      <c r="E35">
        <v>150</v>
      </c>
      <c r="F35" t="s">
        <v>4095</v>
      </c>
      <c r="J35" t="s">
        <v>4093</v>
      </c>
      <c r="K35" t="s">
        <v>3591</v>
      </c>
      <c r="L35" t="s">
        <v>4105</v>
      </c>
      <c r="M35" t="s">
        <v>4095</v>
      </c>
    </row>
    <row r="36" spans="1:13" hidden="1">
      <c r="A36" t="s">
        <v>4110</v>
      </c>
      <c r="B36" t="s">
        <v>2948</v>
      </c>
      <c r="C36" t="s">
        <v>4133</v>
      </c>
      <c r="D36">
        <v>96</v>
      </c>
      <c r="E36">
        <v>96</v>
      </c>
      <c r="F36" t="s">
        <v>4090</v>
      </c>
      <c r="J36" t="s">
        <v>4091</v>
      </c>
      <c r="K36" t="s">
        <v>1630</v>
      </c>
      <c r="L36" t="s">
        <v>4092</v>
      </c>
      <c r="M36" t="s">
        <v>4090</v>
      </c>
    </row>
    <row r="37" spans="1:13" hidden="1">
      <c r="A37" t="s">
        <v>4110</v>
      </c>
      <c r="B37" t="s">
        <v>2977</v>
      </c>
      <c r="C37" t="s">
        <v>4105</v>
      </c>
      <c r="D37">
        <v>30</v>
      </c>
      <c r="E37">
        <v>30</v>
      </c>
      <c r="F37" t="s">
        <v>4090</v>
      </c>
      <c r="J37" t="s">
        <v>4093</v>
      </c>
      <c r="K37" t="s">
        <v>1630</v>
      </c>
      <c r="L37" t="s">
        <v>4092</v>
      </c>
      <c r="M37" t="s">
        <v>4090</v>
      </c>
    </row>
    <row r="38" spans="1:13" hidden="1">
      <c r="A38" t="s">
        <v>4110</v>
      </c>
      <c r="B38" t="s">
        <v>2969</v>
      </c>
      <c r="C38" t="s">
        <v>4112</v>
      </c>
      <c r="D38">
        <v>540</v>
      </c>
      <c r="E38">
        <v>72</v>
      </c>
      <c r="F38" t="s">
        <v>4090</v>
      </c>
      <c r="J38" t="s">
        <v>4091</v>
      </c>
      <c r="K38" t="s">
        <v>3984</v>
      </c>
      <c r="L38" t="s">
        <v>4105</v>
      </c>
      <c r="M38" t="s">
        <v>4095</v>
      </c>
    </row>
    <row r="39" spans="1:13" hidden="1">
      <c r="A39" t="s">
        <v>4093</v>
      </c>
      <c r="B39" t="s">
        <v>3555</v>
      </c>
      <c r="C39" t="s">
        <v>4109</v>
      </c>
      <c r="D39">
        <v>198</v>
      </c>
      <c r="E39">
        <v>198</v>
      </c>
      <c r="F39" t="s">
        <v>4095</v>
      </c>
      <c r="J39" t="s">
        <v>4091</v>
      </c>
      <c r="K39" t="s">
        <v>4134</v>
      </c>
      <c r="L39" t="s">
        <v>4105</v>
      </c>
      <c r="M39" t="s">
        <v>4095</v>
      </c>
    </row>
    <row r="40" spans="1:13" hidden="1">
      <c r="A40" t="s">
        <v>4093</v>
      </c>
      <c r="B40" t="s">
        <v>3558</v>
      </c>
      <c r="C40" t="s">
        <v>4105</v>
      </c>
      <c r="D40">
        <v>720</v>
      </c>
      <c r="E40">
        <v>720</v>
      </c>
      <c r="F40" t="s">
        <v>4095</v>
      </c>
      <c r="J40" t="s">
        <v>4091</v>
      </c>
      <c r="K40" t="s">
        <v>4135</v>
      </c>
      <c r="L40" t="s">
        <v>4105</v>
      </c>
      <c r="M40" t="s">
        <v>4095</v>
      </c>
    </row>
    <row r="41" spans="1:13" hidden="1">
      <c r="A41" t="s">
        <v>4099</v>
      </c>
      <c r="B41" t="s">
        <v>1435</v>
      </c>
      <c r="C41" t="s">
        <v>4097</v>
      </c>
      <c r="D41">
        <v>330</v>
      </c>
      <c r="E41">
        <v>330</v>
      </c>
      <c r="F41" t="s">
        <v>4090</v>
      </c>
      <c r="J41" t="s">
        <v>4091</v>
      </c>
      <c r="K41" t="s">
        <v>4136</v>
      </c>
      <c r="L41" t="s">
        <v>4105</v>
      </c>
      <c r="M41" t="s">
        <v>4095</v>
      </c>
    </row>
    <row r="42" spans="1:13" hidden="1">
      <c r="A42" t="s">
        <v>4099</v>
      </c>
      <c r="B42" t="s">
        <v>1389</v>
      </c>
      <c r="C42" t="s">
        <v>4097</v>
      </c>
      <c r="D42">
        <v>180</v>
      </c>
      <c r="E42">
        <v>180</v>
      </c>
      <c r="F42" t="s">
        <v>4090</v>
      </c>
      <c r="J42" t="s">
        <v>4091</v>
      </c>
      <c r="K42" t="s">
        <v>4137</v>
      </c>
      <c r="L42" t="s">
        <v>4105</v>
      </c>
      <c r="M42" t="s">
        <v>4095</v>
      </c>
    </row>
    <row r="43" spans="1:13" hidden="1">
      <c r="A43" t="s">
        <v>4099</v>
      </c>
      <c r="B43" t="s">
        <v>2317</v>
      </c>
      <c r="C43" t="s">
        <v>4098</v>
      </c>
      <c r="D43">
        <v>44</v>
      </c>
      <c r="E43">
        <v>44</v>
      </c>
      <c r="F43" t="s">
        <v>4090</v>
      </c>
      <c r="J43" t="s">
        <v>4091</v>
      </c>
      <c r="K43" t="s">
        <v>4138</v>
      </c>
      <c r="L43" t="s">
        <v>4105</v>
      </c>
      <c r="M43" t="s">
        <v>4095</v>
      </c>
    </row>
    <row r="44" spans="1:13" hidden="1">
      <c r="A44" t="s">
        <v>4099</v>
      </c>
      <c r="B44" t="s">
        <v>2265</v>
      </c>
      <c r="C44" t="s">
        <v>4139</v>
      </c>
      <c r="D44">
        <v>33</v>
      </c>
      <c r="E44">
        <v>33</v>
      </c>
      <c r="F44" t="s">
        <v>4090</v>
      </c>
      <c r="J44" t="s">
        <v>4091</v>
      </c>
      <c r="K44" t="s">
        <v>1556</v>
      </c>
      <c r="L44" t="s">
        <v>4112</v>
      </c>
      <c r="M44" t="s">
        <v>4090</v>
      </c>
    </row>
    <row r="45" spans="1:13" hidden="1">
      <c r="A45" t="s">
        <v>4099</v>
      </c>
      <c r="B45" t="s">
        <v>3525</v>
      </c>
      <c r="C45" t="s">
        <v>4109</v>
      </c>
      <c r="D45">
        <v>33</v>
      </c>
      <c r="E45">
        <v>33</v>
      </c>
      <c r="F45" t="s">
        <v>4095</v>
      </c>
      <c r="J45" t="s">
        <v>4093</v>
      </c>
      <c r="K45" t="s">
        <v>2831</v>
      </c>
      <c r="L45" t="s">
        <v>4112</v>
      </c>
      <c r="M45" t="s">
        <v>4090</v>
      </c>
    </row>
    <row r="46" spans="1:13" hidden="1">
      <c r="A46" t="s">
        <v>4102</v>
      </c>
      <c r="B46" t="s">
        <v>3012</v>
      </c>
      <c r="C46" t="s">
        <v>4140</v>
      </c>
      <c r="D46">
        <v>24</v>
      </c>
      <c r="E46">
        <v>24</v>
      </c>
      <c r="F46" t="s">
        <v>4090</v>
      </c>
      <c r="J46" t="s">
        <v>4091</v>
      </c>
      <c r="K46" t="s">
        <v>1569</v>
      </c>
      <c r="L46" t="s">
        <v>4141</v>
      </c>
      <c r="M46" t="s">
        <v>4090</v>
      </c>
    </row>
    <row r="47" spans="1:13" hidden="1">
      <c r="A47" t="s">
        <v>4102</v>
      </c>
      <c r="B47" t="s">
        <v>3845</v>
      </c>
      <c r="C47" t="s">
        <v>4094</v>
      </c>
      <c r="D47">
        <v>24</v>
      </c>
      <c r="E47">
        <v>24</v>
      </c>
      <c r="F47" t="s">
        <v>4095</v>
      </c>
      <c r="J47" t="s">
        <v>4099</v>
      </c>
      <c r="K47" t="s">
        <v>3654</v>
      </c>
      <c r="L47" t="s">
        <v>4094</v>
      </c>
      <c r="M47" t="s">
        <v>4095</v>
      </c>
    </row>
    <row r="48" spans="1:13" hidden="1">
      <c r="A48" t="s">
        <v>4102</v>
      </c>
      <c r="B48" t="s">
        <v>3867</v>
      </c>
      <c r="C48" t="s">
        <v>4094</v>
      </c>
      <c r="D48">
        <v>24</v>
      </c>
      <c r="E48">
        <v>24</v>
      </c>
      <c r="F48" t="s">
        <v>4095</v>
      </c>
      <c r="J48" t="s">
        <v>4099</v>
      </c>
      <c r="K48" t="s">
        <v>3650</v>
      </c>
      <c r="L48" t="s">
        <v>4109</v>
      </c>
      <c r="M48" t="s">
        <v>4095</v>
      </c>
    </row>
    <row r="49" spans="1:13" hidden="1">
      <c r="A49" t="s">
        <v>4102</v>
      </c>
      <c r="B49" t="s">
        <v>3933</v>
      </c>
      <c r="C49" t="s">
        <v>4109</v>
      </c>
      <c r="D49">
        <v>24</v>
      </c>
      <c r="E49">
        <v>24</v>
      </c>
      <c r="F49" t="s">
        <v>4095</v>
      </c>
      <c r="J49" t="s">
        <v>4091</v>
      </c>
      <c r="K49" t="s">
        <v>2881</v>
      </c>
      <c r="L49" t="s">
        <v>4128</v>
      </c>
      <c r="M49" t="s">
        <v>4090</v>
      </c>
    </row>
    <row r="50" spans="1:13" hidden="1">
      <c r="A50" t="s">
        <v>4102</v>
      </c>
      <c r="B50" t="s">
        <v>1180</v>
      </c>
      <c r="C50" t="s">
        <v>4141</v>
      </c>
      <c r="D50">
        <v>56</v>
      </c>
      <c r="E50">
        <v>56</v>
      </c>
      <c r="F50" t="s">
        <v>4090</v>
      </c>
      <c r="J50" t="s">
        <v>4093</v>
      </c>
      <c r="K50" t="s">
        <v>2881</v>
      </c>
      <c r="L50" t="s">
        <v>4128</v>
      </c>
      <c r="M50" t="s">
        <v>4090</v>
      </c>
    </row>
    <row r="51" spans="1:13" hidden="1">
      <c r="A51" t="s">
        <v>4102</v>
      </c>
      <c r="B51" t="s">
        <v>1183</v>
      </c>
      <c r="C51" t="s">
        <v>4142</v>
      </c>
      <c r="D51">
        <v>396</v>
      </c>
      <c r="E51">
        <v>396</v>
      </c>
      <c r="F51" t="s">
        <v>4090</v>
      </c>
      <c r="J51" t="s">
        <v>4093</v>
      </c>
      <c r="K51" t="s">
        <v>1592</v>
      </c>
      <c r="L51" t="s">
        <v>4112</v>
      </c>
      <c r="M51" t="s">
        <v>4090</v>
      </c>
    </row>
    <row r="52" spans="1:13" hidden="1">
      <c r="A52" t="s">
        <v>4099</v>
      </c>
      <c r="B52" t="s">
        <v>3511</v>
      </c>
      <c r="C52" t="s">
        <v>4094</v>
      </c>
      <c r="D52">
        <v>24</v>
      </c>
      <c r="E52">
        <v>24</v>
      </c>
      <c r="F52" t="s">
        <v>4095</v>
      </c>
      <c r="J52" t="s">
        <v>4093</v>
      </c>
      <c r="K52" t="s">
        <v>3152</v>
      </c>
      <c r="L52" t="s">
        <v>4143</v>
      </c>
      <c r="M52" t="s">
        <v>4090</v>
      </c>
    </row>
    <row r="53" spans="1:13" hidden="1">
      <c r="A53" t="s">
        <v>4111</v>
      </c>
      <c r="B53" t="s">
        <v>2803</v>
      </c>
      <c r="C53" t="s">
        <v>4143</v>
      </c>
      <c r="D53">
        <v>462</v>
      </c>
      <c r="E53">
        <v>462</v>
      </c>
      <c r="F53" t="s">
        <v>4090</v>
      </c>
      <c r="J53" t="s">
        <v>4093</v>
      </c>
      <c r="K53" t="s">
        <v>3149</v>
      </c>
      <c r="L53" t="s">
        <v>4143</v>
      </c>
      <c r="M53" t="s">
        <v>4090</v>
      </c>
    </row>
    <row r="54" spans="1:13" hidden="1">
      <c r="A54" t="s">
        <v>4113</v>
      </c>
      <c r="B54" t="s">
        <v>2803</v>
      </c>
      <c r="C54" t="s">
        <v>4143</v>
      </c>
      <c r="D54">
        <v>462</v>
      </c>
      <c r="E54">
        <v>462</v>
      </c>
      <c r="F54" t="s">
        <v>4090</v>
      </c>
      <c r="J54" t="s">
        <v>4093</v>
      </c>
      <c r="K54" t="s">
        <v>3699</v>
      </c>
      <c r="L54" t="s">
        <v>4105</v>
      </c>
      <c r="M54" t="s">
        <v>4095</v>
      </c>
    </row>
    <row r="55" spans="1:13" hidden="1">
      <c r="A55" t="s">
        <v>4114</v>
      </c>
      <c r="B55" t="s">
        <v>2803</v>
      </c>
      <c r="C55" t="s">
        <v>4143</v>
      </c>
      <c r="D55">
        <v>462</v>
      </c>
      <c r="E55">
        <v>462</v>
      </c>
      <c r="F55" t="s">
        <v>4090</v>
      </c>
      <c r="J55" t="s">
        <v>4093</v>
      </c>
      <c r="K55" t="s">
        <v>2837</v>
      </c>
      <c r="L55" t="s">
        <v>4112</v>
      </c>
      <c r="M55" t="s">
        <v>4090</v>
      </c>
    </row>
    <row r="56" spans="1:13" hidden="1">
      <c r="A56" t="s">
        <v>4111</v>
      </c>
      <c r="B56" t="s">
        <v>3467</v>
      </c>
      <c r="C56" t="s">
        <v>4105</v>
      </c>
      <c r="D56">
        <v>462</v>
      </c>
      <c r="E56">
        <v>462</v>
      </c>
      <c r="F56" t="s">
        <v>4095</v>
      </c>
      <c r="J56" t="s">
        <v>4093</v>
      </c>
      <c r="K56" t="s">
        <v>4144</v>
      </c>
      <c r="L56" t="s">
        <v>4109</v>
      </c>
      <c r="M56" t="s">
        <v>4095</v>
      </c>
    </row>
    <row r="57" spans="1:13" hidden="1">
      <c r="A57" t="s">
        <v>4111</v>
      </c>
      <c r="B57" t="s">
        <v>3464</v>
      </c>
      <c r="C57" t="s">
        <v>4105</v>
      </c>
      <c r="D57">
        <v>144</v>
      </c>
      <c r="E57">
        <v>144</v>
      </c>
      <c r="F57" t="s">
        <v>4095</v>
      </c>
      <c r="J57" t="s">
        <v>4099</v>
      </c>
      <c r="K57" t="s">
        <v>2834</v>
      </c>
      <c r="L57" t="s">
        <v>4128</v>
      </c>
      <c r="M57" t="s">
        <v>4090</v>
      </c>
    </row>
    <row r="58" spans="1:13" hidden="1">
      <c r="A58" t="s">
        <v>4111</v>
      </c>
      <c r="B58" t="s">
        <v>3454</v>
      </c>
      <c r="C58" t="s">
        <v>4109</v>
      </c>
      <c r="D58">
        <v>48</v>
      </c>
      <c r="E58">
        <v>48</v>
      </c>
      <c r="F58" t="s">
        <v>4095</v>
      </c>
      <c r="J58" t="s">
        <v>4093</v>
      </c>
      <c r="K58" t="s">
        <v>4145</v>
      </c>
      <c r="L58" t="s">
        <v>4105</v>
      </c>
      <c r="M58" t="s">
        <v>4095</v>
      </c>
    </row>
    <row r="59" spans="1:13" hidden="1">
      <c r="A59" t="s">
        <v>4111</v>
      </c>
      <c r="B59" t="s">
        <v>3458</v>
      </c>
      <c r="C59" t="s">
        <v>4094</v>
      </c>
      <c r="D59">
        <v>44</v>
      </c>
      <c r="E59">
        <v>44</v>
      </c>
      <c r="F59" t="s">
        <v>4095</v>
      </c>
      <c r="J59" t="s">
        <v>4093</v>
      </c>
      <c r="K59" t="s">
        <v>4146</v>
      </c>
      <c r="L59" t="s">
        <v>4105</v>
      </c>
      <c r="M59" t="s">
        <v>4095</v>
      </c>
    </row>
    <row r="60" spans="1:13" hidden="1">
      <c r="A60" t="s">
        <v>4088</v>
      </c>
      <c r="B60" t="s">
        <v>894</v>
      </c>
      <c r="C60" t="s">
        <v>4118</v>
      </c>
      <c r="D60">
        <v>24</v>
      </c>
      <c r="E60">
        <v>24</v>
      </c>
      <c r="F60" t="s">
        <v>4090</v>
      </c>
      <c r="J60" t="s">
        <v>4093</v>
      </c>
      <c r="K60" t="s">
        <v>4147</v>
      </c>
      <c r="L60" t="s">
        <v>4105</v>
      </c>
      <c r="M60" t="s">
        <v>4095</v>
      </c>
    </row>
    <row r="61" spans="1:13" hidden="1">
      <c r="A61" t="s">
        <v>4088</v>
      </c>
      <c r="B61" t="s">
        <v>900</v>
      </c>
      <c r="C61" t="s">
        <v>4148</v>
      </c>
      <c r="D61">
        <v>30</v>
      </c>
      <c r="E61">
        <v>30</v>
      </c>
      <c r="F61" t="s">
        <v>4090</v>
      </c>
      <c r="J61" t="s">
        <v>4093</v>
      </c>
      <c r="K61" t="s">
        <v>4149</v>
      </c>
      <c r="L61" t="s">
        <v>4105</v>
      </c>
      <c r="M61" t="s">
        <v>4095</v>
      </c>
    </row>
    <row r="62" spans="1:13" hidden="1">
      <c r="A62" t="s">
        <v>4088</v>
      </c>
      <c r="B62" t="s">
        <v>903</v>
      </c>
      <c r="C62" t="s">
        <v>4150</v>
      </c>
      <c r="D62">
        <v>56</v>
      </c>
      <c r="E62">
        <v>56</v>
      </c>
      <c r="F62" t="s">
        <v>4090</v>
      </c>
      <c r="J62" t="s">
        <v>4093</v>
      </c>
      <c r="K62" t="s">
        <v>4151</v>
      </c>
      <c r="L62" t="s">
        <v>4105</v>
      </c>
      <c r="M62" t="s">
        <v>4095</v>
      </c>
    </row>
    <row r="63" spans="1:13" hidden="1">
      <c r="A63" t="s">
        <v>4088</v>
      </c>
      <c r="B63" t="s">
        <v>871</v>
      </c>
      <c r="C63" t="s">
        <v>4148</v>
      </c>
      <c r="D63">
        <v>30</v>
      </c>
      <c r="E63">
        <v>30</v>
      </c>
      <c r="F63" t="s">
        <v>4090</v>
      </c>
      <c r="J63" t="s">
        <v>4093</v>
      </c>
      <c r="K63" t="s">
        <v>4152</v>
      </c>
      <c r="L63" t="s">
        <v>4105</v>
      </c>
      <c r="M63" t="s">
        <v>4095</v>
      </c>
    </row>
    <row r="64" spans="1:13" hidden="1">
      <c r="A64" t="s">
        <v>4088</v>
      </c>
      <c r="B64" t="s">
        <v>907</v>
      </c>
      <c r="C64" t="s">
        <v>4150</v>
      </c>
      <c r="D64">
        <v>56</v>
      </c>
      <c r="E64">
        <v>56</v>
      </c>
      <c r="F64" t="s">
        <v>4090</v>
      </c>
      <c r="J64" t="s">
        <v>4093</v>
      </c>
      <c r="K64" t="s">
        <v>4153</v>
      </c>
      <c r="L64" t="s">
        <v>4105</v>
      </c>
      <c r="M64" t="s">
        <v>4095</v>
      </c>
    </row>
    <row r="65" spans="1:13" hidden="1">
      <c r="A65" t="s">
        <v>4088</v>
      </c>
      <c r="B65" t="s">
        <v>846</v>
      </c>
      <c r="C65" t="s">
        <v>4104</v>
      </c>
      <c r="D65">
        <v>76</v>
      </c>
      <c r="E65">
        <v>76</v>
      </c>
      <c r="F65" t="s">
        <v>4090</v>
      </c>
      <c r="J65" t="s">
        <v>4093</v>
      </c>
      <c r="K65" t="s">
        <v>4154</v>
      </c>
      <c r="L65" t="s">
        <v>4105</v>
      </c>
      <c r="M65" t="s">
        <v>4095</v>
      </c>
    </row>
    <row r="66" spans="1:13" hidden="1">
      <c r="A66" t="s">
        <v>4088</v>
      </c>
      <c r="B66" t="s">
        <v>852</v>
      </c>
      <c r="C66" t="s">
        <v>4112</v>
      </c>
      <c r="D66">
        <v>345</v>
      </c>
      <c r="E66">
        <v>69</v>
      </c>
      <c r="F66" t="s">
        <v>4090</v>
      </c>
      <c r="J66" t="s">
        <v>4093</v>
      </c>
      <c r="K66" t="s">
        <v>4155</v>
      </c>
      <c r="L66" t="s">
        <v>4105</v>
      </c>
      <c r="M66" t="s">
        <v>4095</v>
      </c>
    </row>
    <row r="67" spans="1:13" hidden="1">
      <c r="A67" t="s">
        <v>4099</v>
      </c>
      <c r="B67" t="s">
        <v>186</v>
      </c>
      <c r="C67" t="s">
        <v>4156</v>
      </c>
      <c r="D67">
        <v>48</v>
      </c>
      <c r="E67">
        <v>48</v>
      </c>
      <c r="F67" t="s">
        <v>4090</v>
      </c>
      <c r="J67" t="s">
        <v>4093</v>
      </c>
      <c r="K67" t="s">
        <v>4157</v>
      </c>
      <c r="L67" t="s">
        <v>4105</v>
      </c>
      <c r="M67" t="s">
        <v>4095</v>
      </c>
    </row>
    <row r="68" spans="1:13" hidden="1">
      <c r="A68" t="s">
        <v>4099</v>
      </c>
      <c r="B68" t="s">
        <v>214</v>
      </c>
      <c r="C68" t="s">
        <v>4126</v>
      </c>
      <c r="D68">
        <v>33</v>
      </c>
      <c r="E68">
        <v>33</v>
      </c>
      <c r="F68" t="s">
        <v>4090</v>
      </c>
      <c r="J68" t="s">
        <v>4093</v>
      </c>
      <c r="K68" t="s">
        <v>4158</v>
      </c>
      <c r="L68" t="s">
        <v>4105</v>
      </c>
      <c r="M68" t="s">
        <v>4095</v>
      </c>
    </row>
    <row r="69" spans="1:13" hidden="1">
      <c r="A69" t="s">
        <v>4099</v>
      </c>
      <c r="B69" t="s">
        <v>114</v>
      </c>
      <c r="C69" t="s">
        <v>4159</v>
      </c>
      <c r="D69">
        <v>48</v>
      </c>
      <c r="E69">
        <v>48</v>
      </c>
      <c r="F69" t="s">
        <v>4090</v>
      </c>
      <c r="J69" t="s">
        <v>4093</v>
      </c>
      <c r="K69" t="s">
        <v>4160</v>
      </c>
      <c r="L69" t="s">
        <v>4105</v>
      </c>
      <c r="M69" t="s">
        <v>4095</v>
      </c>
    </row>
    <row r="70" spans="1:13" hidden="1">
      <c r="A70" t="s">
        <v>4099</v>
      </c>
      <c r="B70" t="s">
        <v>220</v>
      </c>
      <c r="C70" t="s">
        <v>4103</v>
      </c>
      <c r="D70">
        <v>33</v>
      </c>
      <c r="E70">
        <v>33</v>
      </c>
      <c r="F70" t="s">
        <v>4090</v>
      </c>
      <c r="J70" t="s">
        <v>4093</v>
      </c>
      <c r="K70" t="s">
        <v>4161</v>
      </c>
      <c r="L70" t="s">
        <v>4105</v>
      </c>
      <c r="M70" t="s">
        <v>4095</v>
      </c>
    </row>
    <row r="71" spans="1:13" hidden="1">
      <c r="A71" t="s">
        <v>4093</v>
      </c>
      <c r="B71" t="s">
        <v>650</v>
      </c>
      <c r="C71" t="s">
        <v>4162</v>
      </c>
      <c r="D71">
        <v>462</v>
      </c>
      <c r="E71">
        <v>462</v>
      </c>
      <c r="F71" t="s">
        <v>4090</v>
      </c>
      <c r="J71" t="s">
        <v>4093</v>
      </c>
      <c r="K71" t="s">
        <v>4163</v>
      </c>
      <c r="L71" t="s">
        <v>4105</v>
      </c>
      <c r="M71" t="s">
        <v>4095</v>
      </c>
    </row>
    <row r="72" spans="1:13" hidden="1">
      <c r="A72" t="s">
        <v>4093</v>
      </c>
      <c r="B72" t="s">
        <v>641</v>
      </c>
      <c r="C72" t="s">
        <v>4112</v>
      </c>
      <c r="D72">
        <v>144</v>
      </c>
      <c r="E72">
        <v>24</v>
      </c>
      <c r="F72" t="s">
        <v>4090</v>
      </c>
      <c r="J72" t="s">
        <v>4093</v>
      </c>
      <c r="K72" t="s">
        <v>4164</v>
      </c>
      <c r="L72" t="s">
        <v>4105</v>
      </c>
      <c r="M72" t="s">
        <v>4095</v>
      </c>
    </row>
    <row r="73" spans="1:13" hidden="1">
      <c r="A73" t="s">
        <v>4093</v>
      </c>
      <c r="B73" t="s">
        <v>621</v>
      </c>
      <c r="C73" t="s">
        <v>4165</v>
      </c>
      <c r="D73">
        <v>44</v>
      </c>
      <c r="E73">
        <v>44</v>
      </c>
      <c r="F73" t="s">
        <v>4090</v>
      </c>
      <c r="J73" t="s">
        <v>4093</v>
      </c>
      <c r="K73" t="s">
        <v>4166</v>
      </c>
      <c r="L73" t="s">
        <v>4105</v>
      </c>
      <c r="M73" t="s">
        <v>4095</v>
      </c>
    </row>
    <row r="74" spans="1:13" hidden="1">
      <c r="A74" t="s">
        <v>4093</v>
      </c>
      <c r="B74" t="s">
        <v>1063</v>
      </c>
      <c r="C74" t="s">
        <v>4167</v>
      </c>
      <c r="D74">
        <v>462</v>
      </c>
      <c r="E74">
        <v>462</v>
      </c>
      <c r="F74" t="s">
        <v>4090</v>
      </c>
      <c r="J74" t="s">
        <v>4093</v>
      </c>
      <c r="K74" t="s">
        <v>4168</v>
      </c>
      <c r="L74" t="s">
        <v>4105</v>
      </c>
      <c r="M74" t="s">
        <v>4095</v>
      </c>
    </row>
    <row r="75" spans="1:13" hidden="1">
      <c r="A75" t="s">
        <v>4093</v>
      </c>
      <c r="B75" t="s">
        <v>1066</v>
      </c>
      <c r="C75" t="s">
        <v>4169</v>
      </c>
      <c r="D75">
        <v>168</v>
      </c>
      <c r="E75">
        <v>168</v>
      </c>
      <c r="F75" t="s">
        <v>4090</v>
      </c>
      <c r="J75" t="s">
        <v>4093</v>
      </c>
      <c r="K75" t="s">
        <v>4170</v>
      </c>
      <c r="L75" t="s">
        <v>4105</v>
      </c>
      <c r="M75" t="s">
        <v>4095</v>
      </c>
    </row>
    <row r="76" spans="1:13" hidden="1">
      <c r="A76" t="s">
        <v>4093</v>
      </c>
      <c r="B76" t="s">
        <v>1149</v>
      </c>
      <c r="C76" t="s">
        <v>4122</v>
      </c>
      <c r="D76">
        <v>44</v>
      </c>
      <c r="E76">
        <v>44</v>
      </c>
      <c r="F76" t="s">
        <v>4090</v>
      </c>
      <c r="J76" t="s">
        <v>4093</v>
      </c>
      <c r="K76" t="s">
        <v>4171</v>
      </c>
      <c r="L76" t="s">
        <v>4105</v>
      </c>
      <c r="M76" t="s">
        <v>4095</v>
      </c>
    </row>
    <row r="77" spans="1:13" hidden="1">
      <c r="A77" t="s">
        <v>4093</v>
      </c>
      <c r="B77" t="s">
        <v>647</v>
      </c>
      <c r="C77" t="s">
        <v>4162</v>
      </c>
      <c r="D77">
        <v>462</v>
      </c>
      <c r="E77">
        <v>462</v>
      </c>
      <c r="F77" t="s">
        <v>4090</v>
      </c>
      <c r="J77" t="s">
        <v>4093</v>
      </c>
      <c r="K77" t="s">
        <v>4172</v>
      </c>
      <c r="L77" t="s">
        <v>4105</v>
      </c>
      <c r="M77" t="s">
        <v>4095</v>
      </c>
    </row>
    <row r="78" spans="1:13" hidden="1">
      <c r="A78" t="s">
        <v>4093</v>
      </c>
      <c r="B78" t="s">
        <v>630</v>
      </c>
      <c r="C78" t="s">
        <v>4112</v>
      </c>
      <c r="D78">
        <v>144</v>
      </c>
      <c r="E78">
        <v>24</v>
      </c>
      <c r="F78" t="s">
        <v>4090</v>
      </c>
      <c r="J78" t="s">
        <v>4093</v>
      </c>
      <c r="K78" t="s">
        <v>4173</v>
      </c>
      <c r="L78" t="s">
        <v>4105</v>
      </c>
      <c r="M78" t="s">
        <v>4095</v>
      </c>
    </row>
    <row r="79" spans="1:13" hidden="1">
      <c r="A79" t="s">
        <v>4093</v>
      </c>
      <c r="B79" t="s">
        <v>615</v>
      </c>
      <c r="C79" t="s">
        <v>4165</v>
      </c>
      <c r="D79">
        <v>44</v>
      </c>
      <c r="E79">
        <v>44</v>
      </c>
      <c r="F79" t="s">
        <v>4090</v>
      </c>
      <c r="J79" t="s">
        <v>4093</v>
      </c>
      <c r="K79" t="s">
        <v>4174</v>
      </c>
      <c r="L79" t="s">
        <v>4105</v>
      </c>
      <c r="M79" t="s">
        <v>4095</v>
      </c>
    </row>
    <row r="80" spans="1:13" hidden="1">
      <c r="A80" t="s">
        <v>4093</v>
      </c>
      <c r="B80" t="s">
        <v>1102</v>
      </c>
      <c r="C80" t="s">
        <v>4167</v>
      </c>
      <c r="D80">
        <v>462</v>
      </c>
      <c r="E80">
        <v>462</v>
      </c>
      <c r="F80" t="s">
        <v>4090</v>
      </c>
      <c r="J80" t="s">
        <v>4099</v>
      </c>
      <c r="K80" t="s">
        <v>3417</v>
      </c>
      <c r="L80" t="s">
        <v>4094</v>
      </c>
      <c r="M80" t="s">
        <v>4095</v>
      </c>
    </row>
    <row r="81" spans="1:13" hidden="1">
      <c r="A81" t="s">
        <v>4093</v>
      </c>
      <c r="B81" t="s">
        <v>1069</v>
      </c>
      <c r="C81" t="s">
        <v>4169</v>
      </c>
      <c r="D81">
        <v>168</v>
      </c>
      <c r="E81">
        <v>168</v>
      </c>
      <c r="F81" t="s">
        <v>4090</v>
      </c>
      <c r="J81" t="s">
        <v>4099</v>
      </c>
      <c r="K81" t="s">
        <v>4175</v>
      </c>
      <c r="L81" t="s">
        <v>4105</v>
      </c>
      <c r="M81" t="s">
        <v>4095</v>
      </c>
    </row>
    <row r="82" spans="1:13" hidden="1">
      <c r="A82" t="s">
        <v>4093</v>
      </c>
      <c r="B82" t="s">
        <v>1081</v>
      </c>
      <c r="C82" t="s">
        <v>4129</v>
      </c>
      <c r="D82">
        <v>44</v>
      </c>
      <c r="E82">
        <v>44</v>
      </c>
      <c r="F82" t="s">
        <v>4090</v>
      </c>
      <c r="J82" t="s">
        <v>4099</v>
      </c>
      <c r="K82" t="s">
        <v>4176</v>
      </c>
      <c r="L82" t="s">
        <v>4105</v>
      </c>
      <c r="M82" t="s">
        <v>4095</v>
      </c>
    </row>
    <row r="83" spans="1:13" hidden="1">
      <c r="A83" t="s">
        <v>4093</v>
      </c>
      <c r="B83" t="s">
        <v>2123</v>
      </c>
      <c r="C83" t="s">
        <v>4100</v>
      </c>
      <c r="D83">
        <v>36</v>
      </c>
      <c r="E83">
        <v>36</v>
      </c>
      <c r="F83" t="s">
        <v>4090</v>
      </c>
      <c r="J83" t="s">
        <v>4099</v>
      </c>
      <c r="K83" t="s">
        <v>4177</v>
      </c>
      <c r="L83" t="s">
        <v>4105</v>
      </c>
      <c r="M83" t="s">
        <v>4095</v>
      </c>
    </row>
    <row r="84" spans="1:13" hidden="1">
      <c r="A84" t="s">
        <v>4093</v>
      </c>
      <c r="B84" t="s">
        <v>812</v>
      </c>
      <c r="C84" t="s">
        <v>4178</v>
      </c>
      <c r="D84">
        <v>36</v>
      </c>
      <c r="E84">
        <v>36</v>
      </c>
      <c r="F84" t="s">
        <v>4090</v>
      </c>
      <c r="J84" t="s">
        <v>4099</v>
      </c>
      <c r="K84" t="s">
        <v>4179</v>
      </c>
      <c r="L84" t="s">
        <v>4105</v>
      </c>
      <c r="M84" t="s">
        <v>4095</v>
      </c>
    </row>
    <row r="85" spans="1:13" hidden="1">
      <c r="A85" t="s">
        <v>4093</v>
      </c>
      <c r="B85" t="s">
        <v>3146</v>
      </c>
      <c r="C85" t="s">
        <v>4180</v>
      </c>
      <c r="D85">
        <v>36</v>
      </c>
      <c r="E85">
        <v>36</v>
      </c>
      <c r="F85" t="s">
        <v>4090</v>
      </c>
      <c r="J85" t="s">
        <v>4099</v>
      </c>
      <c r="K85" t="s">
        <v>4181</v>
      </c>
      <c r="L85" t="s">
        <v>4105</v>
      </c>
      <c r="M85" t="s">
        <v>4095</v>
      </c>
    </row>
    <row r="86" spans="1:13" hidden="1">
      <c r="A86" t="s">
        <v>4093</v>
      </c>
      <c r="B86" t="s">
        <v>2116</v>
      </c>
      <c r="C86" t="s">
        <v>4118</v>
      </c>
      <c r="D86">
        <v>462</v>
      </c>
      <c r="E86">
        <v>462</v>
      </c>
      <c r="F86" t="s">
        <v>4090</v>
      </c>
      <c r="J86" t="s">
        <v>4093</v>
      </c>
      <c r="K86" t="s">
        <v>3850</v>
      </c>
      <c r="L86" t="s">
        <v>4109</v>
      </c>
      <c r="M86" t="s">
        <v>4095</v>
      </c>
    </row>
    <row r="87" spans="1:13" hidden="1">
      <c r="A87" t="s">
        <v>4093</v>
      </c>
      <c r="B87" t="s">
        <v>2126</v>
      </c>
      <c r="C87" t="s">
        <v>4092</v>
      </c>
      <c r="D87">
        <v>96</v>
      </c>
      <c r="E87">
        <v>96</v>
      </c>
      <c r="F87" t="s">
        <v>4090</v>
      </c>
      <c r="J87" t="s">
        <v>4093</v>
      </c>
      <c r="K87" t="s">
        <v>3860</v>
      </c>
      <c r="L87" t="s">
        <v>4109</v>
      </c>
      <c r="M87" t="s">
        <v>4095</v>
      </c>
    </row>
    <row r="88" spans="1:13" hidden="1">
      <c r="A88" t="s">
        <v>4093</v>
      </c>
      <c r="B88" t="s">
        <v>2141</v>
      </c>
      <c r="C88" t="s">
        <v>4101</v>
      </c>
      <c r="D88">
        <v>36</v>
      </c>
      <c r="E88">
        <v>36</v>
      </c>
      <c r="F88" t="s">
        <v>4090</v>
      </c>
      <c r="J88" t="s">
        <v>4099</v>
      </c>
      <c r="K88" t="s">
        <v>3232</v>
      </c>
      <c r="L88" t="s">
        <v>4182</v>
      </c>
      <c r="M88" t="s">
        <v>4090</v>
      </c>
    </row>
    <row r="89" spans="1:13" hidden="1">
      <c r="A89" t="s">
        <v>4093</v>
      </c>
      <c r="B89" t="s">
        <v>830</v>
      </c>
      <c r="C89" t="s">
        <v>4178</v>
      </c>
      <c r="D89">
        <v>36</v>
      </c>
      <c r="E89">
        <v>36</v>
      </c>
      <c r="F89" t="s">
        <v>4090</v>
      </c>
      <c r="J89" t="s">
        <v>4117</v>
      </c>
      <c r="K89" t="s">
        <v>3232</v>
      </c>
      <c r="L89" t="s">
        <v>4182</v>
      </c>
      <c r="M89" t="s">
        <v>4090</v>
      </c>
    </row>
    <row r="90" spans="1:13" hidden="1">
      <c r="A90" t="s">
        <v>4093</v>
      </c>
      <c r="B90" t="s">
        <v>303</v>
      </c>
      <c r="C90" t="s">
        <v>4132</v>
      </c>
      <c r="D90">
        <v>420</v>
      </c>
      <c r="E90">
        <v>420</v>
      </c>
      <c r="F90" t="s">
        <v>4090</v>
      </c>
      <c r="J90" t="s">
        <v>4099</v>
      </c>
      <c r="K90" t="s">
        <v>2799</v>
      </c>
      <c r="L90" t="s">
        <v>4126</v>
      </c>
      <c r="M90" t="s">
        <v>4090</v>
      </c>
    </row>
    <row r="91" spans="1:13" hidden="1">
      <c r="A91" t="s">
        <v>4093</v>
      </c>
      <c r="B91" t="s">
        <v>1362</v>
      </c>
      <c r="C91" t="s">
        <v>4092</v>
      </c>
      <c r="D91">
        <v>345</v>
      </c>
      <c r="E91">
        <v>345</v>
      </c>
      <c r="F91" t="s">
        <v>4090</v>
      </c>
      <c r="J91" t="s">
        <v>4099</v>
      </c>
      <c r="K91" t="s">
        <v>761</v>
      </c>
      <c r="L91" t="s">
        <v>4092</v>
      </c>
      <c r="M91" t="s">
        <v>4090</v>
      </c>
    </row>
    <row r="92" spans="1:13" hidden="1">
      <c r="A92" t="s">
        <v>4093</v>
      </c>
      <c r="B92" t="s">
        <v>1481</v>
      </c>
      <c r="C92" t="s">
        <v>4183</v>
      </c>
      <c r="D92">
        <v>420</v>
      </c>
      <c r="E92">
        <v>420</v>
      </c>
      <c r="F92" t="s">
        <v>4090</v>
      </c>
      <c r="J92" t="s">
        <v>4099</v>
      </c>
      <c r="K92" t="s">
        <v>792</v>
      </c>
      <c r="L92" t="s">
        <v>4184</v>
      </c>
      <c r="M92" t="s">
        <v>4090</v>
      </c>
    </row>
    <row r="93" spans="1:13" hidden="1">
      <c r="A93" t="s">
        <v>4093</v>
      </c>
      <c r="B93" t="s">
        <v>1912</v>
      </c>
      <c r="C93" t="s">
        <v>4112</v>
      </c>
      <c r="D93">
        <v>420</v>
      </c>
      <c r="E93">
        <v>70</v>
      </c>
      <c r="F93" t="s">
        <v>4090</v>
      </c>
      <c r="J93" t="s">
        <v>4091</v>
      </c>
      <c r="K93" t="s">
        <v>2594</v>
      </c>
      <c r="L93" t="s">
        <v>4185</v>
      </c>
      <c r="M93" t="s">
        <v>4090</v>
      </c>
    </row>
    <row r="94" spans="1:13" hidden="1">
      <c r="A94" t="s">
        <v>4093</v>
      </c>
      <c r="B94" t="s">
        <v>3090</v>
      </c>
      <c r="C94" t="s">
        <v>4112</v>
      </c>
      <c r="D94">
        <v>345</v>
      </c>
      <c r="E94">
        <v>69</v>
      </c>
      <c r="F94" t="s">
        <v>4090</v>
      </c>
      <c r="J94" t="s">
        <v>4091</v>
      </c>
      <c r="K94" t="s">
        <v>4186</v>
      </c>
      <c r="L94" t="s">
        <v>4094</v>
      </c>
      <c r="M94" t="s">
        <v>4095</v>
      </c>
    </row>
    <row r="95" spans="1:13" hidden="1">
      <c r="A95" t="s">
        <v>4093</v>
      </c>
      <c r="B95" t="s">
        <v>719</v>
      </c>
      <c r="C95" t="s">
        <v>4183</v>
      </c>
      <c r="D95">
        <v>420</v>
      </c>
      <c r="E95">
        <v>420</v>
      </c>
      <c r="F95" t="s">
        <v>4090</v>
      </c>
      <c r="J95" t="s">
        <v>4093</v>
      </c>
      <c r="K95" t="s">
        <v>1550</v>
      </c>
      <c r="L95" t="s">
        <v>4159</v>
      </c>
      <c r="M95" t="s">
        <v>4090</v>
      </c>
    </row>
    <row r="96" spans="1:13" hidden="1">
      <c r="A96" t="s">
        <v>4093</v>
      </c>
      <c r="B96" t="s">
        <v>3258</v>
      </c>
      <c r="C96" t="s">
        <v>4105</v>
      </c>
      <c r="D96">
        <v>462</v>
      </c>
      <c r="E96">
        <v>462</v>
      </c>
      <c r="F96" t="s">
        <v>4095</v>
      </c>
      <c r="J96" t="s">
        <v>4093</v>
      </c>
      <c r="K96" t="s">
        <v>1454</v>
      </c>
      <c r="L96" t="s">
        <v>4183</v>
      </c>
      <c r="M96" t="s">
        <v>4090</v>
      </c>
    </row>
    <row r="97" spans="1:13" hidden="1">
      <c r="A97" t="s">
        <v>4099</v>
      </c>
      <c r="B97" t="s">
        <v>438</v>
      </c>
      <c r="C97" t="s">
        <v>4089</v>
      </c>
      <c r="D97">
        <v>48</v>
      </c>
      <c r="E97">
        <v>48</v>
      </c>
      <c r="F97" t="s">
        <v>4090</v>
      </c>
      <c r="J97" t="s">
        <v>4099</v>
      </c>
      <c r="K97" t="s">
        <v>2711</v>
      </c>
      <c r="L97" t="s">
        <v>4183</v>
      </c>
      <c r="M97" t="s">
        <v>4090</v>
      </c>
    </row>
    <row r="98" spans="1:13" hidden="1">
      <c r="A98" t="s">
        <v>4099</v>
      </c>
      <c r="B98" t="s">
        <v>3498</v>
      </c>
      <c r="C98" t="s">
        <v>4105</v>
      </c>
      <c r="D98">
        <v>48</v>
      </c>
      <c r="E98">
        <v>48</v>
      </c>
      <c r="F98" t="s">
        <v>4095</v>
      </c>
      <c r="J98" t="s">
        <v>4099</v>
      </c>
      <c r="K98" t="s">
        <v>2658</v>
      </c>
      <c r="L98" t="s">
        <v>4187</v>
      </c>
      <c r="M98" t="s">
        <v>4090</v>
      </c>
    </row>
    <row r="99" spans="1:13" hidden="1">
      <c r="A99" t="s">
        <v>4099</v>
      </c>
      <c r="B99" t="s">
        <v>461</v>
      </c>
      <c r="C99" t="s">
        <v>4109</v>
      </c>
      <c r="D99">
        <v>33</v>
      </c>
      <c r="E99">
        <v>33</v>
      </c>
      <c r="F99" t="s">
        <v>4090</v>
      </c>
      <c r="J99" t="s">
        <v>4099</v>
      </c>
      <c r="K99" t="s">
        <v>2892</v>
      </c>
      <c r="L99" t="s">
        <v>4140</v>
      </c>
      <c r="M99" t="s">
        <v>4090</v>
      </c>
    </row>
    <row r="100" spans="1:13" hidden="1">
      <c r="A100" t="s">
        <v>4099</v>
      </c>
      <c r="B100" t="s">
        <v>3620</v>
      </c>
      <c r="C100" t="s">
        <v>4094</v>
      </c>
      <c r="D100">
        <v>33</v>
      </c>
      <c r="E100">
        <v>33</v>
      </c>
      <c r="F100" t="s">
        <v>4095</v>
      </c>
      <c r="J100" t="s">
        <v>4099</v>
      </c>
      <c r="K100" t="s">
        <v>2924</v>
      </c>
      <c r="L100" t="s">
        <v>4112</v>
      </c>
      <c r="M100" t="s">
        <v>4090</v>
      </c>
    </row>
    <row r="101" spans="1:13" hidden="1">
      <c r="A101" t="s">
        <v>4099</v>
      </c>
      <c r="B101" t="s">
        <v>448</v>
      </c>
      <c r="C101" t="s">
        <v>4089</v>
      </c>
      <c r="D101">
        <v>48</v>
      </c>
      <c r="E101">
        <v>48</v>
      </c>
      <c r="F101" t="s">
        <v>4090</v>
      </c>
      <c r="J101" t="s">
        <v>4093</v>
      </c>
      <c r="K101" t="s">
        <v>1861</v>
      </c>
      <c r="L101" t="s">
        <v>4188</v>
      </c>
      <c r="M101" t="s">
        <v>4090</v>
      </c>
    </row>
    <row r="102" spans="1:13" hidden="1">
      <c r="A102" t="s">
        <v>4099</v>
      </c>
      <c r="B102" t="s">
        <v>3502</v>
      </c>
      <c r="C102" t="s">
        <v>4105</v>
      </c>
      <c r="D102">
        <v>48</v>
      </c>
      <c r="E102">
        <v>48</v>
      </c>
      <c r="F102" t="s">
        <v>4095</v>
      </c>
      <c r="J102" t="s">
        <v>4093</v>
      </c>
      <c r="K102" t="s">
        <v>1931</v>
      </c>
      <c r="L102" t="s">
        <v>4188</v>
      </c>
      <c r="M102" t="s">
        <v>4090</v>
      </c>
    </row>
    <row r="103" spans="1:13" hidden="1">
      <c r="A103" t="s">
        <v>4099</v>
      </c>
      <c r="B103" t="s">
        <v>3838</v>
      </c>
      <c r="C103" t="s">
        <v>4094</v>
      </c>
      <c r="D103">
        <v>33</v>
      </c>
      <c r="E103">
        <v>33</v>
      </c>
      <c r="F103" t="s">
        <v>4095</v>
      </c>
      <c r="J103" t="s">
        <v>4099</v>
      </c>
      <c r="K103" t="s">
        <v>3588</v>
      </c>
      <c r="L103" t="s">
        <v>4105</v>
      </c>
      <c r="M103" t="s">
        <v>4095</v>
      </c>
    </row>
    <row r="104" spans="1:13" hidden="1">
      <c r="A104" t="s">
        <v>4099</v>
      </c>
      <c r="B104" t="s">
        <v>3626</v>
      </c>
      <c r="C104" t="s">
        <v>4109</v>
      </c>
      <c r="D104">
        <v>33</v>
      </c>
      <c r="E104">
        <v>33</v>
      </c>
      <c r="F104" t="s">
        <v>4095</v>
      </c>
      <c r="J104" t="s">
        <v>4093</v>
      </c>
      <c r="K104" t="s">
        <v>4189</v>
      </c>
      <c r="L104" t="s">
        <v>4109</v>
      </c>
      <c r="M104" t="s">
        <v>4095</v>
      </c>
    </row>
    <row r="105" spans="1:13" hidden="1">
      <c r="A105" t="s">
        <v>4106</v>
      </c>
      <c r="B105" t="s">
        <v>2747</v>
      </c>
      <c r="C105" t="s">
        <v>4190</v>
      </c>
      <c r="D105">
        <v>48</v>
      </c>
      <c r="E105">
        <v>48</v>
      </c>
      <c r="F105" t="s">
        <v>4090</v>
      </c>
      <c r="J105" t="s">
        <v>4091</v>
      </c>
      <c r="K105" t="s">
        <v>2120</v>
      </c>
      <c r="L105" t="s">
        <v>4101</v>
      </c>
      <c r="M105" t="s">
        <v>4090</v>
      </c>
    </row>
    <row r="106" spans="1:13" hidden="1">
      <c r="A106" t="s">
        <v>4106</v>
      </c>
      <c r="B106" t="s">
        <v>2755</v>
      </c>
      <c r="C106" t="s">
        <v>4191</v>
      </c>
      <c r="D106">
        <v>33</v>
      </c>
      <c r="E106">
        <v>33</v>
      </c>
      <c r="F106" t="s">
        <v>4090</v>
      </c>
      <c r="J106" t="s">
        <v>4093</v>
      </c>
      <c r="K106" t="s">
        <v>1117</v>
      </c>
      <c r="L106" t="s">
        <v>4192</v>
      </c>
      <c r="M106" t="s">
        <v>4090</v>
      </c>
    </row>
    <row r="107" spans="1:13" hidden="1">
      <c r="A107" t="s">
        <v>4106</v>
      </c>
      <c r="B107" t="s">
        <v>1733</v>
      </c>
      <c r="C107" t="s">
        <v>4148</v>
      </c>
      <c r="D107">
        <v>462</v>
      </c>
      <c r="E107">
        <v>462</v>
      </c>
      <c r="F107" t="s">
        <v>4090</v>
      </c>
      <c r="J107" t="s">
        <v>4091</v>
      </c>
      <c r="K107" t="s">
        <v>1120</v>
      </c>
      <c r="L107" t="s">
        <v>4193</v>
      </c>
      <c r="M107" t="s">
        <v>4090</v>
      </c>
    </row>
    <row r="108" spans="1:13" hidden="1">
      <c r="A108" t="s">
        <v>4106</v>
      </c>
      <c r="B108" t="s">
        <v>1736</v>
      </c>
      <c r="C108" t="s">
        <v>4121</v>
      </c>
      <c r="D108">
        <v>48</v>
      </c>
      <c r="E108">
        <v>48</v>
      </c>
      <c r="F108" t="s">
        <v>4090</v>
      </c>
      <c r="J108" t="s">
        <v>4091</v>
      </c>
      <c r="K108" t="s">
        <v>1123</v>
      </c>
      <c r="L108" t="s">
        <v>4194</v>
      </c>
      <c r="M108" t="s">
        <v>4090</v>
      </c>
    </row>
    <row r="109" spans="1:13" hidden="1">
      <c r="A109" t="s">
        <v>4106</v>
      </c>
      <c r="B109" t="s">
        <v>1707</v>
      </c>
      <c r="C109" t="s">
        <v>4195</v>
      </c>
      <c r="D109">
        <v>33</v>
      </c>
      <c r="E109">
        <v>33</v>
      </c>
      <c r="F109" t="s">
        <v>4090</v>
      </c>
      <c r="J109" t="s">
        <v>4091</v>
      </c>
      <c r="K109" t="s">
        <v>1084</v>
      </c>
      <c r="L109" t="s">
        <v>4129</v>
      </c>
      <c r="M109" t="s">
        <v>4090</v>
      </c>
    </row>
    <row r="110" spans="1:13" hidden="1">
      <c r="A110" t="s">
        <v>4099</v>
      </c>
      <c r="B110" t="s">
        <v>507</v>
      </c>
      <c r="C110" t="s">
        <v>4092</v>
      </c>
      <c r="D110">
        <v>180</v>
      </c>
      <c r="E110">
        <v>180</v>
      </c>
      <c r="F110" t="s">
        <v>4090</v>
      </c>
      <c r="J110" t="s">
        <v>4091</v>
      </c>
      <c r="K110" t="s">
        <v>3960</v>
      </c>
      <c r="L110" t="s">
        <v>4105</v>
      </c>
      <c r="M110" t="s">
        <v>4095</v>
      </c>
    </row>
    <row r="111" spans="1:13" hidden="1">
      <c r="A111" t="s">
        <v>4093</v>
      </c>
      <c r="B111" t="s">
        <v>2696</v>
      </c>
      <c r="C111" t="s">
        <v>4112</v>
      </c>
      <c r="D111">
        <v>462</v>
      </c>
      <c r="E111">
        <v>66</v>
      </c>
      <c r="F111" t="s">
        <v>4090</v>
      </c>
      <c r="J111" t="s">
        <v>4091</v>
      </c>
      <c r="K111" t="s">
        <v>3963</v>
      </c>
      <c r="L111" t="s">
        <v>4105</v>
      </c>
      <c r="M111" t="s">
        <v>4095</v>
      </c>
    </row>
    <row r="112" spans="1:13" hidden="1">
      <c r="A112" t="s">
        <v>4099</v>
      </c>
      <c r="B112" t="s">
        <v>1174</v>
      </c>
      <c r="C112" t="s">
        <v>4104</v>
      </c>
      <c r="D112">
        <v>96</v>
      </c>
      <c r="E112">
        <v>96</v>
      </c>
      <c r="F112" t="s">
        <v>4090</v>
      </c>
      <c r="J112" t="s">
        <v>4091</v>
      </c>
      <c r="K112" t="s">
        <v>3966</v>
      </c>
      <c r="L112" t="s">
        <v>4105</v>
      </c>
      <c r="M112" t="s">
        <v>4095</v>
      </c>
    </row>
    <row r="113" spans="1:13" hidden="1">
      <c r="A113" t="s">
        <v>4099</v>
      </c>
      <c r="B113" t="s">
        <v>1204</v>
      </c>
      <c r="C113" t="s">
        <v>4196</v>
      </c>
      <c r="D113">
        <v>64</v>
      </c>
      <c r="E113">
        <v>64</v>
      </c>
      <c r="F113" t="s">
        <v>4090</v>
      </c>
      <c r="J113" t="s">
        <v>4091</v>
      </c>
      <c r="K113" t="s">
        <v>3945</v>
      </c>
      <c r="L113" t="s">
        <v>4105</v>
      </c>
      <c r="M113" t="s">
        <v>4095</v>
      </c>
    </row>
    <row r="114" spans="1:13" hidden="1">
      <c r="A114" t="s">
        <v>4091</v>
      </c>
      <c r="B114" t="s">
        <v>855</v>
      </c>
      <c r="C114" t="s">
        <v>4133</v>
      </c>
      <c r="D114">
        <v>180</v>
      </c>
      <c r="E114">
        <v>180</v>
      </c>
      <c r="F114" t="s">
        <v>4090</v>
      </c>
      <c r="J114" t="s">
        <v>4106</v>
      </c>
      <c r="K114" t="s">
        <v>2859</v>
      </c>
      <c r="L114" t="s">
        <v>4112</v>
      </c>
      <c r="M114" t="s">
        <v>4090</v>
      </c>
    </row>
    <row r="115" spans="1:13" hidden="1">
      <c r="A115" t="s">
        <v>4091</v>
      </c>
      <c r="B115" t="s">
        <v>876</v>
      </c>
      <c r="C115" t="s">
        <v>4150</v>
      </c>
      <c r="D115">
        <v>48</v>
      </c>
      <c r="E115">
        <v>48</v>
      </c>
      <c r="F115" t="s">
        <v>4090</v>
      </c>
      <c r="J115" t="s">
        <v>4099</v>
      </c>
      <c r="K115" t="s">
        <v>2413</v>
      </c>
      <c r="L115" t="s">
        <v>4118</v>
      </c>
      <c r="M115" t="s">
        <v>4090</v>
      </c>
    </row>
    <row r="116" spans="1:13" hidden="1">
      <c r="A116" t="s">
        <v>4091</v>
      </c>
      <c r="B116" t="s">
        <v>967</v>
      </c>
      <c r="C116" t="s">
        <v>4182</v>
      </c>
      <c r="D116">
        <v>44</v>
      </c>
      <c r="E116">
        <v>44</v>
      </c>
      <c r="F116" t="s">
        <v>4090</v>
      </c>
      <c r="J116" t="s">
        <v>4099</v>
      </c>
      <c r="K116" t="s">
        <v>1527</v>
      </c>
      <c r="L116" t="s">
        <v>4141</v>
      </c>
      <c r="M116" t="s">
        <v>4090</v>
      </c>
    </row>
    <row r="117" spans="1:13" hidden="1">
      <c r="A117" t="s">
        <v>4110</v>
      </c>
      <c r="B117" t="s">
        <v>2807</v>
      </c>
      <c r="C117" t="s">
        <v>4143</v>
      </c>
      <c r="D117">
        <v>462</v>
      </c>
      <c r="E117">
        <v>462</v>
      </c>
      <c r="F117" t="s">
        <v>4090</v>
      </c>
      <c r="J117" t="s">
        <v>4099</v>
      </c>
      <c r="K117" t="s">
        <v>1547</v>
      </c>
      <c r="L117" t="s">
        <v>4159</v>
      </c>
      <c r="M117" t="s">
        <v>4090</v>
      </c>
    </row>
    <row r="118" spans="1:13" hidden="1">
      <c r="A118" t="s">
        <v>4110</v>
      </c>
      <c r="B118" t="s">
        <v>2810</v>
      </c>
      <c r="C118" t="s">
        <v>4197</v>
      </c>
      <c r="D118">
        <v>60</v>
      </c>
      <c r="E118">
        <v>60</v>
      </c>
      <c r="F118" t="s">
        <v>4090</v>
      </c>
      <c r="J118" t="s">
        <v>4093</v>
      </c>
      <c r="K118" t="s">
        <v>1078</v>
      </c>
      <c r="L118" t="s">
        <v>4192</v>
      </c>
      <c r="M118" t="s">
        <v>4090</v>
      </c>
    </row>
    <row r="119" spans="1:13" hidden="1">
      <c r="A119" t="s">
        <v>4106</v>
      </c>
      <c r="B119" t="s">
        <v>3433</v>
      </c>
      <c r="C119" t="s">
        <v>4109</v>
      </c>
      <c r="D119">
        <v>462</v>
      </c>
      <c r="E119">
        <v>462</v>
      </c>
      <c r="F119" t="s">
        <v>4095</v>
      </c>
      <c r="J119" t="s">
        <v>4093</v>
      </c>
      <c r="K119" t="s">
        <v>1536</v>
      </c>
      <c r="L119" t="s">
        <v>4141</v>
      </c>
      <c r="M119" t="s">
        <v>4090</v>
      </c>
    </row>
    <row r="120" spans="1:13" hidden="1">
      <c r="A120" t="s">
        <v>4106</v>
      </c>
      <c r="B120" t="s">
        <v>3407</v>
      </c>
      <c r="C120" t="s">
        <v>4109</v>
      </c>
      <c r="D120">
        <v>180</v>
      </c>
      <c r="E120">
        <v>180</v>
      </c>
      <c r="F120" t="s">
        <v>4095</v>
      </c>
      <c r="J120" t="s">
        <v>4093</v>
      </c>
      <c r="K120" t="s">
        <v>1681</v>
      </c>
      <c r="L120" t="s">
        <v>4141</v>
      </c>
      <c r="M120" t="s">
        <v>4090</v>
      </c>
    </row>
    <row r="121" spans="1:13" hidden="1">
      <c r="A121" t="s">
        <v>4106</v>
      </c>
      <c r="B121" t="s">
        <v>3422</v>
      </c>
      <c r="C121" t="s">
        <v>4094</v>
      </c>
      <c r="D121">
        <v>44</v>
      </c>
      <c r="E121">
        <v>44</v>
      </c>
      <c r="F121" t="s">
        <v>4095</v>
      </c>
      <c r="J121" t="s">
        <v>4093</v>
      </c>
      <c r="K121" t="s">
        <v>3972</v>
      </c>
      <c r="L121" t="s">
        <v>4105</v>
      </c>
      <c r="M121" t="s">
        <v>4095</v>
      </c>
    </row>
    <row r="122" spans="1:13" hidden="1">
      <c r="A122" t="s">
        <v>4088</v>
      </c>
      <c r="B122" t="s">
        <v>928</v>
      </c>
      <c r="C122" t="s">
        <v>4180</v>
      </c>
      <c r="D122">
        <v>24</v>
      </c>
      <c r="E122">
        <v>24</v>
      </c>
      <c r="F122" t="s">
        <v>4090</v>
      </c>
      <c r="J122" t="s">
        <v>4093</v>
      </c>
      <c r="K122" t="s">
        <v>2156</v>
      </c>
      <c r="L122" t="s">
        <v>4092</v>
      </c>
      <c r="M122" t="s">
        <v>4090</v>
      </c>
    </row>
    <row r="123" spans="1:13" hidden="1">
      <c r="A123" t="s">
        <v>4088</v>
      </c>
      <c r="B123" t="s">
        <v>868</v>
      </c>
      <c r="C123" t="s">
        <v>4104</v>
      </c>
      <c r="D123">
        <v>70</v>
      </c>
      <c r="E123">
        <v>70</v>
      </c>
      <c r="F123" t="s">
        <v>4090</v>
      </c>
      <c r="J123" t="s">
        <v>4093</v>
      </c>
      <c r="K123" t="s">
        <v>798</v>
      </c>
      <c r="L123" t="s">
        <v>4198</v>
      </c>
      <c r="M123" t="s">
        <v>4090</v>
      </c>
    </row>
    <row r="124" spans="1:13" hidden="1">
      <c r="A124" t="s">
        <v>4088</v>
      </c>
      <c r="B124" t="s">
        <v>910</v>
      </c>
      <c r="C124" t="s">
        <v>4112</v>
      </c>
      <c r="D124">
        <v>396</v>
      </c>
      <c r="E124">
        <v>66</v>
      </c>
      <c r="F124" t="s">
        <v>4090</v>
      </c>
      <c r="J124" t="s">
        <v>4093</v>
      </c>
      <c r="K124" t="s">
        <v>789</v>
      </c>
      <c r="L124" t="s">
        <v>4198</v>
      </c>
      <c r="M124" t="s">
        <v>4090</v>
      </c>
    </row>
    <row r="125" spans="1:13" hidden="1">
      <c r="A125" t="s">
        <v>4093</v>
      </c>
      <c r="B125" t="s">
        <v>2090</v>
      </c>
      <c r="C125" t="s">
        <v>4112</v>
      </c>
      <c r="D125">
        <v>60</v>
      </c>
      <c r="E125">
        <v>12</v>
      </c>
      <c r="F125" t="s">
        <v>4090</v>
      </c>
      <c r="J125" t="s">
        <v>4093</v>
      </c>
      <c r="K125" t="s">
        <v>3975</v>
      </c>
      <c r="L125" t="s">
        <v>4105</v>
      </c>
      <c r="M125" t="s">
        <v>4095</v>
      </c>
    </row>
    <row r="126" spans="1:13" hidden="1">
      <c r="A126" t="s">
        <v>4093</v>
      </c>
      <c r="B126" t="s">
        <v>2102</v>
      </c>
      <c r="C126" t="s">
        <v>4196</v>
      </c>
      <c r="D126">
        <v>27</v>
      </c>
      <c r="E126">
        <v>27</v>
      </c>
      <c r="F126" t="s">
        <v>4090</v>
      </c>
      <c r="J126" t="s">
        <v>4088</v>
      </c>
      <c r="K126" t="s">
        <v>2495</v>
      </c>
      <c r="L126" t="s">
        <v>4132</v>
      </c>
      <c r="M126" t="s">
        <v>4090</v>
      </c>
    </row>
    <row r="127" spans="1:13" hidden="1">
      <c r="A127" t="s">
        <v>4088</v>
      </c>
      <c r="B127" t="s">
        <v>2825</v>
      </c>
      <c r="C127" t="s">
        <v>4118</v>
      </c>
      <c r="D127">
        <v>576</v>
      </c>
      <c r="E127">
        <v>576</v>
      </c>
      <c r="F127" t="s">
        <v>4090</v>
      </c>
      <c r="J127" t="s">
        <v>4088</v>
      </c>
      <c r="K127" t="s">
        <v>2441</v>
      </c>
      <c r="L127" t="s">
        <v>4132</v>
      </c>
      <c r="M127" t="s">
        <v>4090</v>
      </c>
    </row>
    <row r="128" spans="1:13" hidden="1">
      <c r="A128" t="s">
        <v>4088</v>
      </c>
      <c r="B128" t="s">
        <v>2828</v>
      </c>
      <c r="C128" t="s">
        <v>4115</v>
      </c>
      <c r="D128">
        <v>180</v>
      </c>
      <c r="E128">
        <v>180</v>
      </c>
      <c r="F128" t="s">
        <v>4090</v>
      </c>
      <c r="J128" t="s">
        <v>4099</v>
      </c>
      <c r="K128" t="s">
        <v>4199</v>
      </c>
      <c r="L128" t="s">
        <v>4109</v>
      </c>
      <c r="M128" t="s">
        <v>4095</v>
      </c>
    </row>
    <row r="129" spans="1:13" hidden="1">
      <c r="A129" t="s">
        <v>4113</v>
      </c>
      <c r="B129" t="s">
        <v>1581</v>
      </c>
      <c r="C129" t="s">
        <v>4132</v>
      </c>
      <c r="D129">
        <v>462</v>
      </c>
      <c r="E129">
        <v>462</v>
      </c>
      <c r="F129" t="s">
        <v>4090</v>
      </c>
      <c r="J129" t="s">
        <v>4093</v>
      </c>
      <c r="K129" t="s">
        <v>795</v>
      </c>
      <c r="L129" t="s">
        <v>4200</v>
      </c>
      <c r="M129" t="s">
        <v>4090</v>
      </c>
    </row>
    <row r="130" spans="1:13" hidden="1">
      <c r="A130" t="s">
        <v>4114</v>
      </c>
      <c r="B130" t="s">
        <v>1581</v>
      </c>
      <c r="C130" t="s">
        <v>4132</v>
      </c>
      <c r="D130">
        <v>462</v>
      </c>
      <c r="E130">
        <v>462</v>
      </c>
      <c r="F130" t="s">
        <v>4090</v>
      </c>
      <c r="J130" t="s">
        <v>4093</v>
      </c>
      <c r="K130" t="s">
        <v>1053</v>
      </c>
      <c r="L130" t="s">
        <v>4167</v>
      </c>
      <c r="M130" t="s">
        <v>4090</v>
      </c>
    </row>
    <row r="131" spans="1:13" hidden="1">
      <c r="A131" t="s">
        <v>4113</v>
      </c>
      <c r="B131" t="s">
        <v>1575</v>
      </c>
      <c r="C131" t="s">
        <v>4141</v>
      </c>
      <c r="D131">
        <v>180</v>
      </c>
      <c r="E131">
        <v>180</v>
      </c>
      <c r="F131" t="s">
        <v>4090</v>
      </c>
      <c r="J131" t="s">
        <v>4091</v>
      </c>
      <c r="K131" t="s">
        <v>2590</v>
      </c>
      <c r="L131" t="s">
        <v>4123</v>
      </c>
      <c r="M131" t="s">
        <v>4090</v>
      </c>
    </row>
    <row r="132" spans="1:13" hidden="1">
      <c r="A132" t="s">
        <v>4114</v>
      </c>
      <c r="B132" t="s">
        <v>1575</v>
      </c>
      <c r="C132" t="s">
        <v>4141</v>
      </c>
      <c r="D132">
        <v>180</v>
      </c>
      <c r="E132">
        <v>180</v>
      </c>
      <c r="F132" t="s">
        <v>4090</v>
      </c>
      <c r="J132" t="s">
        <v>4091</v>
      </c>
      <c r="K132" t="s">
        <v>2615</v>
      </c>
      <c r="L132" t="s">
        <v>4128</v>
      </c>
      <c r="M132" t="s">
        <v>4090</v>
      </c>
    </row>
    <row r="133" spans="1:13" hidden="1">
      <c r="A133" t="s">
        <v>4113</v>
      </c>
      <c r="B133" t="s">
        <v>1553</v>
      </c>
      <c r="C133" t="s">
        <v>4112</v>
      </c>
      <c r="D133">
        <v>462</v>
      </c>
      <c r="E133">
        <v>66</v>
      </c>
      <c r="F133" t="s">
        <v>4090</v>
      </c>
      <c r="J133" t="s">
        <v>4093</v>
      </c>
      <c r="K133" t="s">
        <v>765</v>
      </c>
      <c r="L133" t="s">
        <v>4092</v>
      </c>
      <c r="M133" t="s">
        <v>4090</v>
      </c>
    </row>
    <row r="134" spans="1:13" hidden="1">
      <c r="A134" t="s">
        <v>4114</v>
      </c>
      <c r="B134" t="s">
        <v>1553</v>
      </c>
      <c r="C134" t="s">
        <v>4112</v>
      </c>
      <c r="D134">
        <v>462</v>
      </c>
      <c r="E134">
        <v>66</v>
      </c>
      <c r="F134" t="s">
        <v>4090</v>
      </c>
      <c r="J134" t="s">
        <v>4091</v>
      </c>
      <c r="K134" t="s">
        <v>768</v>
      </c>
      <c r="L134" t="s">
        <v>4184</v>
      </c>
      <c r="M134" t="s">
        <v>4090</v>
      </c>
    </row>
    <row r="135" spans="1:13" hidden="1">
      <c r="A135" t="s">
        <v>4091</v>
      </c>
      <c r="B135" t="s">
        <v>4063</v>
      </c>
      <c r="C135" t="s">
        <v>4105</v>
      </c>
      <c r="D135">
        <v>154</v>
      </c>
      <c r="E135">
        <v>154</v>
      </c>
      <c r="F135" t="s">
        <v>4095</v>
      </c>
      <c r="J135" t="s">
        <v>4091</v>
      </c>
      <c r="K135" t="s">
        <v>771</v>
      </c>
      <c r="L135" t="s">
        <v>4092</v>
      </c>
      <c r="M135" t="s">
        <v>4090</v>
      </c>
    </row>
    <row r="136" spans="1:13" hidden="1">
      <c r="A136" t="s">
        <v>4091</v>
      </c>
      <c r="B136" t="s">
        <v>2885</v>
      </c>
      <c r="C136" t="s">
        <v>4112</v>
      </c>
      <c r="D136">
        <v>168</v>
      </c>
      <c r="E136">
        <v>24</v>
      </c>
      <c r="F136" t="s">
        <v>4090</v>
      </c>
      <c r="J136" t="s">
        <v>4091</v>
      </c>
      <c r="K136" t="s">
        <v>3161</v>
      </c>
      <c r="L136" t="s">
        <v>4143</v>
      </c>
      <c r="M136" t="s">
        <v>4090</v>
      </c>
    </row>
    <row r="137" spans="1:13" hidden="1">
      <c r="A137" t="s">
        <v>4091</v>
      </c>
      <c r="B137" t="s">
        <v>4005</v>
      </c>
      <c r="C137" t="s">
        <v>4109</v>
      </c>
      <c r="D137">
        <v>44</v>
      </c>
      <c r="E137">
        <v>44</v>
      </c>
      <c r="F137" t="s">
        <v>4095</v>
      </c>
      <c r="J137" t="s">
        <v>4091</v>
      </c>
      <c r="K137" t="s">
        <v>88</v>
      </c>
      <c r="L137" t="s">
        <v>4201</v>
      </c>
      <c r="M137" t="s">
        <v>4090</v>
      </c>
    </row>
    <row r="138" spans="1:13" hidden="1">
      <c r="A138" t="s">
        <v>4091</v>
      </c>
      <c r="B138" t="s">
        <v>2906</v>
      </c>
      <c r="C138" t="s">
        <v>4140</v>
      </c>
      <c r="D138">
        <v>44</v>
      </c>
      <c r="E138">
        <v>44</v>
      </c>
      <c r="F138" t="s">
        <v>4090</v>
      </c>
      <c r="J138" t="s">
        <v>4099</v>
      </c>
      <c r="K138" t="s">
        <v>3538</v>
      </c>
      <c r="L138" t="s">
        <v>4109</v>
      </c>
      <c r="M138" t="s">
        <v>4095</v>
      </c>
    </row>
    <row r="139" spans="1:13" hidden="1">
      <c r="A139" t="s">
        <v>4093</v>
      </c>
      <c r="B139" t="s">
        <v>358</v>
      </c>
      <c r="C139" t="s">
        <v>4132</v>
      </c>
      <c r="D139">
        <v>528</v>
      </c>
      <c r="E139">
        <v>528</v>
      </c>
      <c r="F139" t="s">
        <v>4090</v>
      </c>
      <c r="J139" t="s">
        <v>4099</v>
      </c>
      <c r="K139" t="s">
        <v>3546</v>
      </c>
      <c r="L139" t="s">
        <v>4109</v>
      </c>
      <c r="M139" t="s">
        <v>4095</v>
      </c>
    </row>
    <row r="140" spans="1:13" hidden="1">
      <c r="A140" t="s">
        <v>4093</v>
      </c>
      <c r="B140" t="s">
        <v>1915</v>
      </c>
      <c r="C140" t="s">
        <v>4112</v>
      </c>
      <c r="D140">
        <v>528</v>
      </c>
      <c r="E140">
        <v>66</v>
      </c>
      <c r="F140" t="s">
        <v>4090</v>
      </c>
      <c r="J140" t="s">
        <v>4093</v>
      </c>
      <c r="K140" t="s">
        <v>3181</v>
      </c>
      <c r="L140" t="s">
        <v>4202</v>
      </c>
      <c r="M140" t="s">
        <v>4090</v>
      </c>
    </row>
    <row r="141" spans="1:13" hidden="1">
      <c r="A141" t="s">
        <v>4093</v>
      </c>
      <c r="B141" t="s">
        <v>716</v>
      </c>
      <c r="C141" t="s">
        <v>4183</v>
      </c>
      <c r="D141">
        <v>528</v>
      </c>
      <c r="E141">
        <v>528</v>
      </c>
      <c r="F141" t="s">
        <v>4090</v>
      </c>
      <c r="J141" t="s">
        <v>4093</v>
      </c>
      <c r="K141" t="s">
        <v>3155</v>
      </c>
      <c r="L141" t="s">
        <v>4127</v>
      </c>
      <c r="M141" t="s">
        <v>4090</v>
      </c>
    </row>
    <row r="142" spans="1:13" hidden="1">
      <c r="A142" t="s">
        <v>4091</v>
      </c>
      <c r="B142" t="s">
        <v>1858</v>
      </c>
      <c r="C142" t="s">
        <v>4203</v>
      </c>
      <c r="D142">
        <v>44</v>
      </c>
      <c r="E142">
        <v>44</v>
      </c>
      <c r="F142" t="s">
        <v>4090</v>
      </c>
      <c r="J142" t="s">
        <v>4093</v>
      </c>
      <c r="K142" t="s">
        <v>2135</v>
      </c>
      <c r="L142" t="s">
        <v>4118</v>
      </c>
      <c r="M142" t="s">
        <v>4090</v>
      </c>
    </row>
    <row r="143" spans="1:13" hidden="1">
      <c r="A143" t="s">
        <v>4099</v>
      </c>
      <c r="B143" t="s">
        <v>1044</v>
      </c>
      <c r="C143" t="s">
        <v>4180</v>
      </c>
      <c r="D143">
        <v>44</v>
      </c>
      <c r="E143">
        <v>44</v>
      </c>
      <c r="F143" t="s">
        <v>4090</v>
      </c>
      <c r="J143" t="s">
        <v>4091</v>
      </c>
      <c r="K143" t="s">
        <v>3178</v>
      </c>
      <c r="L143" t="s">
        <v>4202</v>
      </c>
      <c r="M143" t="s">
        <v>4090</v>
      </c>
    </row>
    <row r="144" spans="1:13" hidden="1">
      <c r="A144" t="s">
        <v>4091</v>
      </c>
      <c r="B144" t="s">
        <v>1044</v>
      </c>
      <c r="C144" t="s">
        <v>4180</v>
      </c>
      <c r="D144">
        <v>44</v>
      </c>
      <c r="E144">
        <v>44</v>
      </c>
      <c r="F144" t="s">
        <v>4090</v>
      </c>
      <c r="J144" t="s">
        <v>4091</v>
      </c>
      <c r="K144" t="s">
        <v>3693</v>
      </c>
      <c r="L144" t="s">
        <v>4109</v>
      </c>
      <c r="M144" t="s">
        <v>4095</v>
      </c>
    </row>
    <row r="145" spans="1:13" hidden="1">
      <c r="A145" t="s">
        <v>4099</v>
      </c>
      <c r="B145" t="s">
        <v>2273</v>
      </c>
      <c r="C145" t="s">
        <v>4139</v>
      </c>
      <c r="D145">
        <v>44</v>
      </c>
      <c r="E145">
        <v>44</v>
      </c>
      <c r="F145" t="s">
        <v>4090</v>
      </c>
      <c r="J145" t="s">
        <v>4091</v>
      </c>
      <c r="K145" t="s">
        <v>2138</v>
      </c>
      <c r="L145" t="s">
        <v>4141</v>
      </c>
      <c r="M145" t="s">
        <v>4090</v>
      </c>
    </row>
    <row r="146" spans="1:13" hidden="1">
      <c r="A146" t="s">
        <v>4091</v>
      </c>
      <c r="B146" t="s">
        <v>2273</v>
      </c>
      <c r="C146" t="s">
        <v>4139</v>
      </c>
      <c r="D146">
        <v>44</v>
      </c>
      <c r="E146">
        <v>44</v>
      </c>
      <c r="F146" t="s">
        <v>4090</v>
      </c>
      <c r="J146" t="s">
        <v>4091</v>
      </c>
      <c r="K146" t="s">
        <v>774</v>
      </c>
      <c r="L146" t="s">
        <v>4198</v>
      </c>
      <c r="M146" t="s">
        <v>4090</v>
      </c>
    </row>
    <row r="147" spans="1:13" hidden="1">
      <c r="A147" t="s">
        <v>4093</v>
      </c>
      <c r="B147" t="s">
        <v>3364</v>
      </c>
      <c r="C147" t="s">
        <v>4094</v>
      </c>
      <c r="D147">
        <v>44</v>
      </c>
      <c r="E147">
        <v>44</v>
      </c>
      <c r="F147" t="s">
        <v>4095</v>
      </c>
      <c r="J147" t="s">
        <v>4099</v>
      </c>
      <c r="K147" t="s">
        <v>4204</v>
      </c>
      <c r="L147" t="s">
        <v>4105</v>
      </c>
      <c r="M147" t="s">
        <v>4095</v>
      </c>
    </row>
    <row r="148" spans="1:13" hidden="1">
      <c r="A148" t="s">
        <v>4093</v>
      </c>
      <c r="B148" t="s">
        <v>1383</v>
      </c>
      <c r="C148" t="s">
        <v>4180</v>
      </c>
      <c r="D148">
        <v>44</v>
      </c>
      <c r="E148">
        <v>44</v>
      </c>
      <c r="F148" t="s">
        <v>4090</v>
      </c>
      <c r="J148" t="s">
        <v>4099</v>
      </c>
      <c r="K148" t="s">
        <v>4205</v>
      </c>
      <c r="L148" t="s">
        <v>4109</v>
      </c>
      <c r="M148" t="s">
        <v>4095</v>
      </c>
    </row>
    <row r="149" spans="1:13" hidden="1">
      <c r="A149" t="s">
        <v>4093</v>
      </c>
      <c r="B149" t="s">
        <v>3130</v>
      </c>
      <c r="C149" t="s">
        <v>4142</v>
      </c>
      <c r="D149">
        <v>44</v>
      </c>
      <c r="E149">
        <v>44</v>
      </c>
      <c r="F149" t="s">
        <v>4090</v>
      </c>
      <c r="J149" t="s">
        <v>4099</v>
      </c>
      <c r="K149" t="s">
        <v>3173</v>
      </c>
      <c r="L149" t="s">
        <v>4206</v>
      </c>
      <c r="M149" t="s">
        <v>4090</v>
      </c>
    </row>
    <row r="150" spans="1:13" hidden="1">
      <c r="A150" t="s">
        <v>4093</v>
      </c>
      <c r="B150" t="s">
        <v>752</v>
      </c>
      <c r="C150" t="s">
        <v>4207</v>
      </c>
      <c r="D150">
        <v>38</v>
      </c>
      <c r="E150">
        <v>38</v>
      </c>
      <c r="F150" t="s">
        <v>4090</v>
      </c>
      <c r="J150" t="s">
        <v>4117</v>
      </c>
      <c r="K150" t="s">
        <v>3173</v>
      </c>
      <c r="L150" t="s">
        <v>4206</v>
      </c>
      <c r="M150" t="s">
        <v>4090</v>
      </c>
    </row>
    <row r="151" spans="1:13" hidden="1">
      <c r="A151" t="s">
        <v>4099</v>
      </c>
      <c r="B151" t="s">
        <v>1800</v>
      </c>
      <c r="C151" t="s">
        <v>4208</v>
      </c>
      <c r="D151">
        <v>24</v>
      </c>
      <c r="E151">
        <v>24</v>
      </c>
      <c r="F151" t="s">
        <v>4090</v>
      </c>
      <c r="J151" t="s">
        <v>4099</v>
      </c>
      <c r="K151" t="s">
        <v>4209</v>
      </c>
      <c r="L151" t="s">
        <v>4105</v>
      </c>
      <c r="M151" t="s">
        <v>4095</v>
      </c>
    </row>
    <row r="152" spans="1:13" hidden="1">
      <c r="A152" t="s">
        <v>4099</v>
      </c>
      <c r="B152" t="s">
        <v>1003</v>
      </c>
      <c r="C152" t="s">
        <v>4210</v>
      </c>
      <c r="D152">
        <v>24</v>
      </c>
      <c r="E152">
        <v>24</v>
      </c>
      <c r="F152" t="s">
        <v>4090</v>
      </c>
      <c r="J152" t="s">
        <v>4099</v>
      </c>
      <c r="K152" t="s">
        <v>4211</v>
      </c>
      <c r="L152" t="s">
        <v>4105</v>
      </c>
      <c r="M152" t="s">
        <v>4095</v>
      </c>
    </row>
    <row r="153" spans="1:13" hidden="1">
      <c r="A153" t="s">
        <v>4099</v>
      </c>
      <c r="B153" t="s">
        <v>1006</v>
      </c>
      <c r="C153" t="s">
        <v>4210</v>
      </c>
      <c r="D153">
        <v>24</v>
      </c>
      <c r="E153">
        <v>24</v>
      </c>
      <c r="F153" t="s">
        <v>4090</v>
      </c>
      <c r="J153" t="s">
        <v>4099</v>
      </c>
      <c r="K153" t="s">
        <v>4212</v>
      </c>
      <c r="L153" t="s">
        <v>4105</v>
      </c>
      <c r="M153" t="s">
        <v>4095</v>
      </c>
    </row>
    <row r="154" spans="1:13" hidden="1">
      <c r="A154" t="s">
        <v>4106</v>
      </c>
      <c r="B154" t="s">
        <v>964</v>
      </c>
      <c r="C154" t="s">
        <v>4112</v>
      </c>
      <c r="D154">
        <v>462</v>
      </c>
      <c r="E154">
        <v>66</v>
      </c>
      <c r="F154" t="s">
        <v>4090</v>
      </c>
      <c r="J154" t="s">
        <v>4099</v>
      </c>
      <c r="K154" t="s">
        <v>4213</v>
      </c>
      <c r="L154" t="s">
        <v>4105</v>
      </c>
      <c r="M154" t="s">
        <v>4095</v>
      </c>
    </row>
    <row r="155" spans="1:13" hidden="1">
      <c r="A155" t="s">
        <v>4106</v>
      </c>
      <c r="B155" t="s">
        <v>886</v>
      </c>
      <c r="C155" t="s">
        <v>4214</v>
      </c>
      <c r="D155">
        <v>48</v>
      </c>
      <c r="E155">
        <v>48</v>
      </c>
      <c r="F155" t="s">
        <v>4090</v>
      </c>
      <c r="J155" t="s">
        <v>4099</v>
      </c>
      <c r="K155" t="s">
        <v>1584</v>
      </c>
      <c r="L155" t="s">
        <v>4162</v>
      </c>
      <c r="M155" t="s">
        <v>4090</v>
      </c>
    </row>
    <row r="156" spans="1:13" hidden="1">
      <c r="A156" t="s">
        <v>4106</v>
      </c>
      <c r="B156" t="s">
        <v>881</v>
      </c>
      <c r="C156" t="s">
        <v>4185</v>
      </c>
      <c r="D156">
        <v>33</v>
      </c>
      <c r="E156">
        <v>33</v>
      </c>
      <c r="F156" t="s">
        <v>4090</v>
      </c>
      <c r="J156" t="s">
        <v>4093</v>
      </c>
      <c r="K156" t="s">
        <v>2182</v>
      </c>
      <c r="L156" t="s">
        <v>4112</v>
      </c>
      <c r="M156" t="s">
        <v>4090</v>
      </c>
    </row>
    <row r="157" spans="1:13" hidden="1">
      <c r="A157" t="s">
        <v>4106</v>
      </c>
      <c r="B157" t="s">
        <v>897</v>
      </c>
      <c r="C157" t="s">
        <v>4118</v>
      </c>
      <c r="D157">
        <v>24</v>
      </c>
      <c r="E157">
        <v>24</v>
      </c>
      <c r="F157" t="s">
        <v>4090</v>
      </c>
      <c r="J157" t="s">
        <v>4102</v>
      </c>
      <c r="K157" t="s">
        <v>550</v>
      </c>
      <c r="L157" t="s">
        <v>4215</v>
      </c>
      <c r="M157" t="s">
        <v>4090</v>
      </c>
    </row>
    <row r="158" spans="1:13" hidden="1">
      <c r="A158" t="s">
        <v>4106</v>
      </c>
      <c r="B158" t="s">
        <v>864</v>
      </c>
      <c r="C158" t="s">
        <v>4104</v>
      </c>
      <c r="D158">
        <v>70</v>
      </c>
      <c r="E158">
        <v>70</v>
      </c>
      <c r="F158" t="s">
        <v>4090</v>
      </c>
      <c r="J158" t="s">
        <v>4093</v>
      </c>
      <c r="K158" t="s">
        <v>3680</v>
      </c>
      <c r="L158" t="s">
        <v>4109</v>
      </c>
      <c r="M158" t="s">
        <v>4095</v>
      </c>
    </row>
    <row r="159" spans="1:13" hidden="1">
      <c r="A159" t="s">
        <v>4106</v>
      </c>
      <c r="B159" t="s">
        <v>949</v>
      </c>
      <c r="C159" t="s">
        <v>4112</v>
      </c>
      <c r="D159">
        <v>396</v>
      </c>
      <c r="E159">
        <v>66</v>
      </c>
      <c r="F159" t="s">
        <v>4090</v>
      </c>
      <c r="J159" t="s">
        <v>4091</v>
      </c>
      <c r="K159" t="s">
        <v>3969</v>
      </c>
      <c r="L159" t="s">
        <v>4105</v>
      </c>
      <c r="M159" t="s">
        <v>4095</v>
      </c>
    </row>
    <row r="160" spans="1:13" hidden="1">
      <c r="A160" t="s">
        <v>4110</v>
      </c>
      <c r="B160" t="s">
        <v>2889</v>
      </c>
      <c r="C160" t="s">
        <v>4105</v>
      </c>
      <c r="D160">
        <v>27</v>
      </c>
      <c r="E160">
        <v>27</v>
      </c>
      <c r="F160" t="s">
        <v>4090</v>
      </c>
      <c r="J160" t="s">
        <v>4091</v>
      </c>
      <c r="K160" t="s">
        <v>3948</v>
      </c>
      <c r="L160" t="s">
        <v>4105</v>
      </c>
      <c r="M160" t="s">
        <v>4095</v>
      </c>
    </row>
    <row r="161" spans="1:13" hidden="1">
      <c r="A161" t="s">
        <v>4106</v>
      </c>
      <c r="B161" t="s">
        <v>2889</v>
      </c>
      <c r="C161" t="s">
        <v>4105</v>
      </c>
      <c r="D161">
        <v>27</v>
      </c>
      <c r="E161">
        <v>27</v>
      </c>
      <c r="F161" t="s">
        <v>4090</v>
      </c>
      <c r="J161" t="s">
        <v>4091</v>
      </c>
      <c r="K161" t="s">
        <v>3942</v>
      </c>
      <c r="L161" t="s">
        <v>4105</v>
      </c>
      <c r="M161" t="s">
        <v>4095</v>
      </c>
    </row>
    <row r="162" spans="1:13" hidden="1">
      <c r="A162" t="s">
        <v>4106</v>
      </c>
      <c r="B162" t="s">
        <v>4002</v>
      </c>
      <c r="C162" t="s">
        <v>4109</v>
      </c>
      <c r="D162">
        <v>30</v>
      </c>
      <c r="E162">
        <v>30</v>
      </c>
      <c r="F162" t="s">
        <v>4095</v>
      </c>
      <c r="J162" t="s">
        <v>4091</v>
      </c>
      <c r="K162" t="s">
        <v>3978</v>
      </c>
      <c r="L162" t="s">
        <v>4105</v>
      </c>
      <c r="M162" t="s">
        <v>4095</v>
      </c>
    </row>
    <row r="163" spans="1:13" hidden="1">
      <c r="A163" t="s">
        <v>4099</v>
      </c>
      <c r="B163" t="s">
        <v>2618</v>
      </c>
      <c r="C163" t="s">
        <v>4123</v>
      </c>
      <c r="D163">
        <v>180</v>
      </c>
      <c r="E163">
        <v>180</v>
      </c>
      <c r="F163" t="s">
        <v>4090</v>
      </c>
      <c r="J163" t="s">
        <v>4119</v>
      </c>
      <c r="K163" t="s">
        <v>4216</v>
      </c>
      <c r="L163" t="s">
        <v>4094</v>
      </c>
      <c r="M163" t="s">
        <v>4095</v>
      </c>
    </row>
    <row r="164" spans="1:13" hidden="1">
      <c r="A164" t="s">
        <v>4099</v>
      </c>
      <c r="B164" t="s">
        <v>2626</v>
      </c>
      <c r="C164" t="s">
        <v>4206</v>
      </c>
      <c r="D164">
        <v>44</v>
      </c>
      <c r="E164">
        <v>44</v>
      </c>
      <c r="F164" t="s">
        <v>4090</v>
      </c>
      <c r="J164" t="s">
        <v>4107</v>
      </c>
      <c r="K164" t="s">
        <v>2848</v>
      </c>
      <c r="L164" t="s">
        <v>4128</v>
      </c>
      <c r="M164" t="s">
        <v>4090</v>
      </c>
    </row>
    <row r="165" spans="1:13" hidden="1">
      <c r="A165" t="s">
        <v>4093</v>
      </c>
      <c r="B165" t="s">
        <v>1958</v>
      </c>
      <c r="C165" t="s">
        <v>4126</v>
      </c>
      <c r="D165">
        <v>33</v>
      </c>
      <c r="E165">
        <v>33</v>
      </c>
      <c r="F165" t="s">
        <v>4090</v>
      </c>
      <c r="J165" t="s">
        <v>4107</v>
      </c>
      <c r="K165" t="s">
        <v>2843</v>
      </c>
      <c r="L165" t="s">
        <v>4128</v>
      </c>
      <c r="M165" t="s">
        <v>4090</v>
      </c>
    </row>
    <row r="166" spans="1:13" hidden="1">
      <c r="A166" t="s">
        <v>4093</v>
      </c>
      <c r="B166" t="s">
        <v>3675</v>
      </c>
      <c r="C166" t="s">
        <v>4094</v>
      </c>
      <c r="D166">
        <v>27</v>
      </c>
      <c r="E166">
        <v>27</v>
      </c>
      <c r="F166" t="s">
        <v>4095</v>
      </c>
      <c r="J166" t="s">
        <v>4107</v>
      </c>
      <c r="K166" t="s">
        <v>2840</v>
      </c>
      <c r="L166" t="s">
        <v>4143</v>
      </c>
      <c r="M166" t="s">
        <v>4090</v>
      </c>
    </row>
    <row r="167" spans="1:13" hidden="1">
      <c r="A167" t="s">
        <v>4093</v>
      </c>
      <c r="B167" t="s">
        <v>1975</v>
      </c>
      <c r="C167" t="s">
        <v>4124</v>
      </c>
      <c r="D167">
        <v>33</v>
      </c>
      <c r="E167">
        <v>33</v>
      </c>
      <c r="F167" t="s">
        <v>4090</v>
      </c>
      <c r="J167" t="s">
        <v>4099</v>
      </c>
      <c r="K167" t="s">
        <v>3884</v>
      </c>
      <c r="L167" t="s">
        <v>4105</v>
      </c>
      <c r="M167" t="s">
        <v>4095</v>
      </c>
    </row>
    <row r="168" spans="1:13" hidden="1">
      <c r="A168" t="s">
        <v>4093</v>
      </c>
      <c r="B168" t="s">
        <v>342</v>
      </c>
      <c r="C168" t="s">
        <v>4217</v>
      </c>
      <c r="D168">
        <v>96</v>
      </c>
      <c r="E168">
        <v>96</v>
      </c>
      <c r="F168" t="s">
        <v>4090</v>
      </c>
      <c r="J168" t="s">
        <v>4088</v>
      </c>
      <c r="K168" t="s">
        <v>2395</v>
      </c>
      <c r="L168" t="s">
        <v>4132</v>
      </c>
      <c r="M168" t="s">
        <v>4090</v>
      </c>
    </row>
    <row r="169" spans="1:13" hidden="1">
      <c r="A169" t="s">
        <v>4093</v>
      </c>
      <c r="B169" t="s">
        <v>394</v>
      </c>
      <c r="C169" t="s">
        <v>4218</v>
      </c>
      <c r="D169">
        <v>24</v>
      </c>
      <c r="E169">
        <v>24</v>
      </c>
      <c r="F169" t="s">
        <v>4090</v>
      </c>
      <c r="J169" t="s">
        <v>4093</v>
      </c>
      <c r="K169" t="s">
        <v>3684</v>
      </c>
      <c r="L169" t="s">
        <v>4105</v>
      </c>
      <c r="M169" t="s">
        <v>4095</v>
      </c>
    </row>
    <row r="170" spans="1:13" hidden="1">
      <c r="A170" t="s">
        <v>4093</v>
      </c>
      <c r="B170" t="s">
        <v>1909</v>
      </c>
      <c r="C170" t="s">
        <v>4219</v>
      </c>
      <c r="D170">
        <v>96</v>
      </c>
      <c r="E170">
        <v>96</v>
      </c>
      <c r="F170" t="s">
        <v>4090</v>
      </c>
      <c r="J170" t="s">
        <v>4093</v>
      </c>
      <c r="K170" t="s">
        <v>804</v>
      </c>
      <c r="L170" t="s">
        <v>4220</v>
      </c>
      <c r="M170" t="s">
        <v>4090</v>
      </c>
    </row>
    <row r="171" spans="1:13" hidden="1">
      <c r="A171" t="s">
        <v>4093</v>
      </c>
      <c r="B171" t="s">
        <v>1942</v>
      </c>
      <c r="C171" t="s">
        <v>4165</v>
      </c>
      <c r="D171">
        <v>24</v>
      </c>
      <c r="E171">
        <v>24</v>
      </c>
      <c r="F171" t="s">
        <v>4090</v>
      </c>
      <c r="J171" t="s">
        <v>4099</v>
      </c>
      <c r="K171" t="s">
        <v>849</v>
      </c>
      <c r="L171" t="s">
        <v>4214</v>
      </c>
      <c r="M171" t="s">
        <v>4090</v>
      </c>
    </row>
    <row r="172" spans="1:13" hidden="1">
      <c r="A172" t="s">
        <v>4093</v>
      </c>
      <c r="B172" t="s">
        <v>713</v>
      </c>
      <c r="C172" t="s">
        <v>4178</v>
      </c>
      <c r="D172">
        <v>96</v>
      </c>
      <c r="E172">
        <v>96</v>
      </c>
      <c r="F172" t="s">
        <v>4090</v>
      </c>
      <c r="J172" t="s">
        <v>4099</v>
      </c>
      <c r="K172" t="s">
        <v>3814</v>
      </c>
      <c r="L172" t="s">
        <v>4109</v>
      </c>
      <c r="M172" t="s">
        <v>4095</v>
      </c>
    </row>
    <row r="173" spans="1:13" hidden="1">
      <c r="A173" t="s">
        <v>4093</v>
      </c>
      <c r="B173" t="s">
        <v>743</v>
      </c>
      <c r="C173" t="s">
        <v>4124</v>
      </c>
      <c r="D173">
        <v>28</v>
      </c>
      <c r="E173">
        <v>28</v>
      </c>
      <c r="F173" t="s">
        <v>4090</v>
      </c>
      <c r="J173" t="s">
        <v>4099</v>
      </c>
      <c r="K173" t="s">
        <v>4221</v>
      </c>
      <c r="L173" t="s">
        <v>4105</v>
      </c>
      <c r="M173" t="s">
        <v>4095</v>
      </c>
    </row>
    <row r="174" spans="1:13" hidden="1">
      <c r="A174" t="s">
        <v>4093</v>
      </c>
      <c r="B174" t="s">
        <v>638</v>
      </c>
      <c r="C174" t="s">
        <v>4219</v>
      </c>
      <c r="D174">
        <v>96</v>
      </c>
      <c r="E174">
        <v>96</v>
      </c>
      <c r="F174" t="s">
        <v>4090</v>
      </c>
      <c r="J174" t="s">
        <v>4099</v>
      </c>
      <c r="K174" t="s">
        <v>3139</v>
      </c>
      <c r="L174" t="s">
        <v>4127</v>
      </c>
      <c r="M174" t="s">
        <v>4090</v>
      </c>
    </row>
    <row r="175" spans="1:13" hidden="1">
      <c r="A175" t="s">
        <v>4093</v>
      </c>
      <c r="B175" t="s">
        <v>674</v>
      </c>
      <c r="C175" t="s">
        <v>4222</v>
      </c>
      <c r="D175">
        <v>24</v>
      </c>
      <c r="E175">
        <v>24</v>
      </c>
      <c r="F175" t="s">
        <v>4090</v>
      </c>
      <c r="J175" t="s">
        <v>4099</v>
      </c>
      <c r="K175" t="s">
        <v>3717</v>
      </c>
      <c r="L175" t="s">
        <v>4109</v>
      </c>
      <c r="M175" t="s">
        <v>4095</v>
      </c>
    </row>
    <row r="176" spans="1:13" hidden="1">
      <c r="A176" t="s">
        <v>4093</v>
      </c>
      <c r="B176" t="s">
        <v>1359</v>
      </c>
      <c r="C176" t="s">
        <v>4121</v>
      </c>
      <c r="D176">
        <v>96</v>
      </c>
      <c r="E176">
        <v>96</v>
      </c>
      <c r="F176" t="s">
        <v>4090</v>
      </c>
      <c r="J176" t="s">
        <v>4093</v>
      </c>
      <c r="K176" t="s">
        <v>3981</v>
      </c>
      <c r="L176" t="s">
        <v>4105</v>
      </c>
      <c r="M176" t="s">
        <v>4095</v>
      </c>
    </row>
    <row r="177" spans="1:13" hidden="1">
      <c r="A177" t="s">
        <v>4093</v>
      </c>
      <c r="B177" t="s">
        <v>1375</v>
      </c>
      <c r="C177" t="s">
        <v>4190</v>
      </c>
      <c r="D177">
        <v>24</v>
      </c>
      <c r="E177">
        <v>24</v>
      </c>
      <c r="F177" t="s">
        <v>4090</v>
      </c>
      <c r="J177" t="s">
        <v>4099</v>
      </c>
      <c r="K177" t="s">
        <v>3823</v>
      </c>
      <c r="L177" t="s">
        <v>4109</v>
      </c>
      <c r="M177" t="s">
        <v>4095</v>
      </c>
    </row>
    <row r="178" spans="1:13" hidden="1">
      <c r="A178" t="s">
        <v>4093</v>
      </c>
      <c r="B178" t="s">
        <v>3117</v>
      </c>
      <c r="C178" t="s">
        <v>4223</v>
      </c>
      <c r="D178">
        <v>96</v>
      </c>
      <c r="E178">
        <v>96</v>
      </c>
      <c r="F178" t="s">
        <v>4090</v>
      </c>
      <c r="J178" t="s">
        <v>4099</v>
      </c>
      <c r="K178" t="s">
        <v>3829</v>
      </c>
      <c r="L178" t="s">
        <v>4105</v>
      </c>
      <c r="M178" t="s">
        <v>4095</v>
      </c>
    </row>
    <row r="179" spans="1:13" hidden="1">
      <c r="A179" t="s">
        <v>4093</v>
      </c>
      <c r="B179" t="s">
        <v>3135</v>
      </c>
      <c r="C179" t="s">
        <v>4142</v>
      </c>
      <c r="D179">
        <v>24</v>
      </c>
      <c r="E179">
        <v>24</v>
      </c>
      <c r="F179" t="s">
        <v>4090</v>
      </c>
      <c r="J179" t="s">
        <v>4091</v>
      </c>
      <c r="K179" t="s">
        <v>3584</v>
      </c>
      <c r="L179" t="s">
        <v>4105</v>
      </c>
      <c r="M179" t="s">
        <v>4095</v>
      </c>
    </row>
    <row r="180" spans="1:13" hidden="1">
      <c r="A180" t="s">
        <v>4093</v>
      </c>
      <c r="B180" t="s">
        <v>3282</v>
      </c>
      <c r="C180" t="s">
        <v>4094</v>
      </c>
      <c r="D180">
        <v>96</v>
      </c>
      <c r="E180">
        <v>96</v>
      </c>
      <c r="F180" t="s">
        <v>4095</v>
      </c>
      <c r="J180" t="s">
        <v>4091</v>
      </c>
      <c r="K180" t="s">
        <v>580</v>
      </c>
      <c r="L180" t="s">
        <v>4092</v>
      </c>
      <c r="M180" t="s">
        <v>4090</v>
      </c>
    </row>
    <row r="181" spans="1:13" hidden="1">
      <c r="A181" t="s">
        <v>4093</v>
      </c>
      <c r="B181" t="s">
        <v>3291</v>
      </c>
      <c r="C181" t="s">
        <v>4094</v>
      </c>
      <c r="D181">
        <v>24</v>
      </c>
      <c r="E181">
        <v>24</v>
      </c>
      <c r="F181" t="s">
        <v>4095</v>
      </c>
    </row>
    <row r="182" spans="1:13" hidden="1">
      <c r="A182" t="s">
        <v>4093</v>
      </c>
      <c r="B182" t="s">
        <v>467</v>
      </c>
      <c r="C182" t="s">
        <v>4156</v>
      </c>
      <c r="D182">
        <v>140</v>
      </c>
      <c r="E182">
        <v>140</v>
      </c>
      <c r="F182" t="s">
        <v>4090</v>
      </c>
    </row>
    <row r="183" spans="1:13" hidden="1">
      <c r="A183" t="s">
        <v>4093</v>
      </c>
      <c r="B183" t="s">
        <v>491</v>
      </c>
      <c r="C183" t="s">
        <v>4222</v>
      </c>
      <c r="D183">
        <v>36</v>
      </c>
      <c r="E183">
        <v>36</v>
      </c>
      <c r="F183" t="s">
        <v>4090</v>
      </c>
    </row>
    <row r="184" spans="1:13" hidden="1">
      <c r="A184" t="s">
        <v>4110</v>
      </c>
      <c r="B184" t="s">
        <v>2870</v>
      </c>
      <c r="C184" t="s">
        <v>4112</v>
      </c>
      <c r="D184">
        <v>140</v>
      </c>
      <c r="E184">
        <v>28</v>
      </c>
      <c r="F184" t="s">
        <v>4090</v>
      </c>
    </row>
    <row r="185" spans="1:13" hidden="1">
      <c r="A185" t="s">
        <v>4110</v>
      </c>
      <c r="B185" t="s">
        <v>2876</v>
      </c>
      <c r="C185" t="s">
        <v>4143</v>
      </c>
      <c r="D185">
        <v>675</v>
      </c>
      <c r="E185">
        <v>675</v>
      </c>
      <c r="F185" t="s">
        <v>4090</v>
      </c>
    </row>
    <row r="186" spans="1:13" hidden="1">
      <c r="A186" t="s">
        <v>4106</v>
      </c>
      <c r="B186" t="s">
        <v>496</v>
      </c>
      <c r="C186" t="s">
        <v>4156</v>
      </c>
      <c r="D186">
        <v>48</v>
      </c>
      <c r="E186">
        <v>48</v>
      </c>
      <c r="F186" t="s">
        <v>4090</v>
      </c>
    </row>
    <row r="187" spans="1:13" hidden="1">
      <c r="A187" t="s">
        <v>4093</v>
      </c>
      <c r="B187" t="s">
        <v>3480</v>
      </c>
      <c r="C187" t="s">
        <v>4094</v>
      </c>
      <c r="D187">
        <v>27</v>
      </c>
      <c r="E187">
        <v>27</v>
      </c>
      <c r="F187" t="s">
        <v>4095</v>
      </c>
    </row>
    <row r="188" spans="1:13" hidden="1">
      <c r="A188" t="s">
        <v>4093</v>
      </c>
      <c r="B188" t="s">
        <v>3461</v>
      </c>
      <c r="C188" t="s">
        <v>4094</v>
      </c>
      <c r="D188">
        <v>33</v>
      </c>
      <c r="E188">
        <v>33</v>
      </c>
      <c r="F188" t="s">
        <v>4095</v>
      </c>
    </row>
    <row r="189" spans="1:13" hidden="1">
      <c r="A189" t="s">
        <v>4093</v>
      </c>
      <c r="B189" t="s">
        <v>3632</v>
      </c>
      <c r="C189" t="s">
        <v>4094</v>
      </c>
      <c r="D189">
        <v>27</v>
      </c>
      <c r="E189">
        <v>27</v>
      </c>
      <c r="F189" t="s">
        <v>4095</v>
      </c>
    </row>
    <row r="190" spans="1:13" hidden="1">
      <c r="A190" t="s">
        <v>4091</v>
      </c>
      <c r="B190" t="s">
        <v>3877</v>
      </c>
      <c r="C190" t="s">
        <v>4109</v>
      </c>
      <c r="D190">
        <v>44</v>
      </c>
      <c r="E190">
        <v>44</v>
      </c>
      <c r="F190" t="s">
        <v>4095</v>
      </c>
    </row>
    <row r="191" spans="1:13" hidden="1">
      <c r="A191" t="s">
        <v>4093</v>
      </c>
      <c r="B191" t="s">
        <v>1296</v>
      </c>
      <c r="C191" t="s">
        <v>4112</v>
      </c>
      <c r="D191">
        <v>490</v>
      </c>
      <c r="E191">
        <v>70</v>
      </c>
      <c r="F191" t="s">
        <v>4090</v>
      </c>
    </row>
    <row r="192" spans="1:13" hidden="1">
      <c r="A192" t="s">
        <v>4093</v>
      </c>
      <c r="B192" t="s">
        <v>1282</v>
      </c>
      <c r="C192" t="s">
        <v>4224</v>
      </c>
      <c r="D192">
        <v>48</v>
      </c>
      <c r="E192">
        <v>48</v>
      </c>
      <c r="F192" t="s">
        <v>4090</v>
      </c>
    </row>
    <row r="193" spans="1:6" hidden="1">
      <c r="A193" t="s">
        <v>4093</v>
      </c>
      <c r="B193" t="s">
        <v>1260</v>
      </c>
      <c r="C193" t="s">
        <v>4222</v>
      </c>
      <c r="D193">
        <v>33</v>
      </c>
      <c r="E193">
        <v>33</v>
      </c>
      <c r="F193" t="s">
        <v>4090</v>
      </c>
    </row>
    <row r="194" spans="1:6" hidden="1">
      <c r="A194" t="s">
        <v>4093</v>
      </c>
      <c r="B194" t="s">
        <v>4045</v>
      </c>
      <c r="C194" t="s">
        <v>4105</v>
      </c>
      <c r="D194">
        <v>443</v>
      </c>
      <c r="E194">
        <v>443</v>
      </c>
      <c r="F194" t="s">
        <v>4095</v>
      </c>
    </row>
    <row r="195" spans="1:6" hidden="1">
      <c r="A195" t="s">
        <v>4093</v>
      </c>
      <c r="B195" t="s">
        <v>3993</v>
      </c>
      <c r="C195" t="s">
        <v>4094</v>
      </c>
      <c r="D195">
        <v>48</v>
      </c>
      <c r="E195">
        <v>48</v>
      </c>
      <c r="F195" t="s">
        <v>4095</v>
      </c>
    </row>
    <row r="196" spans="1:6" hidden="1">
      <c r="A196" t="s">
        <v>4093</v>
      </c>
      <c r="B196" t="s">
        <v>4027</v>
      </c>
      <c r="C196" t="s">
        <v>4094</v>
      </c>
      <c r="D196">
        <v>27</v>
      </c>
      <c r="E196">
        <v>27</v>
      </c>
      <c r="F196" t="s">
        <v>4095</v>
      </c>
    </row>
    <row r="197" spans="1:6" hidden="1">
      <c r="A197" t="s">
        <v>4093</v>
      </c>
      <c r="B197" t="s">
        <v>3765</v>
      </c>
      <c r="C197" t="s">
        <v>4105</v>
      </c>
      <c r="D197">
        <v>48</v>
      </c>
      <c r="E197">
        <v>48</v>
      </c>
      <c r="F197" t="s">
        <v>4095</v>
      </c>
    </row>
    <row r="198" spans="1:6" hidden="1">
      <c r="A198" t="s">
        <v>4093</v>
      </c>
      <c r="B198" t="s">
        <v>3771</v>
      </c>
      <c r="C198" t="s">
        <v>4094</v>
      </c>
      <c r="D198">
        <v>27</v>
      </c>
      <c r="E198">
        <v>27</v>
      </c>
      <c r="F198" t="s">
        <v>4095</v>
      </c>
    </row>
    <row r="199" spans="1:6" hidden="1">
      <c r="A199" t="s">
        <v>4093</v>
      </c>
      <c r="B199" t="s">
        <v>1268</v>
      </c>
      <c r="C199" t="s">
        <v>4182</v>
      </c>
      <c r="D199">
        <v>33</v>
      </c>
      <c r="E199">
        <v>33</v>
      </c>
      <c r="F199" t="s">
        <v>4090</v>
      </c>
    </row>
    <row r="200" spans="1:6" hidden="1">
      <c r="A200" t="s">
        <v>4093</v>
      </c>
      <c r="B200" t="s">
        <v>2903</v>
      </c>
      <c r="C200" t="s">
        <v>4112</v>
      </c>
      <c r="D200">
        <v>48</v>
      </c>
      <c r="E200">
        <v>12</v>
      </c>
      <c r="F200" t="s">
        <v>4090</v>
      </c>
    </row>
    <row r="201" spans="1:6" hidden="1">
      <c r="A201" t="s">
        <v>4093</v>
      </c>
      <c r="B201" t="s">
        <v>4024</v>
      </c>
      <c r="C201" t="s">
        <v>4094</v>
      </c>
      <c r="D201">
        <v>27</v>
      </c>
      <c r="E201">
        <v>27</v>
      </c>
      <c r="F201" t="s">
        <v>4095</v>
      </c>
    </row>
    <row r="202" spans="1:6" hidden="1">
      <c r="A202" t="s">
        <v>4093</v>
      </c>
      <c r="B202" t="s">
        <v>4021</v>
      </c>
      <c r="C202" t="s">
        <v>4105</v>
      </c>
      <c r="D202">
        <v>48</v>
      </c>
      <c r="E202">
        <v>48</v>
      </c>
      <c r="F202" t="s">
        <v>4095</v>
      </c>
    </row>
    <row r="203" spans="1:6" hidden="1">
      <c r="A203" t="s">
        <v>4093</v>
      </c>
      <c r="B203" t="s">
        <v>1299</v>
      </c>
      <c r="C203" t="s">
        <v>4182</v>
      </c>
      <c r="D203">
        <v>33</v>
      </c>
      <c r="E203">
        <v>33</v>
      </c>
      <c r="F203" t="s">
        <v>4090</v>
      </c>
    </row>
    <row r="204" spans="1:6" hidden="1">
      <c r="A204" t="s">
        <v>4093</v>
      </c>
      <c r="B204" t="s">
        <v>1279</v>
      </c>
      <c r="C204" t="s">
        <v>4225</v>
      </c>
      <c r="D204">
        <v>60</v>
      </c>
      <c r="E204">
        <v>60</v>
      </c>
      <c r="F204" t="s">
        <v>4090</v>
      </c>
    </row>
    <row r="205" spans="1:6" hidden="1">
      <c r="A205" t="s">
        <v>4093</v>
      </c>
      <c r="B205" t="s">
        <v>3661</v>
      </c>
      <c r="C205" t="s">
        <v>4094</v>
      </c>
      <c r="D205">
        <v>27</v>
      </c>
      <c r="E205">
        <v>27</v>
      </c>
      <c r="F205" t="s">
        <v>4095</v>
      </c>
    </row>
    <row r="206" spans="1:6" hidden="1">
      <c r="A206" t="s">
        <v>4093</v>
      </c>
      <c r="B206" t="s">
        <v>1847</v>
      </c>
      <c r="C206" t="s">
        <v>4226</v>
      </c>
      <c r="D206">
        <v>150</v>
      </c>
      <c r="E206">
        <v>150</v>
      </c>
      <c r="F206" t="s">
        <v>4090</v>
      </c>
    </row>
    <row r="207" spans="1:6" hidden="1">
      <c r="A207" t="s">
        <v>4093</v>
      </c>
      <c r="B207" t="s">
        <v>1842</v>
      </c>
      <c r="C207" t="s">
        <v>4226</v>
      </c>
      <c r="D207">
        <v>48</v>
      </c>
      <c r="E207">
        <v>48</v>
      </c>
      <c r="F207" t="s">
        <v>4090</v>
      </c>
    </row>
    <row r="208" spans="1:6" hidden="1">
      <c r="A208" t="s">
        <v>4093</v>
      </c>
      <c r="B208" t="s">
        <v>1866</v>
      </c>
      <c r="C208" t="s">
        <v>4191</v>
      </c>
      <c r="D208">
        <v>38</v>
      </c>
      <c r="E208">
        <v>38</v>
      </c>
      <c r="F208" t="s">
        <v>4090</v>
      </c>
    </row>
    <row r="209" spans="1:6" hidden="1">
      <c r="A209" t="s">
        <v>4093</v>
      </c>
      <c r="B209" t="s">
        <v>1794</v>
      </c>
      <c r="C209" t="s">
        <v>4112</v>
      </c>
      <c r="D209">
        <v>720</v>
      </c>
      <c r="E209">
        <v>72</v>
      </c>
      <c r="F209" t="s">
        <v>4090</v>
      </c>
    </row>
    <row r="210" spans="1:6" hidden="1">
      <c r="A210" t="s">
        <v>4093</v>
      </c>
      <c r="B210" t="s">
        <v>2255</v>
      </c>
      <c r="C210" t="s">
        <v>4180</v>
      </c>
      <c r="D210">
        <v>44</v>
      </c>
      <c r="E210">
        <v>44</v>
      </c>
      <c r="F210" t="s">
        <v>4090</v>
      </c>
    </row>
    <row r="211" spans="1:6" hidden="1">
      <c r="A211" t="s">
        <v>4093</v>
      </c>
      <c r="B211" t="s">
        <v>2240</v>
      </c>
      <c r="C211" t="s">
        <v>4148</v>
      </c>
      <c r="D211">
        <v>150</v>
      </c>
      <c r="E211">
        <v>150</v>
      </c>
      <c r="F211" t="s">
        <v>4090</v>
      </c>
    </row>
    <row r="212" spans="1:6" hidden="1">
      <c r="A212" t="s">
        <v>4093</v>
      </c>
      <c r="B212" t="s">
        <v>2195</v>
      </c>
      <c r="C212" t="s">
        <v>4112</v>
      </c>
      <c r="D212">
        <v>720</v>
      </c>
      <c r="E212">
        <v>72</v>
      </c>
      <c r="F212" t="s">
        <v>4090</v>
      </c>
    </row>
    <row r="213" spans="1:6" hidden="1">
      <c r="A213" t="s">
        <v>4093</v>
      </c>
      <c r="B213" t="s">
        <v>2232</v>
      </c>
      <c r="C213" t="s">
        <v>4125</v>
      </c>
      <c r="D213">
        <v>48</v>
      </c>
      <c r="E213">
        <v>48</v>
      </c>
      <c r="F213" t="s">
        <v>4090</v>
      </c>
    </row>
    <row r="214" spans="1:6" hidden="1">
      <c r="A214" t="s">
        <v>4093</v>
      </c>
      <c r="B214" t="s">
        <v>2360</v>
      </c>
      <c r="C214" t="s">
        <v>4105</v>
      </c>
      <c r="D214">
        <v>38</v>
      </c>
      <c r="E214">
        <v>38</v>
      </c>
      <c r="F214" t="s">
        <v>4090</v>
      </c>
    </row>
    <row r="215" spans="1:6" hidden="1">
      <c r="A215" t="s">
        <v>4093</v>
      </c>
      <c r="B215" t="s">
        <v>2352</v>
      </c>
      <c r="C215" t="s">
        <v>4208</v>
      </c>
      <c r="D215">
        <v>150</v>
      </c>
      <c r="E215">
        <v>150</v>
      </c>
      <c r="F215" t="s">
        <v>4090</v>
      </c>
    </row>
    <row r="216" spans="1:6" hidden="1">
      <c r="A216" t="s">
        <v>4093</v>
      </c>
      <c r="B216" t="s">
        <v>2332</v>
      </c>
      <c r="C216" t="s">
        <v>4112</v>
      </c>
      <c r="D216">
        <v>720</v>
      </c>
      <c r="E216">
        <v>72</v>
      </c>
      <c r="F216" t="s">
        <v>4090</v>
      </c>
    </row>
    <row r="217" spans="1:6" hidden="1">
      <c r="A217" t="s">
        <v>4093</v>
      </c>
      <c r="B217" t="s">
        <v>2347</v>
      </c>
      <c r="C217" t="s">
        <v>4208</v>
      </c>
      <c r="D217">
        <v>48</v>
      </c>
      <c r="E217">
        <v>48</v>
      </c>
      <c r="F217" t="s">
        <v>4090</v>
      </c>
    </row>
    <row r="218" spans="1:6" hidden="1">
      <c r="A218" t="s">
        <v>4110</v>
      </c>
      <c r="B218" t="s">
        <v>2307</v>
      </c>
      <c r="C218" t="s">
        <v>4167</v>
      </c>
      <c r="D218">
        <v>96</v>
      </c>
      <c r="E218">
        <v>96</v>
      </c>
      <c r="F218" t="s">
        <v>4090</v>
      </c>
    </row>
    <row r="219" spans="1:6" hidden="1">
      <c r="A219" t="s">
        <v>4110</v>
      </c>
      <c r="B219" t="s">
        <v>2282</v>
      </c>
      <c r="C219" t="s">
        <v>4112</v>
      </c>
      <c r="D219">
        <v>420</v>
      </c>
      <c r="E219">
        <v>60</v>
      </c>
      <c r="F219" t="s">
        <v>4090</v>
      </c>
    </row>
    <row r="220" spans="1:6" hidden="1">
      <c r="A220" t="s">
        <v>4110</v>
      </c>
      <c r="B220" t="s">
        <v>2322</v>
      </c>
      <c r="C220" t="s">
        <v>4098</v>
      </c>
      <c r="D220">
        <v>44</v>
      </c>
      <c r="E220">
        <v>44</v>
      </c>
      <c r="F220" t="s">
        <v>4090</v>
      </c>
    </row>
    <row r="221" spans="1:6" hidden="1">
      <c r="A221" t="s">
        <v>4110</v>
      </c>
      <c r="B221" t="s">
        <v>2943</v>
      </c>
      <c r="C221" t="s">
        <v>4227</v>
      </c>
      <c r="D221">
        <v>96</v>
      </c>
      <c r="E221">
        <v>96</v>
      </c>
      <c r="F221" t="s">
        <v>4090</v>
      </c>
    </row>
    <row r="222" spans="1:6" hidden="1">
      <c r="A222" t="s">
        <v>4110</v>
      </c>
      <c r="B222" t="s">
        <v>2935</v>
      </c>
      <c r="C222" t="s">
        <v>4112</v>
      </c>
      <c r="D222">
        <v>420</v>
      </c>
      <c r="E222">
        <v>60</v>
      </c>
      <c r="F222" t="s">
        <v>4090</v>
      </c>
    </row>
    <row r="223" spans="1:6" hidden="1">
      <c r="A223" t="s">
        <v>4110</v>
      </c>
      <c r="B223" t="s">
        <v>2980</v>
      </c>
      <c r="C223" t="s">
        <v>4195</v>
      </c>
      <c r="D223">
        <v>33</v>
      </c>
      <c r="E223">
        <v>33</v>
      </c>
      <c r="F223" t="s">
        <v>4090</v>
      </c>
    </row>
    <row r="224" spans="1:6" hidden="1">
      <c r="A224" t="s">
        <v>4110</v>
      </c>
      <c r="B224" t="s">
        <v>2985</v>
      </c>
      <c r="C224" t="s">
        <v>4105</v>
      </c>
      <c r="D224">
        <v>27</v>
      </c>
      <c r="E224">
        <v>27</v>
      </c>
      <c r="F224" t="s">
        <v>4090</v>
      </c>
    </row>
    <row r="225" spans="1:6" hidden="1">
      <c r="A225" t="s">
        <v>4110</v>
      </c>
      <c r="B225" t="s">
        <v>2931</v>
      </c>
      <c r="C225" t="s">
        <v>4112</v>
      </c>
      <c r="D225">
        <v>420</v>
      </c>
      <c r="E225">
        <v>60</v>
      </c>
      <c r="F225" t="s">
        <v>4090</v>
      </c>
    </row>
    <row r="226" spans="1:6" hidden="1">
      <c r="A226" t="s">
        <v>4110</v>
      </c>
      <c r="B226" t="s">
        <v>2938</v>
      </c>
      <c r="C226" t="s">
        <v>4227</v>
      </c>
      <c r="D226">
        <v>96</v>
      </c>
      <c r="E226">
        <v>96</v>
      </c>
      <c r="F226" t="s">
        <v>4090</v>
      </c>
    </row>
    <row r="227" spans="1:6" hidden="1">
      <c r="A227" t="s">
        <v>4093</v>
      </c>
      <c r="B227" t="s">
        <v>3484</v>
      </c>
      <c r="C227" t="s">
        <v>4105</v>
      </c>
      <c r="D227">
        <v>36</v>
      </c>
      <c r="E227">
        <v>36</v>
      </c>
      <c r="F227" t="s">
        <v>4095</v>
      </c>
    </row>
    <row r="228" spans="1:6" hidden="1">
      <c r="A228" t="s">
        <v>4093</v>
      </c>
      <c r="B228" t="s">
        <v>1189</v>
      </c>
      <c r="C228" t="s">
        <v>4112</v>
      </c>
      <c r="D228">
        <v>36</v>
      </c>
      <c r="E228">
        <v>9</v>
      </c>
      <c r="F228" t="s">
        <v>4090</v>
      </c>
    </row>
    <row r="229" spans="1:6" hidden="1">
      <c r="A229" t="s">
        <v>4093</v>
      </c>
      <c r="B229" t="s">
        <v>3494</v>
      </c>
      <c r="C229" t="s">
        <v>4094</v>
      </c>
      <c r="D229">
        <v>27</v>
      </c>
      <c r="E229">
        <v>27</v>
      </c>
      <c r="F229" t="s">
        <v>4095</v>
      </c>
    </row>
    <row r="230" spans="1:6" hidden="1">
      <c r="A230" t="s">
        <v>4093</v>
      </c>
      <c r="B230" t="s">
        <v>1229</v>
      </c>
      <c r="C230" t="s">
        <v>4129</v>
      </c>
      <c r="D230">
        <v>27</v>
      </c>
      <c r="E230">
        <v>27</v>
      </c>
      <c r="F230" t="s">
        <v>4090</v>
      </c>
    </row>
    <row r="231" spans="1:6" hidden="1">
      <c r="A231" t="s">
        <v>4099</v>
      </c>
      <c r="B231" t="s">
        <v>3238</v>
      </c>
      <c r="C231" t="s">
        <v>4182</v>
      </c>
      <c r="D231">
        <v>24</v>
      </c>
      <c r="E231">
        <v>24</v>
      </c>
      <c r="F231" t="s">
        <v>4090</v>
      </c>
    </row>
    <row r="232" spans="1:6" hidden="1">
      <c r="A232" t="s">
        <v>4093</v>
      </c>
      <c r="B232" t="s">
        <v>2784</v>
      </c>
      <c r="C232" t="s">
        <v>4092</v>
      </c>
      <c r="D232">
        <v>60</v>
      </c>
      <c r="E232">
        <v>60</v>
      </c>
      <c r="F232" t="s">
        <v>4090</v>
      </c>
    </row>
    <row r="233" spans="1:6" hidden="1">
      <c r="A233" t="s">
        <v>4093</v>
      </c>
      <c r="B233" t="s">
        <v>2773</v>
      </c>
      <c r="C233" t="s">
        <v>4100</v>
      </c>
      <c r="D233">
        <v>44</v>
      </c>
      <c r="E233">
        <v>44</v>
      </c>
      <c r="F233" t="s">
        <v>4090</v>
      </c>
    </row>
    <row r="234" spans="1:6" hidden="1">
      <c r="A234" t="s">
        <v>4093</v>
      </c>
      <c r="B234" t="s">
        <v>2768</v>
      </c>
      <c r="C234" t="s">
        <v>4100</v>
      </c>
      <c r="D234">
        <v>24</v>
      </c>
      <c r="E234">
        <v>24</v>
      </c>
      <c r="F234" t="s">
        <v>4090</v>
      </c>
    </row>
    <row r="235" spans="1:6" hidden="1">
      <c r="A235" t="s">
        <v>4093</v>
      </c>
      <c r="B235" t="s">
        <v>203</v>
      </c>
      <c r="C235" t="s">
        <v>4143</v>
      </c>
      <c r="D235">
        <v>150</v>
      </c>
      <c r="E235">
        <v>150</v>
      </c>
      <c r="F235" t="s">
        <v>4090</v>
      </c>
    </row>
    <row r="236" spans="1:6" hidden="1">
      <c r="A236" t="s">
        <v>4093</v>
      </c>
      <c r="B236" t="s">
        <v>209</v>
      </c>
      <c r="C236" t="s">
        <v>4202</v>
      </c>
      <c r="D236">
        <v>48</v>
      </c>
      <c r="E236">
        <v>48</v>
      </c>
      <c r="F236" t="s">
        <v>4090</v>
      </c>
    </row>
    <row r="237" spans="1:6" hidden="1">
      <c r="A237" t="s">
        <v>4093</v>
      </c>
      <c r="B237" t="s">
        <v>153</v>
      </c>
      <c r="C237" t="s">
        <v>4201</v>
      </c>
      <c r="D237">
        <v>36</v>
      </c>
      <c r="E237">
        <v>36</v>
      </c>
      <c r="F237" t="s">
        <v>4090</v>
      </c>
    </row>
    <row r="238" spans="1:6" hidden="1">
      <c r="A238" t="s">
        <v>4093</v>
      </c>
      <c r="B238" t="s">
        <v>226</v>
      </c>
      <c r="C238" t="s">
        <v>4222</v>
      </c>
      <c r="D238">
        <v>27</v>
      </c>
      <c r="E238">
        <v>27</v>
      </c>
      <c r="F238" t="s">
        <v>4090</v>
      </c>
    </row>
    <row r="239" spans="1:6" hidden="1">
      <c r="A239" t="s">
        <v>4093</v>
      </c>
      <c r="B239" t="s">
        <v>1512</v>
      </c>
      <c r="C239" t="s">
        <v>4126</v>
      </c>
      <c r="D239">
        <v>24</v>
      </c>
      <c r="E239">
        <v>24</v>
      </c>
      <c r="F239" t="s">
        <v>4090</v>
      </c>
    </row>
    <row r="240" spans="1:6" hidden="1">
      <c r="A240" t="s">
        <v>4093</v>
      </c>
      <c r="B240" t="s">
        <v>1473</v>
      </c>
      <c r="C240" t="s">
        <v>4195</v>
      </c>
      <c r="D240">
        <v>33</v>
      </c>
      <c r="E240">
        <v>33</v>
      </c>
      <c r="F240" t="s">
        <v>4090</v>
      </c>
    </row>
    <row r="241" spans="1:6" hidden="1">
      <c r="A241" t="s">
        <v>4093</v>
      </c>
      <c r="B241" t="s">
        <v>1509</v>
      </c>
      <c r="C241" t="s">
        <v>4192</v>
      </c>
      <c r="D241">
        <v>48</v>
      </c>
      <c r="E241">
        <v>48</v>
      </c>
      <c r="F241" t="s">
        <v>4090</v>
      </c>
    </row>
    <row r="242" spans="1:6" hidden="1">
      <c r="A242" t="s">
        <v>4099</v>
      </c>
      <c r="B242" t="s">
        <v>2467</v>
      </c>
      <c r="C242" t="s">
        <v>4183</v>
      </c>
      <c r="D242">
        <v>552</v>
      </c>
      <c r="E242">
        <v>552</v>
      </c>
      <c r="F242" t="s">
        <v>4090</v>
      </c>
    </row>
    <row r="243" spans="1:6" hidden="1">
      <c r="A243" t="s">
        <v>4099</v>
      </c>
      <c r="B243" t="s">
        <v>1986</v>
      </c>
      <c r="C243" t="s">
        <v>4228</v>
      </c>
      <c r="D243">
        <v>210</v>
      </c>
      <c r="E243">
        <v>210</v>
      </c>
      <c r="F243" t="s">
        <v>4090</v>
      </c>
    </row>
    <row r="244" spans="1:6" hidden="1">
      <c r="A244" t="s">
        <v>4099</v>
      </c>
      <c r="B244" t="s">
        <v>2013</v>
      </c>
      <c r="C244" t="s">
        <v>4194</v>
      </c>
      <c r="D244">
        <v>38</v>
      </c>
      <c r="E244">
        <v>38</v>
      </c>
      <c r="F244" t="s">
        <v>4090</v>
      </c>
    </row>
    <row r="245" spans="1:6" hidden="1">
      <c r="A245" t="s">
        <v>4106</v>
      </c>
      <c r="B245" t="s">
        <v>3018</v>
      </c>
      <c r="C245" t="s">
        <v>4112</v>
      </c>
      <c r="D245">
        <v>70</v>
      </c>
      <c r="E245">
        <v>14</v>
      </c>
      <c r="F245" t="s">
        <v>4090</v>
      </c>
    </row>
    <row r="246" spans="1:6" hidden="1">
      <c r="A246" t="s">
        <v>4099</v>
      </c>
      <c r="B246" t="s">
        <v>2060</v>
      </c>
      <c r="C246" t="s">
        <v>4092</v>
      </c>
      <c r="D246">
        <v>210</v>
      </c>
      <c r="E246">
        <v>210</v>
      </c>
      <c r="F246" t="s">
        <v>4090</v>
      </c>
    </row>
    <row r="247" spans="1:6" hidden="1">
      <c r="A247" t="s">
        <v>4099</v>
      </c>
      <c r="B247" t="s">
        <v>2063</v>
      </c>
      <c r="C247" t="s">
        <v>4092</v>
      </c>
      <c r="D247">
        <v>96</v>
      </c>
      <c r="E247">
        <v>96</v>
      </c>
      <c r="F247" t="s">
        <v>4090</v>
      </c>
    </row>
    <row r="248" spans="1:6" hidden="1">
      <c r="A248" t="s">
        <v>4099</v>
      </c>
      <c r="B248" t="s">
        <v>1099</v>
      </c>
      <c r="C248" t="s">
        <v>4183</v>
      </c>
      <c r="D248">
        <v>180</v>
      </c>
      <c r="E248">
        <v>180</v>
      </c>
      <c r="F248" t="s">
        <v>4090</v>
      </c>
    </row>
    <row r="249" spans="1:6" hidden="1">
      <c r="A249" t="s">
        <v>4099</v>
      </c>
      <c r="B249" t="s">
        <v>1072</v>
      </c>
      <c r="C249" t="s">
        <v>4183</v>
      </c>
      <c r="D249">
        <v>96</v>
      </c>
      <c r="E249">
        <v>96</v>
      </c>
      <c r="F249" t="s">
        <v>4090</v>
      </c>
    </row>
    <row r="250" spans="1:6" hidden="1">
      <c r="A250" t="s">
        <v>4099</v>
      </c>
      <c r="B250" t="s">
        <v>533</v>
      </c>
      <c r="C250" t="s">
        <v>4092</v>
      </c>
      <c r="D250">
        <v>552</v>
      </c>
      <c r="E250">
        <v>552</v>
      </c>
      <c r="F250" t="s">
        <v>4090</v>
      </c>
    </row>
    <row r="251" spans="1:6" hidden="1">
      <c r="A251" t="s">
        <v>4099</v>
      </c>
      <c r="B251" t="s">
        <v>527</v>
      </c>
      <c r="C251" t="s">
        <v>4092</v>
      </c>
      <c r="D251">
        <v>180</v>
      </c>
      <c r="E251">
        <v>180</v>
      </c>
      <c r="F251" t="s">
        <v>4090</v>
      </c>
    </row>
    <row r="252" spans="1:6" hidden="1">
      <c r="A252" t="s">
        <v>4099</v>
      </c>
      <c r="B252" t="s">
        <v>520</v>
      </c>
      <c r="C252" t="s">
        <v>4227</v>
      </c>
      <c r="D252">
        <v>96</v>
      </c>
      <c r="E252">
        <v>96</v>
      </c>
      <c r="F252" t="s">
        <v>4090</v>
      </c>
    </row>
    <row r="253" spans="1:6" hidden="1">
      <c r="A253" t="s">
        <v>4099</v>
      </c>
      <c r="B253" t="s">
        <v>588</v>
      </c>
      <c r="C253" t="s">
        <v>4122</v>
      </c>
      <c r="D253">
        <v>36</v>
      </c>
      <c r="E253">
        <v>36</v>
      </c>
      <c r="F253" t="s">
        <v>4090</v>
      </c>
    </row>
    <row r="254" spans="1:6" hidden="1">
      <c r="A254" t="s">
        <v>4093</v>
      </c>
      <c r="B254" t="s">
        <v>3745</v>
      </c>
      <c r="C254" t="s">
        <v>4109</v>
      </c>
      <c r="D254">
        <v>36</v>
      </c>
      <c r="E254">
        <v>36</v>
      </c>
      <c r="F254" t="s">
        <v>4095</v>
      </c>
    </row>
    <row r="255" spans="1:6" hidden="1">
      <c r="A255" t="s">
        <v>4093</v>
      </c>
      <c r="B255" t="s">
        <v>3755</v>
      </c>
      <c r="C255" t="s">
        <v>4094</v>
      </c>
      <c r="D255">
        <v>36</v>
      </c>
      <c r="E255">
        <v>36</v>
      </c>
      <c r="F255" t="s">
        <v>4095</v>
      </c>
    </row>
    <row r="256" spans="1:6" hidden="1">
      <c r="A256" t="s">
        <v>4093</v>
      </c>
      <c r="B256" t="s">
        <v>3741</v>
      </c>
      <c r="C256" t="s">
        <v>4109</v>
      </c>
      <c r="D256">
        <v>150</v>
      </c>
      <c r="E256">
        <v>150</v>
      </c>
      <c r="F256" t="s">
        <v>4095</v>
      </c>
    </row>
    <row r="257" spans="1:6" hidden="1">
      <c r="A257" t="s">
        <v>4093</v>
      </c>
      <c r="B257" t="s">
        <v>3750</v>
      </c>
      <c r="C257" t="s">
        <v>4109</v>
      </c>
      <c r="D257">
        <v>96</v>
      </c>
      <c r="E257">
        <v>96</v>
      </c>
      <c r="F257" t="s">
        <v>4095</v>
      </c>
    </row>
    <row r="258" spans="1:6" hidden="1">
      <c r="A258" t="s">
        <v>4093</v>
      </c>
      <c r="B258" t="s">
        <v>3063</v>
      </c>
      <c r="C258" t="s">
        <v>4112</v>
      </c>
      <c r="D258">
        <v>150</v>
      </c>
      <c r="E258">
        <v>30</v>
      </c>
      <c r="F258" t="s">
        <v>4090</v>
      </c>
    </row>
    <row r="259" spans="1:6" hidden="1">
      <c r="A259" t="s">
        <v>4093</v>
      </c>
      <c r="B259" t="s">
        <v>3049</v>
      </c>
      <c r="C259" t="s">
        <v>4127</v>
      </c>
      <c r="D259">
        <v>36</v>
      </c>
      <c r="E259">
        <v>36</v>
      </c>
      <c r="F259" t="s">
        <v>4090</v>
      </c>
    </row>
    <row r="260" spans="1:6" hidden="1">
      <c r="A260" t="s">
        <v>4093</v>
      </c>
      <c r="B260" t="s">
        <v>3125</v>
      </c>
      <c r="C260" t="s">
        <v>4206</v>
      </c>
      <c r="D260">
        <v>27</v>
      </c>
      <c r="E260">
        <v>27</v>
      </c>
      <c r="F260" t="s">
        <v>4090</v>
      </c>
    </row>
    <row r="261" spans="1:6" hidden="1">
      <c r="A261" t="s">
        <v>4093</v>
      </c>
      <c r="B261" t="s">
        <v>3030</v>
      </c>
      <c r="C261" t="s">
        <v>4112</v>
      </c>
      <c r="D261">
        <v>96</v>
      </c>
      <c r="E261">
        <v>24</v>
      </c>
      <c r="F261" t="s">
        <v>4090</v>
      </c>
    </row>
    <row r="262" spans="1:6" hidden="1">
      <c r="A262" t="s">
        <v>4093</v>
      </c>
      <c r="B262" t="s">
        <v>3306</v>
      </c>
      <c r="C262" t="s">
        <v>4105</v>
      </c>
      <c r="D262">
        <v>150</v>
      </c>
      <c r="E262">
        <v>150</v>
      </c>
      <c r="F262" t="s">
        <v>4095</v>
      </c>
    </row>
    <row r="263" spans="1:6" hidden="1">
      <c r="A263" t="s">
        <v>4093</v>
      </c>
      <c r="B263" t="s">
        <v>696</v>
      </c>
      <c r="C263" t="s">
        <v>4183</v>
      </c>
      <c r="D263">
        <v>462</v>
      </c>
      <c r="E263">
        <v>462</v>
      </c>
      <c r="F263" t="s">
        <v>4090</v>
      </c>
    </row>
    <row r="264" spans="1:6" hidden="1">
      <c r="A264" t="s">
        <v>4093</v>
      </c>
      <c r="B264" t="s">
        <v>678</v>
      </c>
      <c r="C264" t="s">
        <v>4229</v>
      </c>
      <c r="D264">
        <v>60</v>
      </c>
      <c r="E264">
        <v>60</v>
      </c>
      <c r="F264" t="s">
        <v>4090</v>
      </c>
    </row>
    <row r="265" spans="1:6" hidden="1">
      <c r="A265" t="s">
        <v>4093</v>
      </c>
      <c r="B265" t="s">
        <v>735</v>
      </c>
      <c r="C265" t="s">
        <v>4124</v>
      </c>
      <c r="D265">
        <v>33</v>
      </c>
      <c r="E265">
        <v>33</v>
      </c>
      <c r="F265" t="s">
        <v>4090</v>
      </c>
    </row>
    <row r="266" spans="1:6" hidden="1">
      <c r="A266" t="s">
        <v>4093</v>
      </c>
      <c r="B266" t="s">
        <v>3285</v>
      </c>
      <c r="C266" t="s">
        <v>4094</v>
      </c>
      <c r="D266">
        <v>462</v>
      </c>
      <c r="E266">
        <v>462</v>
      </c>
      <c r="F266" t="s">
        <v>4095</v>
      </c>
    </row>
    <row r="267" spans="1:6" hidden="1">
      <c r="A267" t="s">
        <v>4093</v>
      </c>
      <c r="B267" t="s">
        <v>3246</v>
      </c>
      <c r="C267" t="s">
        <v>4094</v>
      </c>
      <c r="D267">
        <v>60</v>
      </c>
      <c r="E267">
        <v>60</v>
      </c>
      <c r="F267" t="s">
        <v>4095</v>
      </c>
    </row>
    <row r="268" spans="1:6" hidden="1">
      <c r="A268" t="s">
        <v>4093</v>
      </c>
      <c r="B268" t="s">
        <v>3255</v>
      </c>
      <c r="C268" t="s">
        <v>4094</v>
      </c>
      <c r="D268">
        <v>27</v>
      </c>
      <c r="E268">
        <v>27</v>
      </c>
      <c r="F268" t="s">
        <v>4095</v>
      </c>
    </row>
    <row r="269" spans="1:6" hidden="1">
      <c r="A269" t="s">
        <v>4093</v>
      </c>
      <c r="B269" t="s">
        <v>1882</v>
      </c>
      <c r="C269" t="s">
        <v>4112</v>
      </c>
      <c r="D269">
        <v>528</v>
      </c>
      <c r="E269">
        <v>66</v>
      </c>
      <c r="F269" t="s">
        <v>4090</v>
      </c>
    </row>
    <row r="270" spans="1:6" hidden="1">
      <c r="A270" t="s">
        <v>4093</v>
      </c>
      <c r="B270" t="s">
        <v>1900</v>
      </c>
      <c r="C270" t="s">
        <v>4125</v>
      </c>
      <c r="D270">
        <v>60</v>
      </c>
      <c r="E270">
        <v>60</v>
      </c>
      <c r="F270" t="s">
        <v>4090</v>
      </c>
    </row>
    <row r="271" spans="1:6" hidden="1">
      <c r="A271" t="s">
        <v>4093</v>
      </c>
      <c r="B271" t="s">
        <v>1934</v>
      </c>
      <c r="C271" t="s">
        <v>4224</v>
      </c>
      <c r="D271">
        <v>33</v>
      </c>
      <c r="E271">
        <v>33</v>
      </c>
      <c r="F271" t="s">
        <v>4090</v>
      </c>
    </row>
    <row r="272" spans="1:6" hidden="1">
      <c r="A272" t="s">
        <v>4093</v>
      </c>
      <c r="B272" t="s">
        <v>3096</v>
      </c>
      <c r="C272" t="s">
        <v>4112</v>
      </c>
      <c r="D272">
        <v>528</v>
      </c>
      <c r="E272">
        <v>66</v>
      </c>
      <c r="F272" t="s">
        <v>4090</v>
      </c>
    </row>
    <row r="273" spans="1:6" hidden="1">
      <c r="A273" t="s">
        <v>4093</v>
      </c>
      <c r="B273" t="s">
        <v>3114</v>
      </c>
      <c r="C273" t="s">
        <v>4092</v>
      </c>
      <c r="D273">
        <v>60</v>
      </c>
      <c r="E273">
        <v>60</v>
      </c>
      <c r="F273" t="s">
        <v>4090</v>
      </c>
    </row>
    <row r="274" spans="1:6" hidden="1">
      <c r="A274" t="s">
        <v>4093</v>
      </c>
      <c r="B274" t="s">
        <v>3075</v>
      </c>
      <c r="C274" t="s">
        <v>4112</v>
      </c>
      <c r="D274">
        <v>27</v>
      </c>
      <c r="E274">
        <v>9</v>
      </c>
      <c r="F274" t="s">
        <v>4090</v>
      </c>
    </row>
    <row r="275" spans="1:6" hidden="1">
      <c r="A275" t="s">
        <v>4093</v>
      </c>
      <c r="B275" t="s">
        <v>1448</v>
      </c>
      <c r="C275" t="s">
        <v>4141</v>
      </c>
      <c r="D275">
        <v>60</v>
      </c>
      <c r="E275">
        <v>60</v>
      </c>
      <c r="F275" t="s">
        <v>4090</v>
      </c>
    </row>
    <row r="276" spans="1:6" hidden="1">
      <c r="A276" t="s">
        <v>4093</v>
      </c>
      <c r="B276" t="s">
        <v>1520</v>
      </c>
      <c r="C276" t="s">
        <v>4230</v>
      </c>
      <c r="D276">
        <v>27</v>
      </c>
      <c r="E276">
        <v>27</v>
      </c>
      <c r="F276" t="s">
        <v>4090</v>
      </c>
    </row>
    <row r="277" spans="1:6" hidden="1">
      <c r="A277" t="s">
        <v>4093</v>
      </c>
      <c r="B277" t="s">
        <v>317</v>
      </c>
      <c r="C277" t="s">
        <v>4132</v>
      </c>
      <c r="D277">
        <v>483</v>
      </c>
      <c r="E277">
        <v>483</v>
      </c>
      <c r="F277" t="s">
        <v>4090</v>
      </c>
    </row>
    <row r="278" spans="1:6" hidden="1">
      <c r="A278" t="s">
        <v>4093</v>
      </c>
      <c r="B278" t="s">
        <v>339</v>
      </c>
      <c r="C278" t="s">
        <v>4156</v>
      </c>
      <c r="D278">
        <v>60</v>
      </c>
      <c r="E278">
        <v>60</v>
      </c>
      <c r="F278" t="s">
        <v>4090</v>
      </c>
    </row>
    <row r="279" spans="1:6" hidden="1">
      <c r="A279" t="s">
        <v>4093</v>
      </c>
      <c r="B279" t="s">
        <v>420</v>
      </c>
      <c r="C279" t="s">
        <v>4123</v>
      </c>
      <c r="D279">
        <v>27</v>
      </c>
      <c r="E279">
        <v>27</v>
      </c>
      <c r="F279" t="s">
        <v>4090</v>
      </c>
    </row>
    <row r="280" spans="1:6" hidden="1">
      <c r="A280" t="s">
        <v>4093</v>
      </c>
      <c r="B280" t="s">
        <v>1324</v>
      </c>
      <c r="C280" t="s">
        <v>4092</v>
      </c>
      <c r="D280">
        <v>483</v>
      </c>
      <c r="E280">
        <v>483</v>
      </c>
      <c r="F280" t="s">
        <v>4090</v>
      </c>
    </row>
    <row r="281" spans="1:6" hidden="1">
      <c r="A281" t="s">
        <v>4093</v>
      </c>
      <c r="B281" t="s">
        <v>1348</v>
      </c>
      <c r="C281" t="s">
        <v>4112</v>
      </c>
      <c r="D281">
        <v>60</v>
      </c>
      <c r="E281">
        <v>12</v>
      </c>
      <c r="F281" t="s">
        <v>4090</v>
      </c>
    </row>
    <row r="282" spans="1:6" hidden="1">
      <c r="A282" t="s">
        <v>4093</v>
      </c>
      <c r="B282" t="s">
        <v>1339</v>
      </c>
      <c r="C282" t="s">
        <v>4112</v>
      </c>
      <c r="D282">
        <v>27</v>
      </c>
      <c r="E282">
        <v>9</v>
      </c>
      <c r="F282" t="s">
        <v>4090</v>
      </c>
    </row>
    <row r="283" spans="1:6" hidden="1">
      <c r="A283" t="s">
        <v>4093</v>
      </c>
      <c r="B283" t="s">
        <v>693</v>
      </c>
      <c r="C283" t="s">
        <v>4183</v>
      </c>
      <c r="D283">
        <v>483</v>
      </c>
      <c r="E283">
        <v>483</v>
      </c>
      <c r="F283" t="s">
        <v>4090</v>
      </c>
    </row>
    <row r="284" spans="1:6" hidden="1">
      <c r="A284" t="s">
        <v>4093</v>
      </c>
      <c r="B284" t="s">
        <v>704</v>
      </c>
      <c r="C284" t="s">
        <v>4229</v>
      </c>
      <c r="D284">
        <v>60</v>
      </c>
      <c r="E284">
        <v>60</v>
      </c>
      <c r="F284" t="s">
        <v>4090</v>
      </c>
    </row>
    <row r="285" spans="1:6" hidden="1">
      <c r="A285" t="s">
        <v>4093</v>
      </c>
      <c r="B285" t="s">
        <v>757</v>
      </c>
      <c r="C285" t="s">
        <v>4109</v>
      </c>
      <c r="D285">
        <v>33</v>
      </c>
      <c r="E285">
        <v>33</v>
      </c>
      <c r="F285" t="s">
        <v>4090</v>
      </c>
    </row>
    <row r="286" spans="1:6" hidden="1">
      <c r="A286" t="s">
        <v>4093</v>
      </c>
      <c r="B286" t="s">
        <v>3252</v>
      </c>
      <c r="C286" t="s">
        <v>4105</v>
      </c>
      <c r="D286">
        <v>462</v>
      </c>
      <c r="E286">
        <v>462</v>
      </c>
      <c r="F286" t="s">
        <v>4095</v>
      </c>
    </row>
    <row r="287" spans="1:6" hidden="1">
      <c r="A287" t="s">
        <v>4093</v>
      </c>
      <c r="B287" t="s">
        <v>3249</v>
      </c>
      <c r="C287" t="s">
        <v>4109</v>
      </c>
      <c r="D287">
        <v>60</v>
      </c>
      <c r="E287">
        <v>60</v>
      </c>
      <c r="F287" t="s">
        <v>4095</v>
      </c>
    </row>
    <row r="288" spans="1:6" hidden="1">
      <c r="A288" t="s">
        <v>4093</v>
      </c>
      <c r="B288" t="s">
        <v>3242</v>
      </c>
      <c r="C288" t="s">
        <v>4109</v>
      </c>
      <c r="D288">
        <v>27</v>
      </c>
      <c r="E288">
        <v>27</v>
      </c>
      <c r="F288" t="s">
        <v>4095</v>
      </c>
    </row>
    <row r="289" spans="1:6" hidden="1">
      <c r="A289" t="s">
        <v>4093</v>
      </c>
      <c r="B289" t="s">
        <v>1888</v>
      </c>
      <c r="C289" t="s">
        <v>4112</v>
      </c>
      <c r="D289">
        <v>483</v>
      </c>
      <c r="E289">
        <v>69</v>
      </c>
      <c r="F289" t="s">
        <v>4090</v>
      </c>
    </row>
    <row r="290" spans="1:6" hidden="1">
      <c r="A290" t="s">
        <v>4093</v>
      </c>
      <c r="B290" t="s">
        <v>1872</v>
      </c>
      <c r="C290" t="s">
        <v>4125</v>
      </c>
      <c r="D290">
        <v>60</v>
      </c>
      <c r="E290">
        <v>60</v>
      </c>
      <c r="F290" t="s">
        <v>4090</v>
      </c>
    </row>
    <row r="291" spans="1:6" hidden="1">
      <c r="A291" t="s">
        <v>4093</v>
      </c>
      <c r="B291" t="s">
        <v>1897</v>
      </c>
      <c r="C291" t="s">
        <v>4092</v>
      </c>
      <c r="D291">
        <v>27</v>
      </c>
      <c r="E291">
        <v>27</v>
      </c>
      <c r="F291" t="s">
        <v>4090</v>
      </c>
    </row>
    <row r="292" spans="1:6" hidden="1">
      <c r="A292" t="s">
        <v>4093</v>
      </c>
      <c r="B292" t="s">
        <v>3102</v>
      </c>
      <c r="C292" t="s">
        <v>4112</v>
      </c>
      <c r="D292">
        <v>483</v>
      </c>
      <c r="E292">
        <v>69</v>
      </c>
      <c r="F292" t="s">
        <v>4090</v>
      </c>
    </row>
    <row r="293" spans="1:6" hidden="1">
      <c r="A293" t="s">
        <v>4093</v>
      </c>
      <c r="B293" t="s">
        <v>3111</v>
      </c>
      <c r="C293" t="s">
        <v>4092</v>
      </c>
      <c r="D293">
        <v>60</v>
      </c>
      <c r="E293">
        <v>60</v>
      </c>
      <c r="F293" t="s">
        <v>4090</v>
      </c>
    </row>
    <row r="294" spans="1:6" hidden="1">
      <c r="A294" t="s">
        <v>4093</v>
      </c>
      <c r="B294" t="s">
        <v>3054</v>
      </c>
      <c r="C294" t="s">
        <v>4112</v>
      </c>
      <c r="D294">
        <v>27</v>
      </c>
      <c r="E294">
        <v>9</v>
      </c>
      <c r="F294" t="s">
        <v>4090</v>
      </c>
    </row>
    <row r="295" spans="1:6" hidden="1">
      <c r="A295" t="s">
        <v>4113</v>
      </c>
      <c r="B295" t="s">
        <v>3332</v>
      </c>
      <c r="C295" t="s">
        <v>4105</v>
      </c>
      <c r="D295">
        <v>96</v>
      </c>
      <c r="E295">
        <v>96</v>
      </c>
      <c r="F295" t="s">
        <v>4095</v>
      </c>
    </row>
    <row r="296" spans="1:6" hidden="1">
      <c r="A296" t="s">
        <v>4114</v>
      </c>
      <c r="B296" t="s">
        <v>3332</v>
      </c>
      <c r="C296" t="s">
        <v>4094</v>
      </c>
      <c r="D296">
        <v>96</v>
      </c>
      <c r="E296">
        <v>96</v>
      </c>
      <c r="F296" t="s">
        <v>4095</v>
      </c>
    </row>
    <row r="297" spans="1:6" hidden="1">
      <c r="A297" t="s">
        <v>4113</v>
      </c>
      <c r="B297" t="s">
        <v>3319</v>
      </c>
      <c r="C297" t="s">
        <v>4105</v>
      </c>
      <c r="D297">
        <v>150</v>
      </c>
      <c r="E297">
        <v>150</v>
      </c>
      <c r="F297" t="s">
        <v>4095</v>
      </c>
    </row>
    <row r="298" spans="1:6" hidden="1">
      <c r="A298" t="s">
        <v>4114</v>
      </c>
      <c r="B298" t="s">
        <v>3319</v>
      </c>
      <c r="C298" t="s">
        <v>4109</v>
      </c>
      <c r="D298">
        <v>150</v>
      </c>
      <c r="E298">
        <v>150</v>
      </c>
      <c r="F298" t="s">
        <v>4095</v>
      </c>
    </row>
    <row r="299" spans="1:6" hidden="1">
      <c r="A299" t="s">
        <v>4088</v>
      </c>
      <c r="B299" t="s">
        <v>2995</v>
      </c>
      <c r="C299" t="s">
        <v>4112</v>
      </c>
      <c r="D299">
        <v>76</v>
      </c>
      <c r="E299">
        <v>19</v>
      </c>
      <c r="F299" t="s">
        <v>4090</v>
      </c>
    </row>
    <row r="300" spans="1:6" hidden="1">
      <c r="A300" t="s">
        <v>4088</v>
      </c>
      <c r="B300" t="s">
        <v>2998</v>
      </c>
      <c r="C300" t="s">
        <v>4112</v>
      </c>
      <c r="D300">
        <v>56</v>
      </c>
      <c r="E300">
        <v>14</v>
      </c>
      <c r="F300" t="s">
        <v>4090</v>
      </c>
    </row>
    <row r="301" spans="1:6" hidden="1">
      <c r="A301" t="s">
        <v>4106</v>
      </c>
      <c r="B301" t="s">
        <v>2998</v>
      </c>
      <c r="C301" t="s">
        <v>4112</v>
      </c>
      <c r="D301">
        <v>56</v>
      </c>
      <c r="E301">
        <v>14</v>
      </c>
      <c r="F301" t="s">
        <v>4090</v>
      </c>
    </row>
    <row r="302" spans="1:6" hidden="1">
      <c r="A302" t="s">
        <v>4088</v>
      </c>
      <c r="B302" t="s">
        <v>3015</v>
      </c>
      <c r="C302" t="s">
        <v>4159</v>
      </c>
      <c r="D302">
        <v>30</v>
      </c>
      <c r="E302">
        <v>30</v>
      </c>
      <c r="F302" t="s">
        <v>4090</v>
      </c>
    </row>
    <row r="303" spans="1:6" hidden="1">
      <c r="A303" t="s">
        <v>4106</v>
      </c>
      <c r="B303" t="s">
        <v>3015</v>
      </c>
      <c r="C303" t="s">
        <v>4159</v>
      </c>
      <c r="D303">
        <v>30</v>
      </c>
      <c r="E303">
        <v>30</v>
      </c>
      <c r="F303" t="s">
        <v>4090</v>
      </c>
    </row>
    <row r="304" spans="1:6" hidden="1">
      <c r="A304" t="s">
        <v>4088</v>
      </c>
      <c r="B304" t="s">
        <v>3026</v>
      </c>
      <c r="C304" t="s">
        <v>4140</v>
      </c>
      <c r="D304">
        <v>24</v>
      </c>
      <c r="E304">
        <v>24</v>
      </c>
      <c r="F304" t="s">
        <v>4090</v>
      </c>
    </row>
    <row r="305" spans="1:6" hidden="1">
      <c r="A305" t="s">
        <v>4099</v>
      </c>
      <c r="B305" t="s">
        <v>3790</v>
      </c>
      <c r="C305" t="s">
        <v>4094</v>
      </c>
      <c r="D305">
        <v>24</v>
      </c>
      <c r="E305">
        <v>24</v>
      </c>
      <c r="F305" t="s">
        <v>4095</v>
      </c>
    </row>
    <row r="306" spans="1:6" hidden="1">
      <c r="A306" t="s">
        <v>4099</v>
      </c>
      <c r="B306" t="s">
        <v>1000</v>
      </c>
      <c r="C306" t="s">
        <v>4210</v>
      </c>
      <c r="D306">
        <v>24</v>
      </c>
      <c r="E306">
        <v>24</v>
      </c>
      <c r="F306" t="s">
        <v>4090</v>
      </c>
    </row>
    <row r="307" spans="1:6" hidden="1">
      <c r="A307" t="s">
        <v>4099</v>
      </c>
      <c r="B307" t="s">
        <v>2632</v>
      </c>
      <c r="C307" t="s">
        <v>4094</v>
      </c>
      <c r="D307">
        <v>24</v>
      </c>
      <c r="E307">
        <v>24</v>
      </c>
      <c r="F307" t="s">
        <v>4090</v>
      </c>
    </row>
    <row r="308" spans="1:6" hidden="1">
      <c r="A308" t="s">
        <v>4099</v>
      </c>
      <c r="B308" t="s">
        <v>2819</v>
      </c>
      <c r="C308" t="s">
        <v>4112</v>
      </c>
      <c r="D308">
        <v>228</v>
      </c>
      <c r="E308">
        <v>38</v>
      </c>
      <c r="F308" t="s">
        <v>4090</v>
      </c>
    </row>
    <row r="309" spans="1:6" hidden="1">
      <c r="A309" t="s">
        <v>4099</v>
      </c>
      <c r="B309" t="s">
        <v>2816</v>
      </c>
      <c r="C309" t="s">
        <v>4112</v>
      </c>
      <c r="D309">
        <v>96</v>
      </c>
      <c r="E309">
        <v>24</v>
      </c>
      <c r="F309" t="s">
        <v>4090</v>
      </c>
    </row>
    <row r="310" spans="1:6" hidden="1">
      <c r="A310" t="s">
        <v>4093</v>
      </c>
      <c r="B310" t="s">
        <v>2498</v>
      </c>
      <c r="C310" t="s">
        <v>4231</v>
      </c>
      <c r="D310">
        <v>150</v>
      </c>
      <c r="E310">
        <v>150</v>
      </c>
      <c r="F310" t="s">
        <v>4090</v>
      </c>
    </row>
    <row r="311" spans="1:6" hidden="1">
      <c r="A311" t="s">
        <v>4093</v>
      </c>
      <c r="B311" t="s">
        <v>2464</v>
      </c>
      <c r="C311" t="s">
        <v>4223</v>
      </c>
      <c r="D311">
        <v>483</v>
      </c>
      <c r="E311">
        <v>483</v>
      </c>
      <c r="F311" t="s">
        <v>4090</v>
      </c>
    </row>
    <row r="312" spans="1:6" hidden="1">
      <c r="A312" t="s">
        <v>4099</v>
      </c>
      <c r="B312" t="s">
        <v>3021</v>
      </c>
      <c r="C312" t="s">
        <v>4232</v>
      </c>
      <c r="D312">
        <v>64</v>
      </c>
      <c r="E312">
        <v>64</v>
      </c>
      <c r="F312" t="s">
        <v>4090</v>
      </c>
    </row>
    <row r="313" spans="1:6" hidden="1">
      <c r="A313" t="s">
        <v>4099</v>
      </c>
      <c r="B313" t="s">
        <v>3528</v>
      </c>
      <c r="C313" t="s">
        <v>4094</v>
      </c>
      <c r="D313">
        <v>64</v>
      </c>
      <c r="E313">
        <v>64</v>
      </c>
      <c r="F313" t="s">
        <v>4095</v>
      </c>
    </row>
    <row r="314" spans="1:6" hidden="1">
      <c r="A314" t="s">
        <v>4106</v>
      </c>
      <c r="B314" t="s">
        <v>1248</v>
      </c>
      <c r="C314" t="s">
        <v>4197</v>
      </c>
      <c r="D314">
        <v>24</v>
      </c>
      <c r="E314">
        <v>24</v>
      </c>
      <c r="F314" t="s">
        <v>4090</v>
      </c>
    </row>
    <row r="315" spans="1:6" hidden="1">
      <c r="A315" t="s">
        <v>4106</v>
      </c>
      <c r="B315" t="s">
        <v>1251</v>
      </c>
      <c r="C315" t="s">
        <v>4225</v>
      </c>
      <c r="D315">
        <v>70</v>
      </c>
      <c r="E315">
        <v>70</v>
      </c>
      <c r="F315" t="s">
        <v>4090</v>
      </c>
    </row>
    <row r="316" spans="1:6" hidden="1">
      <c r="A316" t="s">
        <v>4106</v>
      </c>
      <c r="B316" t="s">
        <v>1254</v>
      </c>
      <c r="C316" t="s">
        <v>4112</v>
      </c>
      <c r="D316">
        <v>396</v>
      </c>
      <c r="E316">
        <v>66</v>
      </c>
      <c r="F316" t="s">
        <v>4090</v>
      </c>
    </row>
    <row r="317" spans="1:6" hidden="1">
      <c r="A317" t="s">
        <v>4116</v>
      </c>
      <c r="B317" t="s">
        <v>1589</v>
      </c>
      <c r="C317" t="s">
        <v>4159</v>
      </c>
      <c r="D317">
        <v>576</v>
      </c>
      <c r="E317">
        <v>576</v>
      </c>
      <c r="F317" t="s">
        <v>4090</v>
      </c>
    </row>
    <row r="318" spans="1:6" hidden="1">
      <c r="A318" t="s">
        <v>4116</v>
      </c>
      <c r="B318" t="s">
        <v>1609</v>
      </c>
      <c r="C318" t="s">
        <v>4092</v>
      </c>
      <c r="D318">
        <v>150</v>
      </c>
      <c r="E318">
        <v>150</v>
      </c>
      <c r="F318" t="s">
        <v>4090</v>
      </c>
    </row>
    <row r="319" spans="1:6" hidden="1">
      <c r="A319" t="s">
        <v>4116</v>
      </c>
      <c r="B319" t="s">
        <v>1633</v>
      </c>
      <c r="C319" t="s">
        <v>4159</v>
      </c>
      <c r="D319">
        <v>576</v>
      </c>
      <c r="E319">
        <v>576</v>
      </c>
      <c r="F319" t="s">
        <v>4090</v>
      </c>
    </row>
    <row r="320" spans="1:6" hidden="1">
      <c r="A320" t="s">
        <v>4114</v>
      </c>
      <c r="B320" t="s">
        <v>1969</v>
      </c>
      <c r="C320" t="s">
        <v>4129</v>
      </c>
      <c r="D320">
        <v>44</v>
      </c>
      <c r="E320">
        <v>44</v>
      </c>
      <c r="F320" t="s">
        <v>4090</v>
      </c>
    </row>
    <row r="321" spans="1:6" hidden="1">
      <c r="A321" t="s">
        <v>4114</v>
      </c>
      <c r="B321" t="s">
        <v>1487</v>
      </c>
      <c r="C321" t="s">
        <v>4233</v>
      </c>
      <c r="D321">
        <v>96</v>
      </c>
      <c r="E321">
        <v>96</v>
      </c>
      <c r="F321" t="s">
        <v>4090</v>
      </c>
    </row>
    <row r="322" spans="1:6" hidden="1">
      <c r="A322" t="s">
        <v>4093</v>
      </c>
      <c r="B322" t="s">
        <v>3795</v>
      </c>
      <c r="C322" t="s">
        <v>4109</v>
      </c>
      <c r="D322">
        <v>150</v>
      </c>
      <c r="E322">
        <v>150</v>
      </c>
      <c r="F322" t="s">
        <v>4095</v>
      </c>
    </row>
    <row r="323" spans="1:6" hidden="1">
      <c r="A323" t="s">
        <v>4093</v>
      </c>
      <c r="B323" t="s">
        <v>3908</v>
      </c>
      <c r="C323" t="s">
        <v>4105</v>
      </c>
      <c r="D323">
        <v>150</v>
      </c>
      <c r="E323">
        <v>150</v>
      </c>
      <c r="F323" t="s">
        <v>4095</v>
      </c>
    </row>
    <row r="324" spans="1:6" hidden="1">
      <c r="A324" t="s">
        <v>4093</v>
      </c>
      <c r="B324" t="s">
        <v>4018</v>
      </c>
      <c r="C324" t="s">
        <v>4109</v>
      </c>
      <c r="D324">
        <v>44</v>
      </c>
      <c r="E324">
        <v>44</v>
      </c>
      <c r="F324" t="s">
        <v>4095</v>
      </c>
    </row>
    <row r="325" spans="1:6" hidden="1">
      <c r="A325" t="s">
        <v>4093</v>
      </c>
      <c r="B325" t="s">
        <v>4048</v>
      </c>
      <c r="C325" t="s">
        <v>4105</v>
      </c>
      <c r="D325">
        <v>120</v>
      </c>
      <c r="E325">
        <v>120</v>
      </c>
      <c r="F325" t="s">
        <v>4095</v>
      </c>
    </row>
    <row r="326" spans="1:6" hidden="1">
      <c r="A326" t="s">
        <v>4099</v>
      </c>
      <c r="B326" t="s">
        <v>131</v>
      </c>
      <c r="C326" t="s">
        <v>4156</v>
      </c>
      <c r="D326">
        <v>56</v>
      </c>
      <c r="E326">
        <v>56</v>
      </c>
      <c r="F326" t="s">
        <v>4090</v>
      </c>
    </row>
    <row r="327" spans="1:6" hidden="1">
      <c r="A327" t="s">
        <v>4099</v>
      </c>
      <c r="B327" t="s">
        <v>475</v>
      </c>
      <c r="C327" t="s">
        <v>4220</v>
      </c>
      <c r="D327">
        <v>180</v>
      </c>
      <c r="E327">
        <v>180</v>
      </c>
      <c r="F327" t="s">
        <v>4090</v>
      </c>
    </row>
    <row r="328" spans="1:6" hidden="1">
      <c r="A328" t="s">
        <v>4093</v>
      </c>
      <c r="B328" t="s">
        <v>475</v>
      </c>
      <c r="C328" t="s">
        <v>4220</v>
      </c>
      <c r="D328">
        <v>180</v>
      </c>
      <c r="E328">
        <v>180</v>
      </c>
      <c r="F328" t="s">
        <v>4090</v>
      </c>
    </row>
    <row r="329" spans="1:6" hidden="1">
      <c r="A329" t="s">
        <v>4091</v>
      </c>
      <c r="B329" t="s">
        <v>475</v>
      </c>
      <c r="C329" t="s">
        <v>4220</v>
      </c>
      <c r="D329">
        <v>180</v>
      </c>
      <c r="E329">
        <v>180</v>
      </c>
      <c r="F329" t="s">
        <v>4090</v>
      </c>
    </row>
    <row r="330" spans="1:6" hidden="1">
      <c r="A330" t="s">
        <v>4091</v>
      </c>
      <c r="B330" t="s">
        <v>542</v>
      </c>
      <c r="C330" t="s">
        <v>4105</v>
      </c>
      <c r="D330">
        <v>48</v>
      </c>
      <c r="E330">
        <v>48</v>
      </c>
      <c r="F330" t="s">
        <v>4090</v>
      </c>
    </row>
    <row r="331" spans="1:6" hidden="1">
      <c r="A331" t="s">
        <v>4099</v>
      </c>
      <c r="B331" t="s">
        <v>2621</v>
      </c>
      <c r="C331" t="s">
        <v>4129</v>
      </c>
      <c r="D331">
        <v>32</v>
      </c>
      <c r="E331">
        <v>32</v>
      </c>
      <c r="F331" t="s">
        <v>4090</v>
      </c>
    </row>
    <row r="332" spans="1:6" hidden="1">
      <c r="A332" t="s">
        <v>4106</v>
      </c>
      <c r="B332" t="s">
        <v>2621</v>
      </c>
      <c r="C332" t="s">
        <v>4129</v>
      </c>
      <c r="D332">
        <v>32</v>
      </c>
      <c r="E332">
        <v>32</v>
      </c>
      <c r="F332" t="s">
        <v>4090</v>
      </c>
    </row>
    <row r="333" spans="1:6" hidden="1">
      <c r="A333" t="s">
        <v>4099</v>
      </c>
      <c r="B333" t="s">
        <v>2603</v>
      </c>
      <c r="C333" t="s">
        <v>4185</v>
      </c>
      <c r="D333">
        <v>330</v>
      </c>
      <c r="E333">
        <v>330</v>
      </c>
      <c r="F333" t="s">
        <v>4090</v>
      </c>
    </row>
    <row r="334" spans="1:6" hidden="1">
      <c r="A334" t="s">
        <v>4099</v>
      </c>
      <c r="B334" t="s">
        <v>2612</v>
      </c>
      <c r="C334" t="s">
        <v>4128</v>
      </c>
      <c r="D334">
        <v>96</v>
      </c>
      <c r="E334">
        <v>96</v>
      </c>
      <c r="F334" t="s">
        <v>4090</v>
      </c>
    </row>
    <row r="335" spans="1:6" hidden="1">
      <c r="A335" t="s">
        <v>4099</v>
      </c>
      <c r="B335" t="s">
        <v>3447</v>
      </c>
      <c r="C335" t="s">
        <v>4094</v>
      </c>
      <c r="D335">
        <v>24</v>
      </c>
      <c r="E335">
        <v>24</v>
      </c>
      <c r="F335" t="s">
        <v>4095</v>
      </c>
    </row>
    <row r="336" spans="1:6" hidden="1">
      <c r="A336" t="s">
        <v>4099</v>
      </c>
      <c r="B336" t="s">
        <v>1009</v>
      </c>
      <c r="C336" t="s">
        <v>4194</v>
      </c>
      <c r="D336">
        <v>56</v>
      </c>
      <c r="E336">
        <v>56</v>
      </c>
      <c r="F336" t="s">
        <v>4090</v>
      </c>
    </row>
    <row r="337" spans="1:6" hidden="1">
      <c r="A337" t="s">
        <v>4093</v>
      </c>
      <c r="B337" t="s">
        <v>3594</v>
      </c>
      <c r="C337" t="s">
        <v>4109</v>
      </c>
      <c r="D337">
        <v>44</v>
      </c>
      <c r="E337">
        <v>44</v>
      </c>
      <c r="F337" t="s">
        <v>4095</v>
      </c>
    </row>
    <row r="338" spans="1:6" hidden="1">
      <c r="A338" t="s">
        <v>4093</v>
      </c>
      <c r="B338" t="s">
        <v>585</v>
      </c>
      <c r="C338" t="s">
        <v>4103</v>
      </c>
      <c r="D338">
        <v>44</v>
      </c>
      <c r="E338">
        <v>44</v>
      </c>
      <c r="F338" t="s">
        <v>4090</v>
      </c>
    </row>
    <row r="339" spans="1:6" hidden="1">
      <c r="A339" t="s">
        <v>4091</v>
      </c>
      <c r="B339" t="s">
        <v>585</v>
      </c>
      <c r="C339" t="s">
        <v>4103</v>
      </c>
      <c r="D339">
        <v>44</v>
      </c>
      <c r="E339">
        <v>44</v>
      </c>
      <c r="F339" t="s">
        <v>4090</v>
      </c>
    </row>
    <row r="340" spans="1:6" hidden="1">
      <c r="A340" t="s">
        <v>4093</v>
      </c>
      <c r="B340" t="s">
        <v>1598</v>
      </c>
      <c r="C340" t="s">
        <v>4206</v>
      </c>
      <c r="D340">
        <v>44</v>
      </c>
      <c r="E340">
        <v>44</v>
      </c>
      <c r="F340" t="s">
        <v>4090</v>
      </c>
    </row>
    <row r="341" spans="1:6" hidden="1">
      <c r="A341" t="s">
        <v>4093</v>
      </c>
      <c r="B341" t="s">
        <v>3393</v>
      </c>
      <c r="C341" t="s">
        <v>4094</v>
      </c>
      <c r="D341">
        <v>150</v>
      </c>
      <c r="E341">
        <v>150</v>
      </c>
      <c r="F341" t="s">
        <v>4095</v>
      </c>
    </row>
    <row r="342" spans="1:6" hidden="1">
      <c r="A342" t="s">
        <v>4099</v>
      </c>
      <c r="B342" t="s">
        <v>2551</v>
      </c>
      <c r="C342" t="s">
        <v>4089</v>
      </c>
      <c r="D342">
        <v>64</v>
      </c>
      <c r="E342">
        <v>64</v>
      </c>
      <c r="F342" t="s">
        <v>4090</v>
      </c>
    </row>
    <row r="343" spans="1:6" hidden="1">
      <c r="A343" t="s">
        <v>4093</v>
      </c>
      <c r="B343" t="s">
        <v>1444</v>
      </c>
      <c r="C343" t="s">
        <v>4141</v>
      </c>
      <c r="D343">
        <v>60</v>
      </c>
      <c r="E343">
        <v>60</v>
      </c>
      <c r="F343" t="s">
        <v>4090</v>
      </c>
    </row>
    <row r="344" spans="1:6" hidden="1">
      <c r="A344" t="s">
        <v>4093</v>
      </c>
      <c r="B344" t="s">
        <v>1517</v>
      </c>
      <c r="C344" t="s">
        <v>4122</v>
      </c>
      <c r="D344">
        <v>44</v>
      </c>
      <c r="E344">
        <v>44</v>
      </c>
      <c r="F344" t="s">
        <v>4090</v>
      </c>
    </row>
    <row r="345" spans="1:6" hidden="1">
      <c r="A345" t="s">
        <v>4093</v>
      </c>
      <c r="B345" t="s">
        <v>354</v>
      </c>
      <c r="C345" t="s">
        <v>4132</v>
      </c>
      <c r="D345">
        <v>462</v>
      </c>
      <c r="E345">
        <v>462</v>
      </c>
      <c r="F345" t="s">
        <v>4090</v>
      </c>
    </row>
    <row r="346" spans="1:6" hidden="1">
      <c r="A346" t="s">
        <v>4093</v>
      </c>
      <c r="B346" t="s">
        <v>252</v>
      </c>
      <c r="C346" t="s">
        <v>4156</v>
      </c>
      <c r="D346">
        <v>60</v>
      </c>
      <c r="E346">
        <v>60</v>
      </c>
      <c r="F346" t="s">
        <v>4090</v>
      </c>
    </row>
    <row r="347" spans="1:6" hidden="1">
      <c r="A347" t="s">
        <v>4093</v>
      </c>
      <c r="B347" t="s">
        <v>383</v>
      </c>
      <c r="C347" t="s">
        <v>4105</v>
      </c>
      <c r="D347">
        <v>44</v>
      </c>
      <c r="E347">
        <v>44</v>
      </c>
      <c r="F347" t="s">
        <v>4090</v>
      </c>
    </row>
    <row r="348" spans="1:6" hidden="1">
      <c r="A348" t="s">
        <v>4093</v>
      </c>
      <c r="B348" t="s">
        <v>1330</v>
      </c>
      <c r="C348" t="s">
        <v>4092</v>
      </c>
      <c r="D348">
        <v>462</v>
      </c>
      <c r="E348">
        <v>462</v>
      </c>
      <c r="F348" t="s">
        <v>4090</v>
      </c>
    </row>
    <row r="349" spans="1:6" hidden="1">
      <c r="A349" t="s">
        <v>4093</v>
      </c>
      <c r="B349" t="s">
        <v>1321</v>
      </c>
      <c r="C349" t="s">
        <v>4112</v>
      </c>
      <c r="D349">
        <v>60</v>
      </c>
      <c r="E349">
        <v>12</v>
      </c>
      <c r="F349" t="s">
        <v>4090</v>
      </c>
    </row>
    <row r="350" spans="1:6" hidden="1">
      <c r="A350" t="s">
        <v>4093</v>
      </c>
      <c r="B350" t="s">
        <v>1336</v>
      </c>
      <c r="C350" t="s">
        <v>4190</v>
      </c>
      <c r="D350">
        <v>44</v>
      </c>
      <c r="E350">
        <v>44</v>
      </c>
      <c r="F350" t="s">
        <v>4090</v>
      </c>
    </row>
    <row r="351" spans="1:6" hidden="1">
      <c r="A351" t="s">
        <v>4093</v>
      </c>
      <c r="B351" t="s">
        <v>1885</v>
      </c>
      <c r="C351" t="s">
        <v>4112</v>
      </c>
      <c r="D351">
        <v>528</v>
      </c>
      <c r="E351">
        <v>66</v>
      </c>
      <c r="F351" t="s">
        <v>4090</v>
      </c>
    </row>
    <row r="352" spans="1:6" hidden="1">
      <c r="A352" t="s">
        <v>4093</v>
      </c>
      <c r="B352" t="s">
        <v>1906</v>
      </c>
      <c r="C352" t="s">
        <v>4125</v>
      </c>
      <c r="D352">
        <v>60</v>
      </c>
      <c r="E352">
        <v>60</v>
      </c>
      <c r="F352" t="s">
        <v>4090</v>
      </c>
    </row>
    <row r="353" spans="1:6" hidden="1">
      <c r="A353" t="s">
        <v>4093</v>
      </c>
      <c r="B353" t="s">
        <v>1879</v>
      </c>
      <c r="C353" t="s">
        <v>4195</v>
      </c>
      <c r="D353">
        <v>44</v>
      </c>
      <c r="E353">
        <v>44</v>
      </c>
      <c r="F353" t="s">
        <v>4090</v>
      </c>
    </row>
    <row r="354" spans="1:6" hidden="1">
      <c r="A354" t="s">
        <v>4093</v>
      </c>
      <c r="B354" t="s">
        <v>3099</v>
      </c>
      <c r="C354" t="s">
        <v>4112</v>
      </c>
      <c r="D354">
        <v>528</v>
      </c>
      <c r="E354">
        <v>66</v>
      </c>
      <c r="F354" t="s">
        <v>4090</v>
      </c>
    </row>
    <row r="355" spans="1:6" hidden="1">
      <c r="A355" t="s">
        <v>4093</v>
      </c>
      <c r="B355" t="s">
        <v>3108</v>
      </c>
      <c r="C355" t="s">
        <v>4092</v>
      </c>
      <c r="D355">
        <v>60</v>
      </c>
      <c r="E355">
        <v>60</v>
      </c>
      <c r="F355" t="s">
        <v>4090</v>
      </c>
    </row>
    <row r="356" spans="1:6" hidden="1">
      <c r="A356" t="s">
        <v>4093</v>
      </c>
      <c r="B356" t="s">
        <v>3039</v>
      </c>
      <c r="C356" t="s">
        <v>4127</v>
      </c>
      <c r="D356">
        <v>44</v>
      </c>
      <c r="E356">
        <v>44</v>
      </c>
      <c r="F356" t="s">
        <v>4090</v>
      </c>
    </row>
    <row r="357" spans="1:6" hidden="1">
      <c r="A357" t="s">
        <v>4093</v>
      </c>
      <c r="B357" t="s">
        <v>690</v>
      </c>
      <c r="C357" t="s">
        <v>4183</v>
      </c>
      <c r="D357">
        <v>462</v>
      </c>
      <c r="E357">
        <v>462</v>
      </c>
      <c r="F357" t="s">
        <v>4090</v>
      </c>
    </row>
    <row r="358" spans="1:6" hidden="1">
      <c r="A358" t="s">
        <v>4093</v>
      </c>
      <c r="B358" t="s">
        <v>710</v>
      </c>
      <c r="C358" t="s">
        <v>4185</v>
      </c>
      <c r="D358">
        <v>60</v>
      </c>
      <c r="E358">
        <v>60</v>
      </c>
      <c r="F358" t="s">
        <v>4090</v>
      </c>
    </row>
    <row r="359" spans="1:6" hidden="1">
      <c r="A359" t="s">
        <v>4093</v>
      </c>
      <c r="B359" t="s">
        <v>749</v>
      </c>
      <c r="C359" t="s">
        <v>4191</v>
      </c>
      <c r="D359">
        <v>38</v>
      </c>
      <c r="E359">
        <v>38</v>
      </c>
      <c r="F359" t="s">
        <v>4090</v>
      </c>
    </row>
    <row r="360" spans="1:6" hidden="1">
      <c r="A360" t="s">
        <v>4093</v>
      </c>
      <c r="B360" t="s">
        <v>3854</v>
      </c>
      <c r="C360" t="s">
        <v>4105</v>
      </c>
      <c r="D360">
        <v>495</v>
      </c>
      <c r="E360">
        <v>495</v>
      </c>
      <c r="F360" t="s">
        <v>4095</v>
      </c>
    </row>
    <row r="361" spans="1:6" hidden="1">
      <c r="A361" t="s">
        <v>4093</v>
      </c>
      <c r="B361" t="s">
        <v>1290</v>
      </c>
      <c r="C361" t="s">
        <v>4224</v>
      </c>
      <c r="D361">
        <v>60</v>
      </c>
      <c r="E361">
        <v>60</v>
      </c>
      <c r="F361" t="s">
        <v>4090</v>
      </c>
    </row>
    <row r="362" spans="1:6" hidden="1">
      <c r="A362" t="s">
        <v>4093</v>
      </c>
      <c r="B362" t="s">
        <v>1245</v>
      </c>
      <c r="C362" t="s">
        <v>4217</v>
      </c>
      <c r="D362">
        <v>44</v>
      </c>
      <c r="E362">
        <v>44</v>
      </c>
      <c r="F362" t="s">
        <v>4090</v>
      </c>
    </row>
    <row r="363" spans="1:6" hidden="1">
      <c r="A363" t="s">
        <v>4099</v>
      </c>
      <c r="B363" t="s">
        <v>597</v>
      </c>
      <c r="C363" t="s">
        <v>4188</v>
      </c>
      <c r="D363">
        <v>24</v>
      </c>
      <c r="E363">
        <v>24</v>
      </c>
      <c r="F363" t="s">
        <v>4090</v>
      </c>
    </row>
    <row r="364" spans="1:6" hidden="1">
      <c r="A364" t="s">
        <v>4088</v>
      </c>
      <c r="B364" t="s">
        <v>597</v>
      </c>
      <c r="C364" t="s">
        <v>4188</v>
      </c>
      <c r="D364">
        <v>24</v>
      </c>
      <c r="E364">
        <v>24</v>
      </c>
      <c r="F364" t="s">
        <v>4090</v>
      </c>
    </row>
    <row r="365" spans="1:6" hidden="1">
      <c r="A365" t="s">
        <v>4102</v>
      </c>
      <c r="B365" t="s">
        <v>597</v>
      </c>
      <c r="C365" t="s">
        <v>4188</v>
      </c>
      <c r="D365">
        <v>24</v>
      </c>
      <c r="E365">
        <v>24</v>
      </c>
      <c r="F365" t="s">
        <v>4090</v>
      </c>
    </row>
    <row r="366" spans="1:6" hidden="1">
      <c r="A366" t="s">
        <v>4093</v>
      </c>
      <c r="B366" t="s">
        <v>320</v>
      </c>
      <c r="C366" t="s">
        <v>4234</v>
      </c>
      <c r="D366">
        <v>48</v>
      </c>
      <c r="E366">
        <v>48</v>
      </c>
      <c r="F366" t="s">
        <v>4090</v>
      </c>
    </row>
    <row r="367" spans="1:6" hidden="1">
      <c r="A367" t="s">
        <v>4088</v>
      </c>
      <c r="B367" t="s">
        <v>320</v>
      </c>
      <c r="C367" t="s">
        <v>4234</v>
      </c>
      <c r="D367">
        <v>48</v>
      </c>
      <c r="E367">
        <v>48</v>
      </c>
      <c r="F367" t="s">
        <v>4090</v>
      </c>
    </row>
    <row r="368" spans="1:6" hidden="1">
      <c r="A368" t="s">
        <v>4102</v>
      </c>
      <c r="B368" t="s">
        <v>2648</v>
      </c>
      <c r="C368" t="s">
        <v>4130</v>
      </c>
      <c r="D368">
        <v>24</v>
      </c>
      <c r="E368">
        <v>24</v>
      </c>
      <c r="F368" t="s">
        <v>4090</v>
      </c>
    </row>
    <row r="369" spans="1:6" hidden="1">
      <c r="A369" t="s">
        <v>4099</v>
      </c>
      <c r="B369" t="s">
        <v>2648</v>
      </c>
      <c r="C369" t="s">
        <v>4130</v>
      </c>
      <c r="D369">
        <v>24</v>
      </c>
      <c r="E369">
        <v>24</v>
      </c>
      <c r="F369" t="s">
        <v>4090</v>
      </c>
    </row>
    <row r="370" spans="1:6" hidden="1">
      <c r="A370" t="s">
        <v>4088</v>
      </c>
      <c r="B370" t="s">
        <v>2648</v>
      </c>
      <c r="C370" t="s">
        <v>4130</v>
      </c>
      <c r="D370">
        <v>24</v>
      </c>
      <c r="E370">
        <v>24</v>
      </c>
      <c r="F370" t="s">
        <v>4090</v>
      </c>
    </row>
    <row r="371" spans="1:6" hidden="1">
      <c r="A371" t="s">
        <v>4099</v>
      </c>
      <c r="B371" t="s">
        <v>2669</v>
      </c>
      <c r="C371" t="s">
        <v>4225</v>
      </c>
      <c r="D371">
        <v>56</v>
      </c>
      <c r="E371">
        <v>56</v>
      </c>
      <c r="F371" t="s">
        <v>4090</v>
      </c>
    </row>
    <row r="372" spans="1:6" hidden="1">
      <c r="A372" t="s">
        <v>4088</v>
      </c>
      <c r="B372" t="s">
        <v>2669</v>
      </c>
      <c r="C372" t="s">
        <v>4225</v>
      </c>
      <c r="D372">
        <v>56</v>
      </c>
      <c r="E372">
        <v>56</v>
      </c>
      <c r="F372" t="s">
        <v>4090</v>
      </c>
    </row>
    <row r="373" spans="1:6" hidden="1">
      <c r="A373" t="s">
        <v>4102</v>
      </c>
      <c r="B373" t="s">
        <v>2669</v>
      </c>
      <c r="C373" t="s">
        <v>4225</v>
      </c>
      <c r="D373">
        <v>56</v>
      </c>
      <c r="E373">
        <v>56</v>
      </c>
      <c r="F373" t="s">
        <v>4090</v>
      </c>
    </row>
    <row r="374" spans="1:6" hidden="1">
      <c r="A374" t="s">
        <v>4088</v>
      </c>
      <c r="B374" t="s">
        <v>2652</v>
      </c>
      <c r="C374" t="s">
        <v>4183</v>
      </c>
      <c r="D374">
        <v>76</v>
      </c>
      <c r="E374">
        <v>76</v>
      </c>
      <c r="F374" t="s">
        <v>4090</v>
      </c>
    </row>
    <row r="375" spans="1:6" hidden="1">
      <c r="A375" t="s">
        <v>4102</v>
      </c>
      <c r="B375" t="s">
        <v>2687</v>
      </c>
      <c r="C375" t="s">
        <v>4112</v>
      </c>
      <c r="D375">
        <v>396</v>
      </c>
      <c r="E375">
        <v>66</v>
      </c>
      <c r="F375" t="s">
        <v>4090</v>
      </c>
    </row>
    <row r="376" spans="1:6" hidden="1">
      <c r="A376" t="s">
        <v>4099</v>
      </c>
      <c r="B376" t="s">
        <v>2687</v>
      </c>
      <c r="C376" t="s">
        <v>4112</v>
      </c>
      <c r="D376">
        <v>396</v>
      </c>
      <c r="E376">
        <v>66</v>
      </c>
      <c r="F376" t="s">
        <v>4090</v>
      </c>
    </row>
    <row r="377" spans="1:6" hidden="1">
      <c r="A377" t="s">
        <v>4088</v>
      </c>
      <c r="B377" t="s">
        <v>2687</v>
      </c>
      <c r="C377" t="s">
        <v>4112</v>
      </c>
      <c r="D377">
        <v>396</v>
      </c>
      <c r="E377">
        <v>66</v>
      </c>
      <c r="F377" t="s">
        <v>4090</v>
      </c>
    </row>
    <row r="378" spans="1:6" hidden="1">
      <c r="A378" t="s">
        <v>4088</v>
      </c>
      <c r="B378" t="s">
        <v>2672</v>
      </c>
      <c r="C378" t="s">
        <v>4208</v>
      </c>
      <c r="D378">
        <v>24</v>
      </c>
      <c r="E378">
        <v>24</v>
      </c>
      <c r="F378" t="s">
        <v>4090</v>
      </c>
    </row>
    <row r="379" spans="1:6" hidden="1">
      <c r="A379" t="s">
        <v>4102</v>
      </c>
      <c r="B379" t="s">
        <v>2672</v>
      </c>
      <c r="C379" t="s">
        <v>4208</v>
      </c>
      <c r="D379">
        <v>24</v>
      </c>
      <c r="E379">
        <v>24</v>
      </c>
      <c r="F379" t="s">
        <v>4090</v>
      </c>
    </row>
    <row r="380" spans="1:6" hidden="1">
      <c r="A380" t="s">
        <v>4088</v>
      </c>
      <c r="B380" t="s">
        <v>2681</v>
      </c>
      <c r="C380" t="s">
        <v>4183</v>
      </c>
      <c r="D380">
        <v>56</v>
      </c>
      <c r="E380">
        <v>56</v>
      </c>
      <c r="F380" t="s">
        <v>4090</v>
      </c>
    </row>
    <row r="381" spans="1:6" hidden="1">
      <c r="A381" t="s">
        <v>4088</v>
      </c>
      <c r="B381" t="s">
        <v>2678</v>
      </c>
      <c r="C381" t="s">
        <v>4183</v>
      </c>
      <c r="D381">
        <v>76</v>
      </c>
      <c r="E381">
        <v>76</v>
      </c>
      <c r="F381" t="s">
        <v>4090</v>
      </c>
    </row>
    <row r="382" spans="1:6" hidden="1">
      <c r="A382" t="s">
        <v>4088</v>
      </c>
      <c r="B382" t="s">
        <v>2078</v>
      </c>
      <c r="C382" t="s">
        <v>4190</v>
      </c>
      <c r="D382">
        <v>56</v>
      </c>
      <c r="E382">
        <v>56</v>
      </c>
      <c r="F382" t="s">
        <v>4090</v>
      </c>
    </row>
    <row r="383" spans="1:6" hidden="1">
      <c r="A383" t="s">
        <v>4102</v>
      </c>
      <c r="B383" t="s">
        <v>2084</v>
      </c>
      <c r="C383" t="s">
        <v>4092</v>
      </c>
      <c r="D383">
        <v>330</v>
      </c>
      <c r="E383">
        <v>330</v>
      </c>
      <c r="F383" t="s">
        <v>4090</v>
      </c>
    </row>
    <row r="384" spans="1:6" hidden="1">
      <c r="A384" t="s">
        <v>4088</v>
      </c>
      <c r="B384" t="s">
        <v>2084</v>
      </c>
      <c r="C384" t="s">
        <v>4092</v>
      </c>
      <c r="D384">
        <v>330</v>
      </c>
      <c r="E384">
        <v>330</v>
      </c>
      <c r="F384" t="s">
        <v>4090</v>
      </c>
    </row>
    <row r="385" spans="1:6" hidden="1">
      <c r="A385" t="s">
        <v>4088</v>
      </c>
      <c r="B385" t="s">
        <v>2075</v>
      </c>
      <c r="C385" t="s">
        <v>4235</v>
      </c>
      <c r="D385">
        <v>24</v>
      </c>
      <c r="E385">
        <v>24</v>
      </c>
      <c r="F385" t="s">
        <v>4090</v>
      </c>
    </row>
    <row r="386" spans="1:6" hidden="1">
      <c r="A386" t="s">
        <v>4088</v>
      </c>
      <c r="B386" t="s">
        <v>2081</v>
      </c>
      <c r="C386" t="s">
        <v>4190</v>
      </c>
      <c r="D386">
        <v>56</v>
      </c>
      <c r="E386">
        <v>56</v>
      </c>
      <c r="F386" t="s">
        <v>4090</v>
      </c>
    </row>
    <row r="387" spans="1:6" hidden="1">
      <c r="A387" t="s">
        <v>4088</v>
      </c>
      <c r="B387" t="s">
        <v>2705</v>
      </c>
      <c r="C387" t="s">
        <v>4187</v>
      </c>
      <c r="D387">
        <v>44</v>
      </c>
      <c r="E387">
        <v>44</v>
      </c>
      <c r="F387" t="s">
        <v>4090</v>
      </c>
    </row>
    <row r="388" spans="1:6" hidden="1">
      <c r="A388" t="s">
        <v>4088</v>
      </c>
      <c r="B388" t="s">
        <v>2655</v>
      </c>
      <c r="C388" t="s">
        <v>4132</v>
      </c>
      <c r="D388">
        <v>60</v>
      </c>
      <c r="E388">
        <v>60</v>
      </c>
      <c r="F388" t="s">
        <v>4090</v>
      </c>
    </row>
    <row r="389" spans="1:6" hidden="1">
      <c r="A389" t="s">
        <v>4088</v>
      </c>
      <c r="B389" t="s">
        <v>2708</v>
      </c>
      <c r="C389" t="s">
        <v>4132</v>
      </c>
      <c r="D389">
        <v>144</v>
      </c>
      <c r="E389">
        <v>144</v>
      </c>
      <c r="F389" t="s">
        <v>4090</v>
      </c>
    </row>
    <row r="390" spans="1:6" hidden="1">
      <c r="A390" t="s">
        <v>4088</v>
      </c>
      <c r="B390" t="s">
        <v>2690</v>
      </c>
      <c r="C390" t="s">
        <v>4112</v>
      </c>
      <c r="D390">
        <v>396</v>
      </c>
      <c r="E390">
        <v>66</v>
      </c>
      <c r="F390" t="s">
        <v>4090</v>
      </c>
    </row>
    <row r="391" spans="1:6" hidden="1">
      <c r="A391" t="s">
        <v>4088</v>
      </c>
      <c r="B391" t="s">
        <v>2072</v>
      </c>
      <c r="C391" t="s">
        <v>4196</v>
      </c>
      <c r="D391">
        <v>24</v>
      </c>
      <c r="E391">
        <v>24</v>
      </c>
      <c r="F391" t="s">
        <v>4090</v>
      </c>
    </row>
    <row r="392" spans="1:6" hidden="1">
      <c r="A392" t="s">
        <v>4088</v>
      </c>
      <c r="B392" t="s">
        <v>2666</v>
      </c>
      <c r="C392" t="s">
        <v>4208</v>
      </c>
      <c r="D392">
        <v>24</v>
      </c>
      <c r="E392">
        <v>24</v>
      </c>
      <c r="F392" t="s">
        <v>4090</v>
      </c>
    </row>
    <row r="393" spans="1:6" hidden="1">
      <c r="A393" t="s">
        <v>4091</v>
      </c>
      <c r="B393" t="s">
        <v>2642</v>
      </c>
      <c r="C393" t="s">
        <v>4225</v>
      </c>
      <c r="D393">
        <v>54</v>
      </c>
      <c r="E393">
        <v>54</v>
      </c>
      <c r="F393" t="s">
        <v>4090</v>
      </c>
    </row>
    <row r="394" spans="1:6" hidden="1">
      <c r="A394" t="s">
        <v>4093</v>
      </c>
      <c r="B394" t="s">
        <v>2642</v>
      </c>
      <c r="C394" t="s">
        <v>4225</v>
      </c>
      <c r="D394">
        <v>54</v>
      </c>
      <c r="E394">
        <v>54</v>
      </c>
      <c r="F394" t="s">
        <v>4090</v>
      </c>
    </row>
    <row r="395" spans="1:6" hidden="1">
      <c r="A395" t="s">
        <v>4088</v>
      </c>
      <c r="B395" t="s">
        <v>2642</v>
      </c>
      <c r="C395" t="s">
        <v>4225</v>
      </c>
      <c r="D395">
        <v>54</v>
      </c>
      <c r="E395">
        <v>54</v>
      </c>
      <c r="F395" t="s">
        <v>4090</v>
      </c>
    </row>
    <row r="396" spans="1:6" hidden="1">
      <c r="A396" t="s">
        <v>4091</v>
      </c>
      <c r="B396" t="s">
        <v>2661</v>
      </c>
      <c r="C396" t="s">
        <v>4130</v>
      </c>
      <c r="D396">
        <v>33</v>
      </c>
      <c r="E396">
        <v>33</v>
      </c>
      <c r="F396" t="s">
        <v>4090</v>
      </c>
    </row>
    <row r="397" spans="1:6" hidden="1">
      <c r="A397" t="s">
        <v>4116</v>
      </c>
      <c r="B397" t="s">
        <v>1404</v>
      </c>
      <c r="C397" t="s">
        <v>4097</v>
      </c>
      <c r="D397">
        <v>462</v>
      </c>
      <c r="E397">
        <v>462</v>
      </c>
      <c r="F397" t="s">
        <v>4090</v>
      </c>
    </row>
    <row r="398" spans="1:6" hidden="1">
      <c r="A398" t="s">
        <v>4116</v>
      </c>
      <c r="B398" t="s">
        <v>1422</v>
      </c>
      <c r="C398" t="s">
        <v>4143</v>
      </c>
      <c r="D398">
        <v>120</v>
      </c>
      <c r="E398">
        <v>120</v>
      </c>
      <c r="F398" t="s">
        <v>4090</v>
      </c>
    </row>
    <row r="399" spans="1:6" hidden="1">
      <c r="A399" t="s">
        <v>4116</v>
      </c>
      <c r="B399" t="s">
        <v>1417</v>
      </c>
      <c r="C399" t="s">
        <v>4143</v>
      </c>
      <c r="D399">
        <v>60</v>
      </c>
      <c r="E399">
        <v>60</v>
      </c>
      <c r="F399" t="s">
        <v>4090</v>
      </c>
    </row>
    <row r="400" spans="1:6" hidden="1">
      <c r="A400" t="s">
        <v>4116</v>
      </c>
      <c r="B400" t="s">
        <v>1412</v>
      </c>
      <c r="C400" t="s">
        <v>4100</v>
      </c>
      <c r="D400">
        <v>44</v>
      </c>
      <c r="E400">
        <v>44</v>
      </c>
      <c r="F400" t="s">
        <v>4090</v>
      </c>
    </row>
    <row r="401" spans="1:6" hidden="1">
      <c r="A401" t="s">
        <v>4093</v>
      </c>
      <c r="B401" t="s">
        <v>2521</v>
      </c>
      <c r="C401" t="s">
        <v>4112</v>
      </c>
      <c r="D401">
        <v>150</v>
      </c>
      <c r="E401">
        <v>25</v>
      </c>
      <c r="F401" t="s">
        <v>4090</v>
      </c>
    </row>
    <row r="402" spans="1:6" hidden="1">
      <c r="A402" t="s">
        <v>4093</v>
      </c>
      <c r="B402" t="s">
        <v>2571</v>
      </c>
      <c r="C402" t="s">
        <v>4112</v>
      </c>
      <c r="D402">
        <v>48</v>
      </c>
      <c r="E402">
        <v>16</v>
      </c>
      <c r="F402" t="s">
        <v>4090</v>
      </c>
    </row>
    <row r="403" spans="1:6" hidden="1">
      <c r="A403" t="s">
        <v>4093</v>
      </c>
      <c r="B403" t="s">
        <v>2535</v>
      </c>
      <c r="C403" t="s">
        <v>4112</v>
      </c>
      <c r="D403">
        <v>36</v>
      </c>
      <c r="E403">
        <v>9</v>
      </c>
      <c r="F403" t="s">
        <v>4090</v>
      </c>
    </row>
    <row r="404" spans="1:6" hidden="1">
      <c r="A404" t="s">
        <v>4093</v>
      </c>
      <c r="B404" t="s">
        <v>2579</v>
      </c>
      <c r="C404" t="s">
        <v>4225</v>
      </c>
      <c r="D404">
        <v>27</v>
      </c>
      <c r="E404">
        <v>27</v>
      </c>
      <c r="F404" t="s">
        <v>4090</v>
      </c>
    </row>
    <row r="405" spans="1:6" hidden="1">
      <c r="A405" t="s">
        <v>4093</v>
      </c>
      <c r="B405" t="s">
        <v>3491</v>
      </c>
      <c r="C405" t="s">
        <v>4109</v>
      </c>
      <c r="D405">
        <v>150</v>
      </c>
      <c r="E405">
        <v>150</v>
      </c>
      <c r="F405" t="s">
        <v>4095</v>
      </c>
    </row>
    <row r="406" spans="1:6" hidden="1">
      <c r="A406" t="s">
        <v>4093</v>
      </c>
      <c r="B406" t="s">
        <v>1214</v>
      </c>
      <c r="C406" t="s">
        <v>4223</v>
      </c>
      <c r="D406">
        <v>150</v>
      </c>
      <c r="E406">
        <v>150</v>
      </c>
      <c r="F406" t="s">
        <v>4090</v>
      </c>
    </row>
    <row r="407" spans="1:6" hidden="1">
      <c r="A407" t="s">
        <v>4091</v>
      </c>
      <c r="B407" t="s">
        <v>1027</v>
      </c>
      <c r="C407" t="s">
        <v>4224</v>
      </c>
      <c r="D407">
        <v>48</v>
      </c>
      <c r="E407">
        <v>48</v>
      </c>
      <c r="F407" t="s">
        <v>4090</v>
      </c>
    </row>
    <row r="408" spans="1:6" hidden="1">
      <c r="A408" t="s">
        <v>4091</v>
      </c>
      <c r="B408" t="s">
        <v>1033</v>
      </c>
      <c r="C408" t="s">
        <v>4126</v>
      </c>
      <c r="D408">
        <v>44</v>
      </c>
      <c r="E408">
        <v>44</v>
      </c>
      <c r="F408" t="s">
        <v>4090</v>
      </c>
    </row>
    <row r="409" spans="1:6" hidden="1">
      <c r="A409" t="s">
        <v>4099</v>
      </c>
      <c r="B409" t="s">
        <v>2106</v>
      </c>
      <c r="C409" t="s">
        <v>4124</v>
      </c>
      <c r="D409">
        <v>24</v>
      </c>
      <c r="E409">
        <v>24</v>
      </c>
      <c r="F409" t="s">
        <v>4090</v>
      </c>
    </row>
    <row r="410" spans="1:6" hidden="1">
      <c r="A410" t="s">
        <v>4099</v>
      </c>
      <c r="B410" t="s">
        <v>1201</v>
      </c>
      <c r="C410" t="s">
        <v>4112</v>
      </c>
      <c r="D410">
        <v>60</v>
      </c>
      <c r="E410">
        <v>12</v>
      </c>
      <c r="F410" t="s">
        <v>4090</v>
      </c>
    </row>
    <row r="411" spans="1:6" hidden="1">
      <c r="A411" t="s">
        <v>4099</v>
      </c>
      <c r="B411" t="s">
        <v>600</v>
      </c>
      <c r="C411" t="s">
        <v>4112</v>
      </c>
      <c r="D411">
        <v>76</v>
      </c>
      <c r="E411">
        <v>19</v>
      </c>
      <c r="F411" t="s">
        <v>4090</v>
      </c>
    </row>
    <row r="412" spans="1:6" hidden="1">
      <c r="A412" t="s">
        <v>4091</v>
      </c>
      <c r="B412" t="s">
        <v>1624</v>
      </c>
      <c r="C412" t="s">
        <v>4112</v>
      </c>
      <c r="D412">
        <v>483</v>
      </c>
      <c r="E412">
        <v>69</v>
      </c>
      <c r="F412" t="s">
        <v>4090</v>
      </c>
    </row>
    <row r="413" spans="1:6" hidden="1">
      <c r="A413" t="s">
        <v>4091</v>
      </c>
      <c r="B413" t="s">
        <v>3552</v>
      </c>
      <c r="C413" t="s">
        <v>4109</v>
      </c>
      <c r="D413">
        <v>1200</v>
      </c>
      <c r="E413">
        <v>1200</v>
      </c>
      <c r="F413" t="s">
        <v>4095</v>
      </c>
    </row>
    <row r="414" spans="1:6" hidden="1">
      <c r="A414" t="s">
        <v>4088</v>
      </c>
      <c r="B414" t="s">
        <v>1432</v>
      </c>
      <c r="C414" t="s">
        <v>4226</v>
      </c>
      <c r="D414">
        <v>396</v>
      </c>
      <c r="E414">
        <v>396</v>
      </c>
      <c r="F414" t="s">
        <v>4090</v>
      </c>
    </row>
    <row r="415" spans="1:6" hidden="1">
      <c r="A415" t="s">
        <v>4091</v>
      </c>
      <c r="B415" t="s">
        <v>1432</v>
      </c>
      <c r="C415" t="s">
        <v>4226</v>
      </c>
      <c r="D415">
        <v>396</v>
      </c>
      <c r="E415">
        <v>396</v>
      </c>
      <c r="F415" t="s">
        <v>4090</v>
      </c>
    </row>
    <row r="416" spans="1:6" hidden="1">
      <c r="A416" t="s">
        <v>4088</v>
      </c>
      <c r="B416" t="s">
        <v>1427</v>
      </c>
      <c r="C416" t="s">
        <v>4100</v>
      </c>
      <c r="D416">
        <v>60</v>
      </c>
      <c r="E416">
        <v>60</v>
      </c>
      <c r="F416" t="s">
        <v>4090</v>
      </c>
    </row>
    <row r="417" spans="1:6" hidden="1">
      <c r="A417" t="s">
        <v>4091</v>
      </c>
      <c r="B417" t="s">
        <v>1427</v>
      </c>
      <c r="C417" t="s">
        <v>4100</v>
      </c>
      <c r="D417">
        <v>60</v>
      </c>
      <c r="E417">
        <v>60</v>
      </c>
      <c r="F417" t="s">
        <v>4090</v>
      </c>
    </row>
    <row r="418" spans="1:6" hidden="1">
      <c r="A418" t="s">
        <v>4091</v>
      </c>
      <c r="B418" t="s">
        <v>1438</v>
      </c>
      <c r="C418" t="s">
        <v>4124</v>
      </c>
      <c r="D418">
        <v>44</v>
      </c>
      <c r="E418">
        <v>44</v>
      </c>
      <c r="F418" t="s">
        <v>4090</v>
      </c>
    </row>
    <row r="419" spans="1:6" hidden="1">
      <c r="A419" t="s">
        <v>4088</v>
      </c>
      <c r="B419" t="s">
        <v>1438</v>
      </c>
      <c r="C419" t="s">
        <v>4124</v>
      </c>
      <c r="D419">
        <v>44</v>
      </c>
      <c r="E419">
        <v>44</v>
      </c>
      <c r="F419" t="s">
        <v>4090</v>
      </c>
    </row>
    <row r="420" spans="1:6" hidden="1">
      <c r="A420" t="s">
        <v>4091</v>
      </c>
      <c r="B420" t="s">
        <v>2636</v>
      </c>
      <c r="C420" t="s">
        <v>4094</v>
      </c>
      <c r="D420">
        <v>44</v>
      </c>
      <c r="E420">
        <v>44</v>
      </c>
      <c r="F420" t="s">
        <v>4090</v>
      </c>
    </row>
    <row r="421" spans="1:6" hidden="1">
      <c r="A421" t="s">
        <v>4091</v>
      </c>
      <c r="B421" t="s">
        <v>2268</v>
      </c>
      <c r="C421" t="s">
        <v>4126</v>
      </c>
      <c r="D421">
        <v>44</v>
      </c>
      <c r="E421">
        <v>44</v>
      </c>
      <c r="F421" t="s">
        <v>4090</v>
      </c>
    </row>
    <row r="422" spans="1:6" hidden="1">
      <c r="A422" t="s">
        <v>4091</v>
      </c>
      <c r="B422" t="s">
        <v>1393</v>
      </c>
      <c r="C422" t="s">
        <v>4226</v>
      </c>
      <c r="D422">
        <v>180</v>
      </c>
      <c r="E422">
        <v>180</v>
      </c>
      <c r="F422" t="s">
        <v>4090</v>
      </c>
    </row>
    <row r="423" spans="1:6" hidden="1">
      <c r="A423" t="s">
        <v>4099</v>
      </c>
      <c r="B423" t="s">
        <v>1778</v>
      </c>
      <c r="C423" t="s">
        <v>4112</v>
      </c>
      <c r="D423">
        <v>330</v>
      </c>
      <c r="E423">
        <v>66</v>
      </c>
      <c r="F423" t="s">
        <v>4090</v>
      </c>
    </row>
    <row r="424" spans="1:6" hidden="1">
      <c r="A424" t="s">
        <v>4099</v>
      </c>
      <c r="B424" t="s">
        <v>1754</v>
      </c>
      <c r="C424" t="s">
        <v>4112</v>
      </c>
      <c r="D424">
        <v>210</v>
      </c>
      <c r="E424">
        <v>30</v>
      </c>
      <c r="F424" t="s">
        <v>4090</v>
      </c>
    </row>
    <row r="425" spans="1:6" hidden="1">
      <c r="A425" t="s">
        <v>4099</v>
      </c>
      <c r="B425" t="s">
        <v>1762</v>
      </c>
      <c r="C425" t="s">
        <v>4226</v>
      </c>
      <c r="D425">
        <v>44</v>
      </c>
      <c r="E425">
        <v>44</v>
      </c>
      <c r="F425" t="s">
        <v>4090</v>
      </c>
    </row>
    <row r="426" spans="1:6" hidden="1">
      <c r="A426" t="s">
        <v>4099</v>
      </c>
      <c r="B426" t="s">
        <v>833</v>
      </c>
      <c r="C426" t="s">
        <v>4191</v>
      </c>
      <c r="D426">
        <v>36</v>
      </c>
      <c r="E426">
        <v>36</v>
      </c>
      <c r="F426" t="s">
        <v>4090</v>
      </c>
    </row>
    <row r="427" spans="1:6" hidden="1">
      <c r="A427" t="s">
        <v>4091</v>
      </c>
      <c r="B427" t="s">
        <v>2720</v>
      </c>
      <c r="C427" t="s">
        <v>4156</v>
      </c>
      <c r="D427">
        <v>462</v>
      </c>
      <c r="E427">
        <v>462</v>
      </c>
      <c r="F427" t="s">
        <v>4090</v>
      </c>
    </row>
    <row r="428" spans="1:6" hidden="1">
      <c r="A428" t="s">
        <v>4093</v>
      </c>
      <c r="B428" t="s">
        <v>2720</v>
      </c>
      <c r="C428" t="s">
        <v>4156</v>
      </c>
      <c r="D428">
        <v>462</v>
      </c>
      <c r="E428">
        <v>462</v>
      </c>
      <c r="F428" t="s">
        <v>4090</v>
      </c>
    </row>
    <row r="429" spans="1:6" hidden="1">
      <c r="A429" t="s">
        <v>4091</v>
      </c>
      <c r="B429" t="s">
        <v>2057</v>
      </c>
      <c r="C429" t="s">
        <v>4092</v>
      </c>
      <c r="D429">
        <v>144</v>
      </c>
      <c r="E429">
        <v>144</v>
      </c>
      <c r="F429" t="s">
        <v>4090</v>
      </c>
    </row>
    <row r="430" spans="1:6" hidden="1">
      <c r="A430" t="s">
        <v>4088</v>
      </c>
      <c r="B430" t="s">
        <v>2057</v>
      </c>
      <c r="C430" t="s">
        <v>4092</v>
      </c>
      <c r="D430">
        <v>144</v>
      </c>
      <c r="E430">
        <v>144</v>
      </c>
      <c r="F430" t="s">
        <v>4090</v>
      </c>
    </row>
    <row r="431" spans="1:6" hidden="1">
      <c r="A431" t="s">
        <v>4088</v>
      </c>
      <c r="B431" t="s">
        <v>1396</v>
      </c>
      <c r="C431" t="s">
        <v>4100</v>
      </c>
      <c r="D431">
        <v>24</v>
      </c>
      <c r="E431">
        <v>24</v>
      </c>
      <c r="F431" t="s">
        <v>4090</v>
      </c>
    </row>
    <row r="432" spans="1:6" hidden="1">
      <c r="A432" t="s">
        <v>4091</v>
      </c>
      <c r="B432" t="s">
        <v>1757</v>
      </c>
      <c r="C432" t="s">
        <v>4226</v>
      </c>
      <c r="D432">
        <v>44</v>
      </c>
      <c r="E432">
        <v>44</v>
      </c>
      <c r="F432" t="s">
        <v>4090</v>
      </c>
    </row>
    <row r="433" spans="1:6" hidden="1">
      <c r="A433" t="s">
        <v>4091</v>
      </c>
      <c r="B433" t="s">
        <v>825</v>
      </c>
      <c r="C433" t="s">
        <v>4098</v>
      </c>
      <c r="D433">
        <v>36</v>
      </c>
      <c r="E433">
        <v>36</v>
      </c>
      <c r="F433" t="s">
        <v>4090</v>
      </c>
    </row>
    <row r="434" spans="1:6" hidden="1">
      <c r="A434" t="s">
        <v>4099</v>
      </c>
      <c r="B434" t="s">
        <v>1621</v>
      </c>
      <c r="C434" t="s">
        <v>4092</v>
      </c>
      <c r="D434">
        <v>180</v>
      </c>
      <c r="E434">
        <v>180</v>
      </c>
      <c r="F434" t="s">
        <v>4090</v>
      </c>
    </row>
    <row r="435" spans="1:6" hidden="1">
      <c r="A435" t="s">
        <v>4091</v>
      </c>
      <c r="B435" t="s">
        <v>2302</v>
      </c>
      <c r="C435" t="s">
        <v>4165</v>
      </c>
      <c r="D435">
        <v>48</v>
      </c>
      <c r="E435">
        <v>48</v>
      </c>
      <c r="F435" t="s">
        <v>4090</v>
      </c>
    </row>
    <row r="436" spans="1:6" hidden="1">
      <c r="A436" t="s">
        <v>4091</v>
      </c>
      <c r="B436" t="s">
        <v>1012</v>
      </c>
      <c r="C436" t="s">
        <v>4236</v>
      </c>
      <c r="D436">
        <v>144</v>
      </c>
      <c r="E436">
        <v>144</v>
      </c>
      <c r="F436" t="s">
        <v>4090</v>
      </c>
    </row>
    <row r="437" spans="1:6" hidden="1">
      <c r="A437" t="s">
        <v>4091</v>
      </c>
      <c r="B437" t="s">
        <v>1094</v>
      </c>
      <c r="C437" t="s">
        <v>4183</v>
      </c>
      <c r="D437">
        <v>180</v>
      </c>
      <c r="E437">
        <v>180</v>
      </c>
      <c r="F437" t="s">
        <v>4090</v>
      </c>
    </row>
    <row r="438" spans="1:6" hidden="1">
      <c r="A438" t="s">
        <v>4093</v>
      </c>
      <c r="B438" t="s">
        <v>1615</v>
      </c>
      <c r="C438" t="s">
        <v>4187</v>
      </c>
      <c r="D438">
        <v>228</v>
      </c>
      <c r="E438">
        <v>228</v>
      </c>
      <c r="F438" t="s">
        <v>4090</v>
      </c>
    </row>
    <row r="439" spans="1:6" hidden="1">
      <c r="A439" t="s">
        <v>4093</v>
      </c>
      <c r="B439" t="s">
        <v>1606</v>
      </c>
      <c r="C439" t="s">
        <v>4092</v>
      </c>
      <c r="D439">
        <v>150</v>
      </c>
      <c r="E439">
        <v>150</v>
      </c>
      <c r="F439" t="s">
        <v>4090</v>
      </c>
    </row>
    <row r="440" spans="1:6" hidden="1">
      <c r="A440" t="s">
        <v>4093</v>
      </c>
      <c r="B440" t="s">
        <v>1601</v>
      </c>
      <c r="C440" t="s">
        <v>4237</v>
      </c>
      <c r="D440">
        <v>36</v>
      </c>
      <c r="E440">
        <v>36</v>
      </c>
      <c r="F440" t="s">
        <v>4090</v>
      </c>
    </row>
    <row r="441" spans="1:6" hidden="1">
      <c r="A441" t="s">
        <v>4093</v>
      </c>
      <c r="B441" t="s">
        <v>1687</v>
      </c>
      <c r="C441" t="s">
        <v>4225</v>
      </c>
      <c r="D441">
        <v>36</v>
      </c>
      <c r="E441">
        <v>36</v>
      </c>
      <c r="F441" t="s">
        <v>4090</v>
      </c>
    </row>
    <row r="442" spans="1:6" hidden="1">
      <c r="A442" t="s">
        <v>4110</v>
      </c>
      <c r="B442" t="s">
        <v>2958</v>
      </c>
      <c r="C442" t="s">
        <v>4133</v>
      </c>
      <c r="D442">
        <v>96</v>
      </c>
      <c r="E442">
        <v>96</v>
      </c>
      <c r="F442" t="s">
        <v>4090</v>
      </c>
    </row>
    <row r="443" spans="1:6" hidden="1">
      <c r="A443" t="s">
        <v>4099</v>
      </c>
      <c r="B443" t="s">
        <v>2813</v>
      </c>
      <c r="C443" t="s">
        <v>4112</v>
      </c>
      <c r="D443">
        <v>180</v>
      </c>
      <c r="E443">
        <v>30</v>
      </c>
      <c r="F443" t="s">
        <v>4090</v>
      </c>
    </row>
    <row r="444" spans="1:6" hidden="1">
      <c r="A444" t="s">
        <v>4110</v>
      </c>
      <c r="B444" t="s">
        <v>2963</v>
      </c>
      <c r="C444" t="s">
        <v>4112</v>
      </c>
      <c r="D444">
        <v>576</v>
      </c>
      <c r="E444">
        <v>72</v>
      </c>
      <c r="F444" t="s">
        <v>4090</v>
      </c>
    </row>
    <row r="445" spans="1:6" hidden="1">
      <c r="A445" t="s">
        <v>4093</v>
      </c>
      <c r="B445" t="s">
        <v>2723</v>
      </c>
      <c r="C445" t="s">
        <v>4130</v>
      </c>
      <c r="D445">
        <v>33</v>
      </c>
      <c r="E445">
        <v>33</v>
      </c>
      <c r="F445" t="s">
        <v>4090</v>
      </c>
    </row>
    <row r="446" spans="1:6" hidden="1">
      <c r="A446" t="s">
        <v>4106</v>
      </c>
      <c r="B446" t="s">
        <v>2026</v>
      </c>
      <c r="C446" t="s">
        <v>4132</v>
      </c>
      <c r="D446">
        <v>462</v>
      </c>
      <c r="E446">
        <v>462</v>
      </c>
      <c r="F446" t="s">
        <v>4090</v>
      </c>
    </row>
    <row r="447" spans="1:6" hidden="1">
      <c r="A447" t="s">
        <v>4106</v>
      </c>
      <c r="B447" t="s">
        <v>1980</v>
      </c>
      <c r="C447" t="s">
        <v>4165</v>
      </c>
      <c r="D447">
        <v>60</v>
      </c>
      <c r="E447">
        <v>60</v>
      </c>
      <c r="F447" t="s">
        <v>4090</v>
      </c>
    </row>
    <row r="448" spans="1:6" hidden="1">
      <c r="A448" t="s">
        <v>4099</v>
      </c>
      <c r="B448" t="s">
        <v>1239</v>
      </c>
      <c r="C448" t="s">
        <v>4112</v>
      </c>
      <c r="D448">
        <v>168</v>
      </c>
      <c r="E448">
        <v>24</v>
      </c>
      <c r="F448" t="s">
        <v>4090</v>
      </c>
    </row>
    <row r="449" spans="1:6" hidden="1">
      <c r="A449" t="s">
        <v>4099</v>
      </c>
      <c r="B449" t="s">
        <v>4054</v>
      </c>
      <c r="C449" t="s">
        <v>4105</v>
      </c>
      <c r="D449">
        <v>154</v>
      </c>
      <c r="E449">
        <v>154</v>
      </c>
      <c r="F449" t="s">
        <v>4095</v>
      </c>
    </row>
    <row r="450" spans="1:6" hidden="1">
      <c r="A450" t="s">
        <v>4099</v>
      </c>
      <c r="B450" t="s">
        <v>1242</v>
      </c>
      <c r="C450" t="s">
        <v>4238</v>
      </c>
      <c r="D450">
        <v>44</v>
      </c>
      <c r="E450">
        <v>44</v>
      </c>
      <c r="F450" t="s">
        <v>4090</v>
      </c>
    </row>
    <row r="451" spans="1:6" hidden="1">
      <c r="A451" t="s">
        <v>4099</v>
      </c>
      <c r="B451" t="s">
        <v>4042</v>
      </c>
      <c r="C451" t="s">
        <v>4109</v>
      </c>
      <c r="D451">
        <v>44</v>
      </c>
      <c r="E451">
        <v>44</v>
      </c>
      <c r="F451" t="s">
        <v>4095</v>
      </c>
    </row>
    <row r="452" spans="1:6" hidden="1">
      <c r="A452" t="s">
        <v>4091</v>
      </c>
      <c r="B452" t="s">
        <v>3505</v>
      </c>
      <c r="C452" t="s">
        <v>4094</v>
      </c>
      <c r="D452">
        <v>33</v>
      </c>
      <c r="E452">
        <v>33</v>
      </c>
      <c r="F452" t="s">
        <v>4095</v>
      </c>
    </row>
    <row r="453" spans="1:6" hidden="1">
      <c r="A453" t="s">
        <v>4093</v>
      </c>
      <c r="B453" t="s">
        <v>3573</v>
      </c>
      <c r="C453" t="s">
        <v>4109</v>
      </c>
      <c r="D453">
        <v>150</v>
      </c>
      <c r="E453">
        <v>150</v>
      </c>
      <c r="F453" t="s">
        <v>4095</v>
      </c>
    </row>
    <row r="454" spans="1:6" hidden="1">
      <c r="A454" t="s">
        <v>4093</v>
      </c>
      <c r="B454" t="s">
        <v>2516</v>
      </c>
      <c r="C454" t="s">
        <v>4112</v>
      </c>
      <c r="D454">
        <v>150</v>
      </c>
      <c r="E454">
        <v>25</v>
      </c>
      <c r="F454" t="s">
        <v>4090</v>
      </c>
    </row>
    <row r="455" spans="1:6" hidden="1">
      <c r="A455" t="s">
        <v>4093</v>
      </c>
      <c r="B455" t="s">
        <v>3441</v>
      </c>
      <c r="C455" t="s">
        <v>4109</v>
      </c>
      <c r="D455">
        <v>150</v>
      </c>
      <c r="E455">
        <v>150</v>
      </c>
      <c r="F455" t="s">
        <v>4095</v>
      </c>
    </row>
    <row r="456" spans="1:6" hidden="1">
      <c r="A456" t="s">
        <v>4093</v>
      </c>
      <c r="B456" t="s">
        <v>1852</v>
      </c>
      <c r="C456" t="s">
        <v>4226</v>
      </c>
      <c r="D456">
        <v>150</v>
      </c>
      <c r="E456">
        <v>150</v>
      </c>
      <c r="F456" t="s">
        <v>4090</v>
      </c>
    </row>
    <row r="457" spans="1:6" hidden="1">
      <c r="A457" t="s">
        <v>4093</v>
      </c>
      <c r="B457" t="s">
        <v>2237</v>
      </c>
      <c r="C457" t="s">
        <v>4148</v>
      </c>
      <c r="D457">
        <v>150</v>
      </c>
      <c r="E457">
        <v>150</v>
      </c>
      <c r="F457" t="s">
        <v>4090</v>
      </c>
    </row>
    <row r="458" spans="1:6" hidden="1">
      <c r="A458" t="s">
        <v>4093</v>
      </c>
      <c r="B458" t="s">
        <v>2511</v>
      </c>
      <c r="C458" t="s">
        <v>4112</v>
      </c>
      <c r="D458">
        <v>150</v>
      </c>
      <c r="E458">
        <v>25</v>
      </c>
      <c r="F458" t="s">
        <v>4090</v>
      </c>
    </row>
    <row r="459" spans="1:6" hidden="1">
      <c r="A459" t="s">
        <v>4093</v>
      </c>
      <c r="B459" t="s">
        <v>363</v>
      </c>
      <c r="C459" t="s">
        <v>4120</v>
      </c>
      <c r="D459">
        <v>150</v>
      </c>
      <c r="E459">
        <v>150</v>
      </c>
      <c r="F459" t="s">
        <v>4090</v>
      </c>
    </row>
    <row r="460" spans="1:6" hidden="1">
      <c r="A460" t="s">
        <v>4093</v>
      </c>
      <c r="B460" t="s">
        <v>1918</v>
      </c>
      <c r="C460" t="s">
        <v>4219</v>
      </c>
      <c r="D460">
        <v>150</v>
      </c>
      <c r="E460">
        <v>150</v>
      </c>
      <c r="F460" t="s">
        <v>4090</v>
      </c>
    </row>
    <row r="461" spans="1:6" hidden="1">
      <c r="A461" t="s">
        <v>4093</v>
      </c>
      <c r="B461" t="s">
        <v>732</v>
      </c>
      <c r="C461" t="s">
        <v>4178</v>
      </c>
      <c r="D461">
        <v>150</v>
      </c>
      <c r="E461">
        <v>150</v>
      </c>
      <c r="F461" t="s">
        <v>4090</v>
      </c>
    </row>
    <row r="462" spans="1:6" hidden="1">
      <c r="A462" t="s">
        <v>4093</v>
      </c>
      <c r="B462" t="s">
        <v>373</v>
      </c>
      <c r="C462" t="s">
        <v>4217</v>
      </c>
      <c r="D462">
        <v>150</v>
      </c>
      <c r="E462">
        <v>150</v>
      </c>
      <c r="F462" t="s">
        <v>4090</v>
      </c>
    </row>
    <row r="463" spans="1:6" hidden="1">
      <c r="A463" t="s">
        <v>4093</v>
      </c>
      <c r="B463" t="s">
        <v>3301</v>
      </c>
      <c r="C463" t="s">
        <v>4109</v>
      </c>
      <c r="D463">
        <v>150</v>
      </c>
      <c r="E463">
        <v>150</v>
      </c>
      <c r="F463" t="s">
        <v>4095</v>
      </c>
    </row>
    <row r="464" spans="1:6" hidden="1">
      <c r="A464" t="s">
        <v>4093</v>
      </c>
      <c r="B464" t="s">
        <v>3295</v>
      </c>
      <c r="C464" t="s">
        <v>4109</v>
      </c>
      <c r="D464">
        <v>150</v>
      </c>
      <c r="E464">
        <v>150</v>
      </c>
      <c r="F464" t="s">
        <v>4095</v>
      </c>
    </row>
    <row r="465" spans="1:6" hidden="1">
      <c r="A465" t="s">
        <v>4093</v>
      </c>
      <c r="B465" t="s">
        <v>1499</v>
      </c>
      <c r="C465" t="s">
        <v>4239</v>
      </c>
      <c r="D465">
        <v>150</v>
      </c>
      <c r="E465">
        <v>150</v>
      </c>
      <c r="F465" t="s">
        <v>4090</v>
      </c>
    </row>
    <row r="466" spans="1:6" hidden="1">
      <c r="A466" t="s">
        <v>4093</v>
      </c>
      <c r="B466" t="s">
        <v>1457</v>
      </c>
      <c r="C466" t="s">
        <v>4239</v>
      </c>
      <c r="D466">
        <v>150</v>
      </c>
      <c r="E466">
        <v>150</v>
      </c>
      <c r="F466" t="s">
        <v>4090</v>
      </c>
    </row>
    <row r="467" spans="1:6" hidden="1">
      <c r="A467" t="s">
        <v>4093</v>
      </c>
      <c r="B467" t="s">
        <v>3578</v>
      </c>
      <c r="C467" t="s">
        <v>4109</v>
      </c>
      <c r="D467">
        <v>48</v>
      </c>
      <c r="E467">
        <v>48</v>
      </c>
      <c r="F467" t="s">
        <v>4095</v>
      </c>
    </row>
    <row r="468" spans="1:6" hidden="1">
      <c r="A468" t="s">
        <v>4093</v>
      </c>
      <c r="B468" t="s">
        <v>2566</v>
      </c>
      <c r="C468" t="s">
        <v>4112</v>
      </c>
      <c r="D468">
        <v>48</v>
      </c>
      <c r="E468">
        <v>16</v>
      </c>
      <c r="F468" t="s">
        <v>4090</v>
      </c>
    </row>
    <row r="469" spans="1:6" hidden="1">
      <c r="A469" t="s">
        <v>4093</v>
      </c>
      <c r="B469" t="s">
        <v>3436</v>
      </c>
      <c r="C469" t="s">
        <v>4094</v>
      </c>
      <c r="D469">
        <v>48</v>
      </c>
      <c r="E469">
        <v>48</v>
      </c>
      <c r="F469" t="s">
        <v>4095</v>
      </c>
    </row>
    <row r="470" spans="1:6" hidden="1">
      <c r="A470" t="s">
        <v>4093</v>
      </c>
      <c r="B470" t="s">
        <v>1836</v>
      </c>
      <c r="C470" t="s">
        <v>4190</v>
      </c>
      <c r="D470">
        <v>72</v>
      </c>
      <c r="E470">
        <v>72</v>
      </c>
      <c r="F470" t="s">
        <v>4090</v>
      </c>
    </row>
    <row r="471" spans="1:6" hidden="1">
      <c r="A471" t="s">
        <v>4093</v>
      </c>
      <c r="B471" t="s">
        <v>2185</v>
      </c>
      <c r="C471" t="s">
        <v>4159</v>
      </c>
      <c r="D471">
        <v>72</v>
      </c>
      <c r="E471">
        <v>72</v>
      </c>
      <c r="F471" t="s">
        <v>4090</v>
      </c>
    </row>
    <row r="472" spans="1:6" hidden="1">
      <c r="A472" t="s">
        <v>4093</v>
      </c>
      <c r="B472" t="s">
        <v>2524</v>
      </c>
      <c r="C472" t="s">
        <v>4089</v>
      </c>
      <c r="D472">
        <v>72</v>
      </c>
      <c r="E472">
        <v>72</v>
      </c>
      <c r="F472" t="s">
        <v>4090</v>
      </c>
    </row>
    <row r="473" spans="1:6" hidden="1">
      <c r="A473" t="s">
        <v>4093</v>
      </c>
      <c r="B473" t="s">
        <v>275</v>
      </c>
      <c r="C473" t="s">
        <v>4120</v>
      </c>
      <c r="D473">
        <v>48</v>
      </c>
      <c r="E473">
        <v>48</v>
      </c>
      <c r="F473" t="s">
        <v>4090</v>
      </c>
    </row>
    <row r="474" spans="1:6" hidden="1">
      <c r="A474" t="s">
        <v>4093</v>
      </c>
      <c r="B474" t="s">
        <v>1876</v>
      </c>
      <c r="C474" t="s">
        <v>4097</v>
      </c>
      <c r="D474">
        <v>48</v>
      </c>
      <c r="E474">
        <v>48</v>
      </c>
      <c r="F474" t="s">
        <v>4090</v>
      </c>
    </row>
    <row r="475" spans="1:6" hidden="1">
      <c r="A475" t="s">
        <v>4093</v>
      </c>
      <c r="B475" t="s">
        <v>687</v>
      </c>
      <c r="C475" t="s">
        <v>4214</v>
      </c>
      <c r="D475">
        <v>48</v>
      </c>
      <c r="E475">
        <v>48</v>
      </c>
      <c r="F475" t="s">
        <v>4090</v>
      </c>
    </row>
    <row r="476" spans="1:6" hidden="1">
      <c r="A476" t="s">
        <v>4093</v>
      </c>
      <c r="B476" t="s">
        <v>269</v>
      </c>
      <c r="C476" t="s">
        <v>4120</v>
      </c>
      <c r="D476">
        <v>48</v>
      </c>
      <c r="E476">
        <v>48</v>
      </c>
      <c r="F476" t="s">
        <v>4090</v>
      </c>
    </row>
    <row r="477" spans="1:6" hidden="1">
      <c r="A477" t="s">
        <v>4093</v>
      </c>
      <c r="B477" t="s">
        <v>3322</v>
      </c>
      <c r="C477" t="s">
        <v>4109</v>
      </c>
      <c r="D477">
        <v>48</v>
      </c>
      <c r="E477">
        <v>48</v>
      </c>
      <c r="F477" t="s">
        <v>4095</v>
      </c>
    </row>
    <row r="478" spans="1:6" hidden="1">
      <c r="A478" t="s">
        <v>4093</v>
      </c>
      <c r="B478" t="s">
        <v>1462</v>
      </c>
      <c r="C478" t="s">
        <v>4183</v>
      </c>
      <c r="D478">
        <v>48</v>
      </c>
      <c r="E478">
        <v>48</v>
      </c>
      <c r="F478" t="s">
        <v>4090</v>
      </c>
    </row>
    <row r="479" spans="1:6" hidden="1">
      <c r="A479" t="s">
        <v>4093</v>
      </c>
      <c r="B479" t="s">
        <v>1504</v>
      </c>
      <c r="C479" t="s">
        <v>4192</v>
      </c>
      <c r="D479">
        <v>48</v>
      </c>
      <c r="E479">
        <v>48</v>
      </c>
      <c r="F479" t="s">
        <v>4090</v>
      </c>
    </row>
    <row r="480" spans="1:6" hidden="1">
      <c r="A480" t="s">
        <v>4093</v>
      </c>
      <c r="B480" t="s">
        <v>378</v>
      </c>
      <c r="C480" t="s">
        <v>4120</v>
      </c>
      <c r="D480">
        <v>48</v>
      </c>
      <c r="E480">
        <v>48</v>
      </c>
      <c r="F480" t="s">
        <v>4090</v>
      </c>
    </row>
    <row r="481" spans="1:6" hidden="1">
      <c r="A481" t="s">
        <v>4093</v>
      </c>
      <c r="B481" t="s">
        <v>3327</v>
      </c>
      <c r="C481" t="s">
        <v>4109</v>
      </c>
      <c r="D481">
        <v>48</v>
      </c>
      <c r="E481">
        <v>48</v>
      </c>
      <c r="F481" t="s">
        <v>4095</v>
      </c>
    </row>
    <row r="482" spans="1:6" hidden="1">
      <c r="A482" t="s">
        <v>4093</v>
      </c>
      <c r="B482" t="s">
        <v>257</v>
      </c>
      <c r="C482" t="s">
        <v>4120</v>
      </c>
      <c r="D482">
        <v>150</v>
      </c>
      <c r="E482">
        <v>150</v>
      </c>
      <c r="F482" t="s">
        <v>4090</v>
      </c>
    </row>
    <row r="483" spans="1:6" hidden="1">
      <c r="A483" t="s">
        <v>4093</v>
      </c>
      <c r="B483" t="s">
        <v>2530</v>
      </c>
      <c r="C483" t="s">
        <v>4112</v>
      </c>
      <c r="D483">
        <v>27</v>
      </c>
      <c r="E483">
        <v>9</v>
      </c>
      <c r="F483" t="s">
        <v>4090</v>
      </c>
    </row>
    <row r="484" spans="1:6" hidden="1">
      <c r="A484" t="s">
        <v>4093</v>
      </c>
      <c r="B484" t="s">
        <v>3425</v>
      </c>
      <c r="C484" t="s">
        <v>4094</v>
      </c>
      <c r="D484">
        <v>27</v>
      </c>
      <c r="E484">
        <v>27</v>
      </c>
      <c r="F484" t="s">
        <v>4095</v>
      </c>
    </row>
    <row r="485" spans="1:6" hidden="1">
      <c r="A485" t="s">
        <v>4093</v>
      </c>
      <c r="B485" t="s">
        <v>1803</v>
      </c>
      <c r="C485" t="s">
        <v>4208</v>
      </c>
      <c r="D485">
        <v>27</v>
      </c>
      <c r="E485">
        <v>27</v>
      </c>
      <c r="F485" t="s">
        <v>4090</v>
      </c>
    </row>
    <row r="486" spans="1:6" hidden="1">
      <c r="A486" t="s">
        <v>4093</v>
      </c>
      <c r="B486" t="s">
        <v>2210</v>
      </c>
      <c r="C486" t="s">
        <v>4092</v>
      </c>
      <c r="D486">
        <v>27</v>
      </c>
      <c r="E486">
        <v>27</v>
      </c>
      <c r="F486" t="s">
        <v>4090</v>
      </c>
    </row>
    <row r="487" spans="1:6" hidden="1">
      <c r="A487" t="s">
        <v>4093</v>
      </c>
      <c r="B487" t="s">
        <v>2540</v>
      </c>
      <c r="C487" t="s">
        <v>4112</v>
      </c>
      <c r="D487">
        <v>27</v>
      </c>
      <c r="E487">
        <v>9</v>
      </c>
      <c r="F487" t="s">
        <v>4090</v>
      </c>
    </row>
    <row r="488" spans="1:6" hidden="1">
      <c r="A488" t="s">
        <v>4093</v>
      </c>
      <c r="B488" t="s">
        <v>326</v>
      </c>
      <c r="C488" t="s">
        <v>4121</v>
      </c>
      <c r="D488">
        <v>33</v>
      </c>
      <c r="E488">
        <v>33</v>
      </c>
      <c r="F488" t="s">
        <v>4090</v>
      </c>
    </row>
    <row r="489" spans="1:6" hidden="1">
      <c r="A489" t="s">
        <v>4093</v>
      </c>
      <c r="B489" t="s">
        <v>1894</v>
      </c>
      <c r="C489" t="s">
        <v>4165</v>
      </c>
      <c r="D489">
        <v>33</v>
      </c>
      <c r="E489">
        <v>33</v>
      </c>
      <c r="F489" t="s">
        <v>4090</v>
      </c>
    </row>
    <row r="490" spans="1:6" hidden="1">
      <c r="A490" t="s">
        <v>4093</v>
      </c>
      <c r="B490" t="s">
        <v>699</v>
      </c>
      <c r="C490" t="s">
        <v>4207</v>
      </c>
      <c r="D490">
        <v>33</v>
      </c>
      <c r="E490">
        <v>33</v>
      </c>
      <c r="F490" t="s">
        <v>4090</v>
      </c>
    </row>
    <row r="491" spans="1:6" hidden="1">
      <c r="A491" t="s">
        <v>4093</v>
      </c>
      <c r="B491" t="s">
        <v>2250</v>
      </c>
      <c r="C491" t="s">
        <v>4098</v>
      </c>
      <c r="D491">
        <v>27</v>
      </c>
      <c r="E491">
        <v>27</v>
      </c>
      <c r="F491" t="s">
        <v>4090</v>
      </c>
    </row>
    <row r="492" spans="1:6" hidden="1">
      <c r="A492" t="s">
        <v>4093</v>
      </c>
      <c r="B492" t="s">
        <v>2584</v>
      </c>
      <c r="C492" t="s">
        <v>4130</v>
      </c>
      <c r="D492">
        <v>27</v>
      </c>
      <c r="E492">
        <v>27</v>
      </c>
      <c r="F492" t="s">
        <v>4090</v>
      </c>
    </row>
    <row r="493" spans="1:6" hidden="1">
      <c r="A493" t="s">
        <v>4093</v>
      </c>
      <c r="B493" t="s">
        <v>399</v>
      </c>
      <c r="C493" t="s">
        <v>4182</v>
      </c>
      <c r="D493">
        <v>33</v>
      </c>
      <c r="E493">
        <v>33</v>
      </c>
      <c r="F493" t="s">
        <v>4090</v>
      </c>
    </row>
    <row r="494" spans="1:6" hidden="1">
      <c r="A494" t="s">
        <v>4093</v>
      </c>
      <c r="B494" t="s">
        <v>738</v>
      </c>
      <c r="C494" t="s">
        <v>4124</v>
      </c>
      <c r="D494">
        <v>33</v>
      </c>
      <c r="E494">
        <v>33</v>
      </c>
      <c r="F494" t="s">
        <v>4090</v>
      </c>
    </row>
    <row r="495" spans="1:6" hidden="1">
      <c r="A495" t="s">
        <v>4093</v>
      </c>
      <c r="B495" t="s">
        <v>3093</v>
      </c>
      <c r="C495" t="s">
        <v>4112</v>
      </c>
      <c r="D495">
        <v>1200</v>
      </c>
      <c r="E495">
        <v>150</v>
      </c>
      <c r="F495" t="s">
        <v>4090</v>
      </c>
    </row>
    <row r="496" spans="1:6" hidden="1">
      <c r="A496" t="s">
        <v>4093</v>
      </c>
      <c r="B496" t="s">
        <v>3340</v>
      </c>
      <c r="C496" t="s">
        <v>4109</v>
      </c>
      <c r="D496">
        <v>150</v>
      </c>
      <c r="E496">
        <v>150</v>
      </c>
      <c r="F496" t="s">
        <v>4095</v>
      </c>
    </row>
    <row r="497" spans="1:6" hidden="1">
      <c r="A497" t="s">
        <v>4093</v>
      </c>
      <c r="B497" t="s">
        <v>1159</v>
      </c>
      <c r="C497" t="s">
        <v>4223</v>
      </c>
      <c r="D497">
        <v>150</v>
      </c>
      <c r="E497">
        <v>150</v>
      </c>
      <c r="F497" t="s">
        <v>4090</v>
      </c>
    </row>
    <row r="498" spans="1:6" hidden="1">
      <c r="A498" t="s">
        <v>4093</v>
      </c>
      <c r="B498" t="s">
        <v>3060</v>
      </c>
      <c r="C498" t="s">
        <v>4223</v>
      </c>
      <c r="D498">
        <v>150</v>
      </c>
      <c r="E498">
        <v>150</v>
      </c>
      <c r="F498" t="s">
        <v>4090</v>
      </c>
    </row>
    <row r="499" spans="1:6" hidden="1">
      <c r="A499" t="s">
        <v>4093</v>
      </c>
      <c r="B499" t="s">
        <v>682</v>
      </c>
      <c r="C499" t="s">
        <v>4178</v>
      </c>
      <c r="D499">
        <v>150</v>
      </c>
      <c r="E499">
        <v>150</v>
      </c>
      <c r="F499" t="s">
        <v>4090</v>
      </c>
    </row>
    <row r="500" spans="1:6" hidden="1">
      <c r="A500" t="s">
        <v>4093</v>
      </c>
      <c r="B500" t="s">
        <v>3195</v>
      </c>
      <c r="C500" t="s">
        <v>4112</v>
      </c>
      <c r="D500">
        <v>120</v>
      </c>
      <c r="E500">
        <v>24</v>
      </c>
      <c r="F500" t="s">
        <v>4090</v>
      </c>
    </row>
    <row r="501" spans="1:6" hidden="1">
      <c r="A501" t="s">
        <v>4093</v>
      </c>
      <c r="B501" t="s">
        <v>1303</v>
      </c>
      <c r="C501" t="s">
        <v>4121</v>
      </c>
      <c r="D501">
        <v>150</v>
      </c>
      <c r="E501">
        <v>150</v>
      </c>
      <c r="F501" t="s">
        <v>4090</v>
      </c>
    </row>
    <row r="502" spans="1:6" hidden="1">
      <c r="A502" t="s">
        <v>4093</v>
      </c>
      <c r="B502" t="s">
        <v>3398</v>
      </c>
      <c r="C502" t="s">
        <v>4094</v>
      </c>
      <c r="D502">
        <v>48</v>
      </c>
      <c r="E502">
        <v>48</v>
      </c>
      <c r="F502" t="s">
        <v>4095</v>
      </c>
    </row>
    <row r="503" spans="1:6" hidden="1">
      <c r="A503" t="s">
        <v>4093</v>
      </c>
      <c r="B503" t="s">
        <v>1209</v>
      </c>
      <c r="C503" t="s">
        <v>4196</v>
      </c>
      <c r="D503">
        <v>48</v>
      </c>
      <c r="E503">
        <v>48</v>
      </c>
      <c r="F503" t="s">
        <v>4090</v>
      </c>
    </row>
    <row r="504" spans="1:6" hidden="1">
      <c r="A504" t="s">
        <v>4093</v>
      </c>
      <c r="B504" t="s">
        <v>3120</v>
      </c>
      <c r="C504" t="s">
        <v>4092</v>
      </c>
      <c r="D504">
        <v>48</v>
      </c>
      <c r="E504">
        <v>48</v>
      </c>
      <c r="F504" t="s">
        <v>4090</v>
      </c>
    </row>
    <row r="505" spans="1:6" hidden="1">
      <c r="A505" t="s">
        <v>4093</v>
      </c>
      <c r="B505" t="s">
        <v>727</v>
      </c>
      <c r="C505" t="s">
        <v>4214</v>
      </c>
      <c r="D505">
        <v>48</v>
      </c>
      <c r="E505">
        <v>48</v>
      </c>
      <c r="F505" t="s">
        <v>4090</v>
      </c>
    </row>
    <row r="506" spans="1:6" hidden="1">
      <c r="A506" t="s">
        <v>4093</v>
      </c>
      <c r="B506" t="s">
        <v>3201</v>
      </c>
      <c r="C506" t="s">
        <v>4112</v>
      </c>
      <c r="D506">
        <v>60</v>
      </c>
      <c r="E506">
        <v>12</v>
      </c>
      <c r="F506" t="s">
        <v>4090</v>
      </c>
    </row>
    <row r="507" spans="1:6" hidden="1">
      <c r="A507" t="s">
        <v>4093</v>
      </c>
      <c r="B507" t="s">
        <v>1365</v>
      </c>
      <c r="C507" t="s">
        <v>4121</v>
      </c>
      <c r="D507">
        <v>48</v>
      </c>
      <c r="E507">
        <v>48</v>
      </c>
      <c r="F507" t="s">
        <v>4090</v>
      </c>
    </row>
    <row r="508" spans="1:6" hidden="1">
      <c r="A508" t="s">
        <v>4093</v>
      </c>
      <c r="B508" t="s">
        <v>4240</v>
      </c>
      <c r="C508" t="s">
        <v>4094</v>
      </c>
      <c r="D508">
        <v>27</v>
      </c>
      <c r="E508">
        <v>27</v>
      </c>
      <c r="F508" t="s">
        <v>4095</v>
      </c>
    </row>
    <row r="509" spans="1:6" hidden="1">
      <c r="A509" t="s">
        <v>4093</v>
      </c>
      <c r="B509" t="s">
        <v>4241</v>
      </c>
      <c r="C509" t="s">
        <v>4094</v>
      </c>
      <c r="D509">
        <v>27</v>
      </c>
      <c r="E509">
        <v>27</v>
      </c>
      <c r="F509" t="s">
        <v>4095</v>
      </c>
    </row>
    <row r="510" spans="1:6" hidden="1">
      <c r="A510" t="s">
        <v>4093</v>
      </c>
      <c r="B510" t="s">
        <v>4242</v>
      </c>
      <c r="C510" t="s">
        <v>4094</v>
      </c>
      <c r="D510">
        <v>27</v>
      </c>
      <c r="E510">
        <v>27</v>
      </c>
      <c r="F510" t="s">
        <v>4095</v>
      </c>
    </row>
    <row r="511" spans="1:6" hidden="1">
      <c r="A511" t="s">
        <v>4093</v>
      </c>
      <c r="B511" t="s">
        <v>4243</v>
      </c>
      <c r="C511" t="s">
        <v>4094</v>
      </c>
      <c r="D511">
        <v>27</v>
      </c>
      <c r="E511">
        <v>27</v>
      </c>
      <c r="F511" t="s">
        <v>4095</v>
      </c>
    </row>
    <row r="512" spans="1:6" hidden="1">
      <c r="A512" t="s">
        <v>4093</v>
      </c>
      <c r="B512" t="s">
        <v>4244</v>
      </c>
      <c r="C512" t="s">
        <v>4109</v>
      </c>
      <c r="D512">
        <v>27</v>
      </c>
      <c r="E512">
        <v>27</v>
      </c>
      <c r="F512" t="s">
        <v>4095</v>
      </c>
    </row>
    <row r="513" spans="1:6" hidden="1">
      <c r="A513" t="s">
        <v>4093</v>
      </c>
      <c r="B513" t="s">
        <v>4245</v>
      </c>
      <c r="C513" t="s">
        <v>4094</v>
      </c>
      <c r="D513">
        <v>27</v>
      </c>
      <c r="E513">
        <v>27</v>
      </c>
      <c r="F513" t="s">
        <v>4095</v>
      </c>
    </row>
    <row r="514" spans="1:6" hidden="1">
      <c r="A514" t="s">
        <v>4093</v>
      </c>
      <c r="B514" t="s">
        <v>109</v>
      </c>
      <c r="C514" t="s">
        <v>4143</v>
      </c>
      <c r="D514">
        <v>150</v>
      </c>
      <c r="E514">
        <v>150</v>
      </c>
      <c r="F514" t="s">
        <v>4090</v>
      </c>
    </row>
    <row r="515" spans="1:6" hidden="1">
      <c r="A515" t="s">
        <v>4093</v>
      </c>
      <c r="B515" t="s">
        <v>100</v>
      </c>
      <c r="C515" t="s">
        <v>4143</v>
      </c>
      <c r="D515">
        <v>150</v>
      </c>
      <c r="E515">
        <v>150</v>
      </c>
      <c r="F515" t="s">
        <v>4090</v>
      </c>
    </row>
    <row r="516" spans="1:6" hidden="1">
      <c r="A516" t="s">
        <v>4093</v>
      </c>
      <c r="B516" t="s">
        <v>198</v>
      </c>
      <c r="C516" t="s">
        <v>4202</v>
      </c>
      <c r="D516">
        <v>48</v>
      </c>
      <c r="E516">
        <v>48</v>
      </c>
      <c r="F516" t="s">
        <v>4090</v>
      </c>
    </row>
    <row r="517" spans="1:6" hidden="1">
      <c r="A517" t="s">
        <v>4093</v>
      </c>
      <c r="B517" t="s">
        <v>191</v>
      </c>
      <c r="C517" t="s">
        <v>4202</v>
      </c>
      <c r="D517">
        <v>48</v>
      </c>
      <c r="E517">
        <v>48</v>
      </c>
      <c r="F517" t="s">
        <v>4090</v>
      </c>
    </row>
    <row r="518" spans="1:6" hidden="1">
      <c r="A518" t="s">
        <v>4093</v>
      </c>
      <c r="B518" t="s">
        <v>1921</v>
      </c>
      <c r="C518" t="s">
        <v>4219</v>
      </c>
      <c r="D518">
        <v>150</v>
      </c>
      <c r="E518">
        <v>150</v>
      </c>
      <c r="F518" t="s">
        <v>4090</v>
      </c>
    </row>
    <row r="519" spans="1:6" hidden="1">
      <c r="A519" t="s">
        <v>4093</v>
      </c>
      <c r="B519" t="s">
        <v>368</v>
      </c>
      <c r="C519" t="s">
        <v>4120</v>
      </c>
      <c r="D519">
        <v>150</v>
      </c>
      <c r="E519">
        <v>150</v>
      </c>
      <c r="F519" t="s">
        <v>4090</v>
      </c>
    </row>
    <row r="520" spans="1:6" hidden="1">
      <c r="A520" t="s">
        <v>4093</v>
      </c>
      <c r="B520" t="s">
        <v>3889</v>
      </c>
      <c r="C520" t="s">
        <v>4109</v>
      </c>
      <c r="D520">
        <v>150</v>
      </c>
      <c r="E520">
        <v>150</v>
      </c>
      <c r="F520" t="s">
        <v>4095</v>
      </c>
    </row>
    <row r="521" spans="1:6" hidden="1">
      <c r="A521" t="s">
        <v>4093</v>
      </c>
      <c r="B521" t="s">
        <v>3314</v>
      </c>
      <c r="C521" t="s">
        <v>4094</v>
      </c>
      <c r="D521">
        <v>150</v>
      </c>
      <c r="E521">
        <v>150</v>
      </c>
      <c r="F521" t="s">
        <v>4095</v>
      </c>
    </row>
    <row r="522" spans="1:6" hidden="1">
      <c r="A522" t="s">
        <v>4093</v>
      </c>
      <c r="B522" t="s">
        <v>1926</v>
      </c>
      <c r="C522" t="s">
        <v>4097</v>
      </c>
      <c r="D522">
        <v>48</v>
      </c>
      <c r="E522">
        <v>48</v>
      </c>
      <c r="F522" t="s">
        <v>4090</v>
      </c>
    </row>
    <row r="523" spans="1:6" hidden="1">
      <c r="A523" t="s">
        <v>4093</v>
      </c>
      <c r="B523" t="s">
        <v>280</v>
      </c>
      <c r="C523" t="s">
        <v>4120</v>
      </c>
      <c r="D523">
        <v>48</v>
      </c>
      <c r="E523">
        <v>48</v>
      </c>
      <c r="F523" t="s">
        <v>4090</v>
      </c>
    </row>
    <row r="524" spans="1:6" hidden="1">
      <c r="A524" t="s">
        <v>4093</v>
      </c>
      <c r="B524" t="s">
        <v>3309</v>
      </c>
      <c r="C524" t="s">
        <v>4094</v>
      </c>
      <c r="D524">
        <v>48</v>
      </c>
      <c r="E524">
        <v>48</v>
      </c>
      <c r="F524" t="s">
        <v>4095</v>
      </c>
    </row>
    <row r="525" spans="1:6" hidden="1">
      <c r="A525" t="s">
        <v>4093</v>
      </c>
      <c r="B525" t="s">
        <v>1937</v>
      </c>
      <c r="C525" t="s">
        <v>4195</v>
      </c>
      <c r="D525">
        <v>44</v>
      </c>
      <c r="E525">
        <v>44</v>
      </c>
      <c r="F525" t="s">
        <v>4090</v>
      </c>
    </row>
    <row r="526" spans="1:6" hidden="1">
      <c r="A526" t="s">
        <v>4093</v>
      </c>
      <c r="B526" t="s">
        <v>331</v>
      </c>
      <c r="C526" t="s">
        <v>4105</v>
      </c>
      <c r="D526">
        <v>44</v>
      </c>
      <c r="E526">
        <v>44</v>
      </c>
      <c r="F526" t="s">
        <v>4090</v>
      </c>
    </row>
    <row r="527" spans="1:6" hidden="1">
      <c r="A527" t="s">
        <v>4093</v>
      </c>
      <c r="B527" t="s">
        <v>2461</v>
      </c>
      <c r="C527" t="s">
        <v>4183</v>
      </c>
      <c r="D527">
        <v>483</v>
      </c>
      <c r="E527">
        <v>483</v>
      </c>
      <c r="F527" t="s">
        <v>4090</v>
      </c>
    </row>
    <row r="528" spans="1:6" hidden="1">
      <c r="A528" t="s">
        <v>4093</v>
      </c>
      <c r="B528" t="s">
        <v>4246</v>
      </c>
      <c r="C528" t="s">
        <v>4094</v>
      </c>
      <c r="D528">
        <v>27</v>
      </c>
      <c r="E528">
        <v>27</v>
      </c>
      <c r="F528" t="s">
        <v>4095</v>
      </c>
    </row>
    <row r="529" spans="1:6" hidden="1">
      <c r="A529" t="s">
        <v>4093</v>
      </c>
      <c r="B529" t="s">
        <v>2424</v>
      </c>
      <c r="C529" t="s">
        <v>4092</v>
      </c>
      <c r="D529">
        <v>150</v>
      </c>
      <c r="E529">
        <v>150</v>
      </c>
      <c r="F529" t="s">
        <v>4090</v>
      </c>
    </row>
    <row r="530" spans="1:6" hidden="1">
      <c r="A530" t="s">
        <v>4088</v>
      </c>
      <c r="B530" t="s">
        <v>262</v>
      </c>
      <c r="C530" t="s">
        <v>4132</v>
      </c>
      <c r="D530">
        <v>120</v>
      </c>
      <c r="E530">
        <v>120</v>
      </c>
      <c r="F530" t="s">
        <v>4090</v>
      </c>
    </row>
    <row r="531" spans="1:6" hidden="1">
      <c r="A531" t="s">
        <v>4088</v>
      </c>
      <c r="B531" t="s">
        <v>3516</v>
      </c>
      <c r="C531" t="s">
        <v>4105</v>
      </c>
      <c r="D531">
        <v>120</v>
      </c>
      <c r="E531">
        <v>120</v>
      </c>
      <c r="F531" t="s">
        <v>4095</v>
      </c>
    </row>
    <row r="532" spans="1:6" hidden="1">
      <c r="A532" t="s">
        <v>4099</v>
      </c>
      <c r="B532" t="s">
        <v>570</v>
      </c>
      <c r="C532" t="s">
        <v>4098</v>
      </c>
      <c r="D532">
        <v>44</v>
      </c>
      <c r="E532">
        <v>44</v>
      </c>
      <c r="F532" t="s">
        <v>4090</v>
      </c>
    </row>
    <row r="533" spans="1:6" hidden="1">
      <c r="A533" t="s">
        <v>4099</v>
      </c>
      <c r="B533" t="s">
        <v>2044</v>
      </c>
      <c r="C533" t="s">
        <v>4129</v>
      </c>
      <c r="D533">
        <v>24</v>
      </c>
      <c r="E533">
        <v>24</v>
      </c>
      <c r="F533" t="s">
        <v>4090</v>
      </c>
    </row>
    <row r="534" spans="1:6" hidden="1">
      <c r="A534" t="s">
        <v>4093</v>
      </c>
      <c r="B534" t="s">
        <v>1351</v>
      </c>
      <c r="C534" t="s">
        <v>4112</v>
      </c>
      <c r="D534">
        <v>60</v>
      </c>
      <c r="E534">
        <v>12</v>
      </c>
      <c r="F534" t="s">
        <v>4090</v>
      </c>
    </row>
    <row r="535" spans="1:6" hidden="1">
      <c r="A535" t="s">
        <v>4093</v>
      </c>
      <c r="B535" t="s">
        <v>1342</v>
      </c>
      <c r="C535" t="s">
        <v>4112</v>
      </c>
      <c r="D535">
        <v>27</v>
      </c>
      <c r="E535">
        <v>9</v>
      </c>
      <c r="F535" t="s">
        <v>4090</v>
      </c>
    </row>
    <row r="536" spans="1:6" hidden="1">
      <c r="A536" t="s">
        <v>4093</v>
      </c>
      <c r="B536" t="s">
        <v>3105</v>
      </c>
      <c r="C536" t="s">
        <v>4092</v>
      </c>
      <c r="D536">
        <v>60</v>
      </c>
      <c r="E536">
        <v>60</v>
      </c>
      <c r="F536" t="s">
        <v>4090</v>
      </c>
    </row>
    <row r="537" spans="1:6" hidden="1">
      <c r="A537" t="s">
        <v>4093</v>
      </c>
      <c r="B537" t="s">
        <v>3057</v>
      </c>
      <c r="C537" t="s">
        <v>4167</v>
      </c>
      <c r="D537">
        <v>27</v>
      </c>
      <c r="E537">
        <v>27</v>
      </c>
      <c r="F537" t="s">
        <v>4090</v>
      </c>
    </row>
    <row r="538" spans="1:6" hidden="1">
      <c r="A538" t="s">
        <v>4091</v>
      </c>
      <c r="B538" t="s">
        <v>2458</v>
      </c>
      <c r="C538" t="s">
        <v>4167</v>
      </c>
      <c r="D538">
        <v>150</v>
      </c>
      <c r="E538">
        <v>150</v>
      </c>
      <c r="F538" t="s">
        <v>4090</v>
      </c>
    </row>
    <row r="539" spans="1:6" hidden="1">
      <c r="A539" t="s">
        <v>4091</v>
      </c>
      <c r="B539" t="s">
        <v>2453</v>
      </c>
      <c r="C539" t="s">
        <v>4092</v>
      </c>
      <c r="D539">
        <v>120</v>
      </c>
      <c r="E539">
        <v>120</v>
      </c>
      <c r="F539" t="s">
        <v>4090</v>
      </c>
    </row>
    <row r="540" spans="1:6" hidden="1">
      <c r="A540" t="s">
        <v>4110</v>
      </c>
      <c r="B540" t="s">
        <v>2898</v>
      </c>
      <c r="C540" t="s">
        <v>4108</v>
      </c>
      <c r="D540">
        <v>27</v>
      </c>
      <c r="E540">
        <v>27</v>
      </c>
      <c r="F540" t="s">
        <v>4090</v>
      </c>
    </row>
    <row r="541" spans="1:6" hidden="1">
      <c r="A541" t="s">
        <v>4106</v>
      </c>
      <c r="B541" t="s">
        <v>2684</v>
      </c>
      <c r="C541" t="s">
        <v>4183</v>
      </c>
      <c r="D541">
        <v>70</v>
      </c>
      <c r="E541">
        <v>70</v>
      </c>
      <c r="F541" t="s">
        <v>4090</v>
      </c>
    </row>
    <row r="542" spans="1:6" hidden="1">
      <c r="A542" t="s">
        <v>4106</v>
      </c>
      <c r="B542" t="s">
        <v>2693</v>
      </c>
      <c r="C542" t="s">
        <v>4112</v>
      </c>
      <c r="D542">
        <v>264</v>
      </c>
      <c r="E542">
        <v>66</v>
      </c>
      <c r="F542" t="s">
        <v>4090</v>
      </c>
    </row>
    <row r="543" spans="1:6" hidden="1">
      <c r="A543" t="s">
        <v>4091</v>
      </c>
      <c r="B543" t="s">
        <v>2299</v>
      </c>
      <c r="C543" t="s">
        <v>4112</v>
      </c>
      <c r="D543">
        <v>330</v>
      </c>
      <c r="E543">
        <v>66</v>
      </c>
      <c r="F543" t="s">
        <v>4090</v>
      </c>
    </row>
    <row r="544" spans="1:6" hidden="1">
      <c r="A544" t="s">
        <v>4091</v>
      </c>
      <c r="B544" t="s">
        <v>2286</v>
      </c>
      <c r="C544" t="s">
        <v>4112</v>
      </c>
      <c r="D544">
        <v>180</v>
      </c>
      <c r="E544">
        <v>30</v>
      </c>
      <c r="F544" t="s">
        <v>4090</v>
      </c>
    </row>
    <row r="545" spans="1:6" hidden="1">
      <c r="A545" t="s">
        <v>4091</v>
      </c>
      <c r="B545" t="s">
        <v>2312</v>
      </c>
      <c r="C545" t="s">
        <v>4167</v>
      </c>
      <c r="D545">
        <v>60</v>
      </c>
      <c r="E545">
        <v>60</v>
      </c>
      <c r="F545" t="s">
        <v>4090</v>
      </c>
    </row>
    <row r="546" spans="1:6" hidden="1">
      <c r="A546" t="s">
        <v>4088</v>
      </c>
      <c r="B546" t="s">
        <v>2312</v>
      </c>
      <c r="C546" t="s">
        <v>4167</v>
      </c>
      <c r="D546">
        <v>60</v>
      </c>
      <c r="E546">
        <v>60</v>
      </c>
      <c r="F546" t="s">
        <v>4090</v>
      </c>
    </row>
    <row r="547" spans="1:6" hidden="1">
      <c r="A547" t="s">
        <v>4088</v>
      </c>
      <c r="B547" t="s">
        <v>2289</v>
      </c>
      <c r="C547" t="s">
        <v>4198</v>
      </c>
      <c r="D547">
        <v>44</v>
      </c>
      <c r="E547">
        <v>44</v>
      </c>
      <c r="F547" t="s">
        <v>4090</v>
      </c>
    </row>
    <row r="548" spans="1:6" hidden="1">
      <c r="A548" t="s">
        <v>4091</v>
      </c>
      <c r="B548" t="s">
        <v>2289</v>
      </c>
      <c r="C548" t="s">
        <v>4198</v>
      </c>
      <c r="D548">
        <v>44</v>
      </c>
      <c r="E548">
        <v>44</v>
      </c>
      <c r="F548" t="s">
        <v>4090</v>
      </c>
    </row>
    <row r="549" spans="1:6" hidden="1">
      <c r="A549" t="s">
        <v>4110</v>
      </c>
      <c r="B549" t="s">
        <v>2289</v>
      </c>
      <c r="C549" t="s">
        <v>4198</v>
      </c>
      <c r="D549">
        <v>44</v>
      </c>
      <c r="E549">
        <v>44</v>
      </c>
      <c r="F549" t="s">
        <v>4090</v>
      </c>
    </row>
    <row r="550" spans="1:6" hidden="1">
      <c r="A550" t="s">
        <v>4088</v>
      </c>
      <c r="B550" t="s">
        <v>2294</v>
      </c>
      <c r="C550" t="s">
        <v>4198</v>
      </c>
      <c r="D550">
        <v>24</v>
      </c>
      <c r="E550">
        <v>24</v>
      </c>
      <c r="F550" t="s">
        <v>4090</v>
      </c>
    </row>
    <row r="551" spans="1:6" hidden="1">
      <c r="A551" t="s">
        <v>4106</v>
      </c>
      <c r="B551" t="s">
        <v>2675</v>
      </c>
      <c r="C551" t="s">
        <v>4208</v>
      </c>
      <c r="D551">
        <v>24</v>
      </c>
      <c r="E551">
        <v>24</v>
      </c>
      <c r="F551" t="s">
        <v>4090</v>
      </c>
    </row>
    <row r="552" spans="1:6" hidden="1">
      <c r="A552" t="s">
        <v>4099</v>
      </c>
      <c r="B552" t="s">
        <v>1041</v>
      </c>
      <c r="C552" t="s">
        <v>4180</v>
      </c>
      <c r="D552">
        <v>44</v>
      </c>
      <c r="E552">
        <v>44</v>
      </c>
      <c r="F552" t="s">
        <v>4090</v>
      </c>
    </row>
    <row r="553" spans="1:6" hidden="1">
      <c r="A553" t="s">
        <v>4099</v>
      </c>
      <c r="B553" t="s">
        <v>1767</v>
      </c>
      <c r="C553" t="s">
        <v>4218</v>
      </c>
      <c r="D553">
        <v>24</v>
      </c>
      <c r="E553">
        <v>24</v>
      </c>
      <c r="F553" t="s">
        <v>4090</v>
      </c>
    </row>
    <row r="554" spans="1:6" hidden="1">
      <c r="A554" t="s">
        <v>4099</v>
      </c>
      <c r="B554" t="s">
        <v>2159</v>
      </c>
      <c r="C554" t="s">
        <v>4188</v>
      </c>
      <c r="D554">
        <v>36</v>
      </c>
      <c r="E554">
        <v>36</v>
      </c>
      <c r="F554" t="s">
        <v>4090</v>
      </c>
    </row>
    <row r="555" spans="1:6" hidden="1">
      <c r="A555" t="s">
        <v>4093</v>
      </c>
      <c r="B555" t="s">
        <v>624</v>
      </c>
      <c r="C555" t="s">
        <v>4162</v>
      </c>
      <c r="D555">
        <v>462</v>
      </c>
      <c r="E555">
        <v>462</v>
      </c>
      <c r="F555" t="s">
        <v>4090</v>
      </c>
    </row>
    <row r="556" spans="1:6" hidden="1">
      <c r="A556" t="s">
        <v>4093</v>
      </c>
      <c r="B556" t="s">
        <v>635</v>
      </c>
      <c r="C556" t="s">
        <v>4219</v>
      </c>
      <c r="D556">
        <v>60</v>
      </c>
      <c r="E556">
        <v>60</v>
      </c>
      <c r="F556" t="s">
        <v>4090</v>
      </c>
    </row>
    <row r="557" spans="1:6" hidden="1">
      <c r="A557" t="s">
        <v>4093</v>
      </c>
      <c r="B557" t="s">
        <v>627</v>
      </c>
      <c r="C557" t="s">
        <v>4165</v>
      </c>
      <c r="D557">
        <v>33</v>
      </c>
      <c r="E557">
        <v>33</v>
      </c>
      <c r="F557" t="s">
        <v>4090</v>
      </c>
    </row>
    <row r="558" spans="1:6" hidden="1">
      <c r="A558" t="s">
        <v>4093</v>
      </c>
      <c r="B558" t="s">
        <v>1128</v>
      </c>
      <c r="C558" t="s">
        <v>4247</v>
      </c>
      <c r="D558">
        <v>462</v>
      </c>
      <c r="E558">
        <v>462</v>
      </c>
      <c r="F558" t="s">
        <v>4090</v>
      </c>
    </row>
    <row r="559" spans="1:6" hidden="1">
      <c r="A559" t="s">
        <v>4093</v>
      </c>
      <c r="B559" t="s">
        <v>1144</v>
      </c>
      <c r="C559" t="s">
        <v>4126</v>
      </c>
      <c r="D559">
        <v>44</v>
      </c>
      <c r="E559">
        <v>44</v>
      </c>
      <c r="F559" t="s">
        <v>4090</v>
      </c>
    </row>
    <row r="560" spans="1:6" hidden="1">
      <c r="A560" t="s">
        <v>4091</v>
      </c>
      <c r="B560" t="s">
        <v>1751</v>
      </c>
      <c r="C560" t="s">
        <v>4112</v>
      </c>
      <c r="D560">
        <v>150</v>
      </c>
      <c r="E560">
        <v>30</v>
      </c>
      <c r="F560" t="s">
        <v>4090</v>
      </c>
    </row>
    <row r="561" spans="1:6" hidden="1">
      <c r="A561" t="s">
        <v>4091</v>
      </c>
      <c r="B561" t="s">
        <v>801</v>
      </c>
      <c r="C561" t="s">
        <v>4184</v>
      </c>
      <c r="D561">
        <v>180</v>
      </c>
      <c r="E561">
        <v>180</v>
      </c>
      <c r="F561" t="s">
        <v>4090</v>
      </c>
    </row>
    <row r="562" spans="1:6" hidden="1">
      <c r="A562" t="s">
        <v>4091</v>
      </c>
      <c r="B562" t="s">
        <v>1235</v>
      </c>
      <c r="C562" t="s">
        <v>4112</v>
      </c>
      <c r="D562">
        <v>168</v>
      </c>
      <c r="E562">
        <v>24</v>
      </c>
      <c r="F562" t="s">
        <v>4090</v>
      </c>
    </row>
    <row r="563" spans="1:6" hidden="1">
      <c r="A563" t="s">
        <v>4091</v>
      </c>
      <c r="B563" t="s">
        <v>4057</v>
      </c>
      <c r="C563" t="s">
        <v>4105</v>
      </c>
      <c r="D563">
        <v>154</v>
      </c>
      <c r="E563">
        <v>154</v>
      </c>
      <c r="F563" t="s">
        <v>4095</v>
      </c>
    </row>
    <row r="564" spans="1:6" hidden="1">
      <c r="A564" t="s">
        <v>4091</v>
      </c>
      <c r="B564" t="s">
        <v>1257</v>
      </c>
      <c r="C564" t="s">
        <v>4238</v>
      </c>
      <c r="D564">
        <v>44</v>
      </c>
      <c r="E564">
        <v>44</v>
      </c>
      <c r="F564" t="s">
        <v>4090</v>
      </c>
    </row>
    <row r="565" spans="1:6" hidden="1">
      <c r="A565" t="s">
        <v>4091</v>
      </c>
      <c r="B565" t="s">
        <v>4009</v>
      </c>
      <c r="C565" t="s">
        <v>4105</v>
      </c>
      <c r="D565">
        <v>44</v>
      </c>
      <c r="E565">
        <v>44</v>
      </c>
      <c r="F565" t="s">
        <v>4095</v>
      </c>
    </row>
    <row r="566" spans="1:6" hidden="1">
      <c r="A566" t="s">
        <v>4093</v>
      </c>
      <c r="B566" t="s">
        <v>144</v>
      </c>
      <c r="C566" t="s">
        <v>4118</v>
      </c>
      <c r="D566">
        <v>720</v>
      </c>
      <c r="E566">
        <v>720</v>
      </c>
      <c r="F566" t="s">
        <v>4090</v>
      </c>
    </row>
    <row r="567" spans="1:6" hidden="1">
      <c r="A567" t="s">
        <v>4091</v>
      </c>
      <c r="B567" t="s">
        <v>3687</v>
      </c>
      <c r="C567" t="s">
        <v>4105</v>
      </c>
      <c r="D567">
        <v>396</v>
      </c>
      <c r="E567">
        <v>396</v>
      </c>
      <c r="F567" t="s">
        <v>4095</v>
      </c>
    </row>
    <row r="568" spans="1:6" hidden="1">
      <c r="A568" t="s">
        <v>4091</v>
      </c>
      <c r="B568" t="s">
        <v>3696</v>
      </c>
      <c r="C568" t="s">
        <v>4105</v>
      </c>
      <c r="D568">
        <v>144</v>
      </c>
      <c r="E568">
        <v>144</v>
      </c>
      <c r="F568" t="s">
        <v>4095</v>
      </c>
    </row>
    <row r="569" spans="1:6" hidden="1">
      <c r="A569" t="s">
        <v>4093</v>
      </c>
      <c r="B569" t="s">
        <v>3714</v>
      </c>
      <c r="C569" t="s">
        <v>4094</v>
      </c>
      <c r="D569">
        <v>96</v>
      </c>
      <c r="E569">
        <v>96</v>
      </c>
      <c r="F569" t="s">
        <v>4095</v>
      </c>
    </row>
    <row r="570" spans="1:6" hidden="1">
      <c r="A570" t="s">
        <v>4099</v>
      </c>
      <c r="B570" t="s">
        <v>664</v>
      </c>
      <c r="C570" t="s">
        <v>4188</v>
      </c>
      <c r="D570">
        <v>44</v>
      </c>
      <c r="E570">
        <v>44</v>
      </c>
      <c r="F570" t="s">
        <v>4090</v>
      </c>
    </row>
    <row r="571" spans="1:6" hidden="1">
      <c r="A571" t="s">
        <v>4088</v>
      </c>
      <c r="B571" t="s">
        <v>2444</v>
      </c>
      <c r="C571" t="s">
        <v>4131</v>
      </c>
      <c r="D571">
        <v>60</v>
      </c>
      <c r="E571">
        <v>60</v>
      </c>
      <c r="F571" t="s">
        <v>4090</v>
      </c>
    </row>
    <row r="572" spans="1:6" hidden="1">
      <c r="A572" t="s">
        <v>4091</v>
      </c>
      <c r="B572" t="s">
        <v>2444</v>
      </c>
      <c r="C572" t="s">
        <v>4131</v>
      </c>
      <c r="D572">
        <v>60</v>
      </c>
      <c r="E572">
        <v>60</v>
      </c>
      <c r="F572" t="s">
        <v>4090</v>
      </c>
    </row>
    <row r="573" spans="1:6" hidden="1">
      <c r="A573" t="s">
        <v>4093</v>
      </c>
      <c r="B573" t="s">
        <v>3711</v>
      </c>
      <c r="C573" t="s">
        <v>4105</v>
      </c>
      <c r="D573">
        <v>180</v>
      </c>
      <c r="E573">
        <v>180</v>
      </c>
      <c r="F573" t="s">
        <v>4095</v>
      </c>
    </row>
    <row r="574" spans="1:6" hidden="1">
      <c r="A574" t="s">
        <v>4099</v>
      </c>
      <c r="B574" t="s">
        <v>3657</v>
      </c>
      <c r="C574" t="s">
        <v>4094</v>
      </c>
      <c r="D574">
        <v>24</v>
      </c>
      <c r="E574">
        <v>24</v>
      </c>
      <c r="F574" t="s">
        <v>4095</v>
      </c>
    </row>
    <row r="575" spans="1:6" hidden="1">
      <c r="A575" t="s">
        <v>4088</v>
      </c>
      <c r="B575" t="s">
        <v>3657</v>
      </c>
      <c r="C575" t="s">
        <v>4109</v>
      </c>
      <c r="D575">
        <v>24</v>
      </c>
      <c r="E575">
        <v>24</v>
      </c>
      <c r="F575" t="s">
        <v>4095</v>
      </c>
    </row>
    <row r="576" spans="1:6" hidden="1">
      <c r="A576" t="s">
        <v>4102</v>
      </c>
      <c r="B576" t="s">
        <v>3657</v>
      </c>
      <c r="C576" t="s">
        <v>4094</v>
      </c>
      <c r="D576">
        <v>24</v>
      </c>
      <c r="E576">
        <v>24</v>
      </c>
      <c r="F576" t="s">
        <v>4095</v>
      </c>
    </row>
    <row r="577" spans="1:6" hidden="1">
      <c r="A577" t="s">
        <v>4088</v>
      </c>
      <c r="B577" t="s">
        <v>3872</v>
      </c>
      <c r="C577" t="s">
        <v>4109</v>
      </c>
      <c r="D577">
        <v>24</v>
      </c>
      <c r="E577">
        <v>24</v>
      </c>
      <c r="F577" t="s">
        <v>4095</v>
      </c>
    </row>
    <row r="578" spans="1:6" hidden="1">
      <c r="A578" t="s">
        <v>4088</v>
      </c>
      <c r="B578" t="s">
        <v>3081</v>
      </c>
      <c r="C578" t="s">
        <v>4112</v>
      </c>
      <c r="D578">
        <v>24</v>
      </c>
      <c r="E578">
        <v>8</v>
      </c>
      <c r="F578" t="s">
        <v>4090</v>
      </c>
    </row>
    <row r="579" spans="1:6" hidden="1">
      <c r="A579" t="s">
        <v>4099</v>
      </c>
      <c r="B579" t="s">
        <v>3430</v>
      </c>
      <c r="C579" t="s">
        <v>4109</v>
      </c>
      <c r="D579">
        <v>552</v>
      </c>
      <c r="E579">
        <v>552</v>
      </c>
      <c r="F579" t="s">
        <v>4095</v>
      </c>
    </row>
    <row r="580" spans="1:6" hidden="1">
      <c r="A580" t="s">
        <v>4099</v>
      </c>
      <c r="B580" t="s">
        <v>3411</v>
      </c>
      <c r="C580" t="s">
        <v>4094</v>
      </c>
      <c r="D580">
        <v>78</v>
      </c>
      <c r="E580">
        <v>78</v>
      </c>
      <c r="F580" t="s">
        <v>4095</v>
      </c>
    </row>
    <row r="581" spans="1:6" hidden="1">
      <c r="A581" t="s">
        <v>4099</v>
      </c>
      <c r="B581" t="s">
        <v>2419</v>
      </c>
      <c r="C581" t="s">
        <v>4143</v>
      </c>
      <c r="D581">
        <v>64</v>
      </c>
      <c r="E581">
        <v>64</v>
      </c>
      <c r="F581" t="s">
        <v>4090</v>
      </c>
    </row>
    <row r="582" spans="1:6" hidden="1">
      <c r="A582" t="s">
        <v>4099</v>
      </c>
      <c r="B582" t="s">
        <v>2416</v>
      </c>
      <c r="C582" t="s">
        <v>4112</v>
      </c>
      <c r="D582">
        <v>180</v>
      </c>
      <c r="E582">
        <v>30</v>
      </c>
      <c r="F582" t="s">
        <v>4090</v>
      </c>
    </row>
    <row r="583" spans="1:6" hidden="1">
      <c r="A583" t="s">
        <v>4099</v>
      </c>
      <c r="B583" t="s">
        <v>1533</v>
      </c>
      <c r="C583" t="s">
        <v>4120</v>
      </c>
      <c r="D583">
        <v>44</v>
      </c>
      <c r="E583">
        <v>44</v>
      </c>
      <c r="F583" t="s">
        <v>4090</v>
      </c>
    </row>
    <row r="584" spans="1:6" hidden="1">
      <c r="A584" t="s">
        <v>4099</v>
      </c>
      <c r="B584" t="s">
        <v>1544</v>
      </c>
      <c r="C584" t="s">
        <v>4092</v>
      </c>
      <c r="D584">
        <v>180</v>
      </c>
      <c r="E584">
        <v>180</v>
      </c>
      <c r="F584" t="s">
        <v>4090</v>
      </c>
    </row>
    <row r="585" spans="1:6" hidden="1">
      <c r="A585" t="s">
        <v>4093</v>
      </c>
      <c r="B585" t="s">
        <v>1089</v>
      </c>
      <c r="C585" t="s">
        <v>4105</v>
      </c>
      <c r="D585">
        <v>33</v>
      </c>
      <c r="E585">
        <v>33</v>
      </c>
      <c r="F585" t="s">
        <v>4090</v>
      </c>
    </row>
    <row r="586" spans="1:6" hidden="1">
      <c r="A586" t="s">
        <v>4099</v>
      </c>
      <c r="B586" t="s">
        <v>653</v>
      </c>
      <c r="C586" t="s">
        <v>4112</v>
      </c>
      <c r="D586">
        <v>64</v>
      </c>
      <c r="E586">
        <v>16</v>
      </c>
      <c r="F586" t="s">
        <v>4090</v>
      </c>
    </row>
    <row r="587" spans="1:6" hidden="1">
      <c r="A587" t="s">
        <v>4099</v>
      </c>
      <c r="B587" t="s">
        <v>659</v>
      </c>
      <c r="C587" t="s">
        <v>4165</v>
      </c>
      <c r="D587">
        <v>64</v>
      </c>
      <c r="E587">
        <v>64</v>
      </c>
      <c r="F587" t="s">
        <v>4090</v>
      </c>
    </row>
    <row r="588" spans="1:6" hidden="1">
      <c r="A588" t="s">
        <v>4099</v>
      </c>
      <c r="B588" t="s">
        <v>669</v>
      </c>
      <c r="C588" t="s">
        <v>4109</v>
      </c>
      <c r="D588">
        <v>33</v>
      </c>
      <c r="E588">
        <v>33</v>
      </c>
      <c r="F588" t="s">
        <v>4090</v>
      </c>
    </row>
    <row r="589" spans="1:6" hidden="1">
      <c r="A589" t="s">
        <v>4099</v>
      </c>
      <c r="B589" t="s">
        <v>592</v>
      </c>
      <c r="C589" t="s">
        <v>4162</v>
      </c>
      <c r="D589">
        <v>180</v>
      </c>
      <c r="E589">
        <v>180</v>
      </c>
      <c r="F589" t="s">
        <v>4090</v>
      </c>
    </row>
    <row r="590" spans="1:6" hidden="1">
      <c r="A590" t="s">
        <v>4099</v>
      </c>
      <c r="B590" t="s">
        <v>644</v>
      </c>
      <c r="C590" t="s">
        <v>4089</v>
      </c>
      <c r="D590">
        <v>552</v>
      </c>
      <c r="E590">
        <v>552</v>
      </c>
      <c r="F590" t="s">
        <v>4090</v>
      </c>
    </row>
    <row r="591" spans="1:6" hidden="1">
      <c r="A591" t="s">
        <v>4099</v>
      </c>
      <c r="B591" t="s">
        <v>2556</v>
      </c>
      <c r="C591" t="s">
        <v>4089</v>
      </c>
      <c r="D591">
        <v>64</v>
      </c>
      <c r="E591">
        <v>64</v>
      </c>
      <c r="F591" t="s">
        <v>4090</v>
      </c>
    </row>
    <row r="592" spans="1:6" hidden="1">
      <c r="A592" t="s">
        <v>4099</v>
      </c>
      <c r="B592" t="s">
        <v>2507</v>
      </c>
      <c r="C592" t="s">
        <v>4112</v>
      </c>
      <c r="D592">
        <v>210</v>
      </c>
      <c r="E592">
        <v>30</v>
      </c>
      <c r="F592" t="s">
        <v>4090</v>
      </c>
    </row>
    <row r="593" spans="1:6" hidden="1">
      <c r="A593" t="s">
        <v>4099</v>
      </c>
      <c r="B593" t="s">
        <v>2227</v>
      </c>
      <c r="C593" t="s">
        <v>4141</v>
      </c>
      <c r="D593">
        <v>64</v>
      </c>
      <c r="E593">
        <v>64</v>
      </c>
      <c r="F593" t="s">
        <v>4090</v>
      </c>
    </row>
    <row r="594" spans="1:6" hidden="1">
      <c r="A594" t="s">
        <v>4099</v>
      </c>
      <c r="B594" t="s">
        <v>2213</v>
      </c>
      <c r="C594" t="s">
        <v>4092</v>
      </c>
      <c r="D594">
        <v>44</v>
      </c>
      <c r="E594">
        <v>44</v>
      </c>
      <c r="F594" t="s">
        <v>4090</v>
      </c>
    </row>
    <row r="595" spans="1:6" hidden="1">
      <c r="A595" t="s">
        <v>4099</v>
      </c>
      <c r="B595" t="s">
        <v>2179</v>
      </c>
      <c r="C595" t="s">
        <v>4112</v>
      </c>
      <c r="D595">
        <v>195</v>
      </c>
      <c r="E595">
        <v>30</v>
      </c>
      <c r="F595" t="s">
        <v>4090</v>
      </c>
    </row>
    <row r="596" spans="1:6" hidden="1">
      <c r="A596" t="s">
        <v>4099</v>
      </c>
      <c r="B596" t="s">
        <v>1639</v>
      </c>
      <c r="C596" t="s">
        <v>4162</v>
      </c>
      <c r="D596">
        <v>70</v>
      </c>
      <c r="E596">
        <v>70</v>
      </c>
      <c r="F596" t="s">
        <v>4090</v>
      </c>
    </row>
    <row r="597" spans="1:6" hidden="1">
      <c r="A597" t="s">
        <v>4099</v>
      </c>
      <c r="B597" t="s">
        <v>1657</v>
      </c>
      <c r="C597" t="s">
        <v>4225</v>
      </c>
      <c r="D597">
        <v>24</v>
      </c>
      <c r="E597">
        <v>24</v>
      </c>
      <c r="F597" t="s">
        <v>4090</v>
      </c>
    </row>
    <row r="598" spans="1:6" hidden="1">
      <c r="A598" t="s">
        <v>4093</v>
      </c>
      <c r="B598" t="s">
        <v>3471</v>
      </c>
      <c r="C598" t="s">
        <v>4094</v>
      </c>
      <c r="D598">
        <v>27</v>
      </c>
      <c r="E598">
        <v>27</v>
      </c>
      <c r="F598" t="s">
        <v>4095</v>
      </c>
    </row>
    <row r="599" spans="1:6" hidden="1">
      <c r="A599" t="s">
        <v>4091</v>
      </c>
      <c r="B599" t="s">
        <v>3671</v>
      </c>
      <c r="C599" t="s">
        <v>4109</v>
      </c>
      <c r="D599">
        <v>44</v>
      </c>
      <c r="E599">
        <v>44</v>
      </c>
      <c r="F599" t="s">
        <v>4095</v>
      </c>
    </row>
    <row r="600" spans="1:6" hidden="1">
      <c r="A600" t="s">
        <v>4093</v>
      </c>
      <c r="B600" t="s">
        <v>1539</v>
      </c>
      <c r="C600" t="s">
        <v>4206</v>
      </c>
      <c r="D600">
        <v>44</v>
      </c>
      <c r="E600">
        <v>44</v>
      </c>
      <c r="F600" t="s">
        <v>4090</v>
      </c>
    </row>
    <row r="601" spans="1:6" hidden="1">
      <c r="A601" t="s">
        <v>4093</v>
      </c>
      <c r="B601" t="s">
        <v>1654</v>
      </c>
      <c r="C601" t="s">
        <v>4142</v>
      </c>
      <c r="D601">
        <v>27</v>
      </c>
      <c r="E601">
        <v>27</v>
      </c>
      <c r="F601" t="s">
        <v>4090</v>
      </c>
    </row>
    <row r="602" spans="1:6" hidden="1">
      <c r="A602" t="s">
        <v>4093</v>
      </c>
      <c r="B602" t="s">
        <v>1645</v>
      </c>
      <c r="C602" t="s">
        <v>4092</v>
      </c>
      <c r="D602">
        <v>96</v>
      </c>
      <c r="E602">
        <v>96</v>
      </c>
      <c r="F602" t="s">
        <v>4090</v>
      </c>
    </row>
    <row r="603" spans="1:6" hidden="1">
      <c r="A603" t="s">
        <v>4093</v>
      </c>
      <c r="B603" t="s">
        <v>2189</v>
      </c>
      <c r="C603" t="s">
        <v>4248</v>
      </c>
      <c r="D603">
        <v>30</v>
      </c>
      <c r="E603">
        <v>30</v>
      </c>
      <c r="F603" t="s">
        <v>4090</v>
      </c>
    </row>
    <row r="604" spans="1:6" hidden="1">
      <c r="A604" t="s">
        <v>4093</v>
      </c>
      <c r="B604" t="s">
        <v>2221</v>
      </c>
      <c r="C604" t="s">
        <v>4125</v>
      </c>
      <c r="D604">
        <v>60</v>
      </c>
      <c r="E604">
        <v>60</v>
      </c>
      <c r="F604" t="s">
        <v>4090</v>
      </c>
    </row>
    <row r="605" spans="1:6" hidden="1">
      <c r="A605" t="s">
        <v>4093</v>
      </c>
      <c r="B605" t="s">
        <v>1476</v>
      </c>
      <c r="C605" t="s">
        <v>4230</v>
      </c>
      <c r="D605">
        <v>27</v>
      </c>
      <c r="E605">
        <v>27</v>
      </c>
      <c r="F605" t="s">
        <v>4090</v>
      </c>
    </row>
    <row r="606" spans="1:6" hidden="1">
      <c r="A606" t="s">
        <v>4093</v>
      </c>
      <c r="B606" t="s">
        <v>3072</v>
      </c>
      <c r="C606" t="s">
        <v>4112</v>
      </c>
      <c r="D606">
        <v>27</v>
      </c>
      <c r="E606">
        <v>9</v>
      </c>
      <c r="F606" t="s">
        <v>4090</v>
      </c>
    </row>
    <row r="607" spans="1:6" hidden="1">
      <c r="A607" t="s">
        <v>4093</v>
      </c>
      <c r="B607" t="s">
        <v>3477</v>
      </c>
      <c r="C607" t="s">
        <v>4094</v>
      </c>
      <c r="D607">
        <v>27</v>
      </c>
      <c r="E607">
        <v>27</v>
      </c>
      <c r="F607" t="s">
        <v>4095</v>
      </c>
    </row>
    <row r="608" spans="1:6" hidden="1">
      <c r="A608" t="s">
        <v>4093</v>
      </c>
      <c r="B608" t="s">
        <v>1662</v>
      </c>
      <c r="C608" t="s">
        <v>4142</v>
      </c>
      <c r="D608">
        <v>33</v>
      </c>
      <c r="E608">
        <v>33</v>
      </c>
      <c r="F608" t="s">
        <v>4090</v>
      </c>
    </row>
    <row r="609" spans="1:6" hidden="1">
      <c r="A609" t="s">
        <v>4093</v>
      </c>
      <c r="B609" t="s">
        <v>3637</v>
      </c>
      <c r="C609" t="s">
        <v>4094</v>
      </c>
      <c r="D609">
        <v>27</v>
      </c>
      <c r="E609">
        <v>27</v>
      </c>
      <c r="F609" t="s">
        <v>4095</v>
      </c>
    </row>
    <row r="610" spans="1:6" hidden="1">
      <c r="A610" t="s">
        <v>4093</v>
      </c>
      <c r="B610" t="s">
        <v>3646</v>
      </c>
      <c r="C610" t="s">
        <v>4109</v>
      </c>
      <c r="D610">
        <v>72</v>
      </c>
      <c r="E610">
        <v>72</v>
      </c>
      <c r="F610" t="s">
        <v>4095</v>
      </c>
    </row>
    <row r="611" spans="1:6" hidden="1">
      <c r="A611" t="s">
        <v>4093</v>
      </c>
      <c r="B611" t="s">
        <v>2168</v>
      </c>
      <c r="C611" t="s">
        <v>4248</v>
      </c>
      <c r="D611">
        <v>30</v>
      </c>
      <c r="E611">
        <v>30</v>
      </c>
      <c r="F611" t="s">
        <v>4090</v>
      </c>
    </row>
    <row r="612" spans="1:6" hidden="1">
      <c r="A612" t="s">
        <v>4093</v>
      </c>
      <c r="B612" t="s">
        <v>2224</v>
      </c>
      <c r="C612" t="s">
        <v>4141</v>
      </c>
      <c r="D612">
        <v>96</v>
      </c>
      <c r="E612">
        <v>96</v>
      </c>
      <c r="F612" t="s">
        <v>4090</v>
      </c>
    </row>
    <row r="613" spans="1:6" hidden="1">
      <c r="A613" t="s">
        <v>4091</v>
      </c>
      <c r="B613" t="s">
        <v>1684</v>
      </c>
      <c r="C613" t="s">
        <v>4237</v>
      </c>
      <c r="D613">
        <v>33</v>
      </c>
      <c r="E613">
        <v>33</v>
      </c>
      <c r="F613" t="s">
        <v>4090</v>
      </c>
    </row>
    <row r="614" spans="1:6" hidden="1">
      <c r="A614" t="s">
        <v>4091</v>
      </c>
      <c r="B614" t="s">
        <v>1678</v>
      </c>
      <c r="C614" t="s">
        <v>4162</v>
      </c>
      <c r="D614">
        <v>60</v>
      </c>
      <c r="E614">
        <v>60</v>
      </c>
      <c r="F614" t="s">
        <v>4090</v>
      </c>
    </row>
    <row r="615" spans="1:6" hidden="1">
      <c r="A615" t="s">
        <v>4088</v>
      </c>
      <c r="B615" t="s">
        <v>1770</v>
      </c>
      <c r="C615" t="s">
        <v>4224</v>
      </c>
      <c r="D615">
        <v>24</v>
      </c>
      <c r="E615">
        <v>24</v>
      </c>
      <c r="F615" t="s">
        <v>4090</v>
      </c>
    </row>
    <row r="616" spans="1:6" hidden="1">
      <c r="A616" t="s">
        <v>4088</v>
      </c>
      <c r="B616" t="s">
        <v>1719</v>
      </c>
      <c r="C616" t="s">
        <v>4121</v>
      </c>
      <c r="D616">
        <v>56</v>
      </c>
      <c r="E616">
        <v>56</v>
      </c>
      <c r="F616" t="s">
        <v>4090</v>
      </c>
    </row>
    <row r="617" spans="1:6" hidden="1">
      <c r="A617" t="s">
        <v>4091</v>
      </c>
      <c r="B617" t="s">
        <v>1719</v>
      </c>
      <c r="C617" t="s">
        <v>4121</v>
      </c>
      <c r="D617">
        <v>56</v>
      </c>
      <c r="E617">
        <v>56</v>
      </c>
      <c r="F617" t="s">
        <v>4090</v>
      </c>
    </row>
    <row r="618" spans="1:6" hidden="1">
      <c r="A618" t="s">
        <v>4088</v>
      </c>
      <c r="B618" t="s">
        <v>1704</v>
      </c>
      <c r="C618" t="s">
        <v>4195</v>
      </c>
      <c r="D618">
        <v>30</v>
      </c>
      <c r="E618">
        <v>30</v>
      </c>
      <c r="F618" t="s">
        <v>4090</v>
      </c>
    </row>
    <row r="619" spans="1:6" hidden="1">
      <c r="A619" t="s">
        <v>4091</v>
      </c>
      <c r="B619" t="s">
        <v>1704</v>
      </c>
      <c r="C619" t="s">
        <v>4195</v>
      </c>
      <c r="D619">
        <v>30</v>
      </c>
      <c r="E619">
        <v>30</v>
      </c>
      <c r="F619" t="s">
        <v>4090</v>
      </c>
    </row>
    <row r="620" spans="1:6" hidden="1">
      <c r="A620" t="s">
        <v>4088</v>
      </c>
      <c r="B620" t="s">
        <v>2737</v>
      </c>
      <c r="C620" t="s">
        <v>4190</v>
      </c>
      <c r="D620">
        <v>76</v>
      </c>
      <c r="E620">
        <v>76</v>
      </c>
      <c r="F620" t="s">
        <v>4090</v>
      </c>
    </row>
    <row r="621" spans="1:6" hidden="1">
      <c r="A621" t="s">
        <v>4091</v>
      </c>
      <c r="B621" t="s">
        <v>2737</v>
      </c>
      <c r="C621" t="s">
        <v>4190</v>
      </c>
      <c r="D621">
        <v>76</v>
      </c>
      <c r="E621">
        <v>76</v>
      </c>
      <c r="F621" t="s">
        <v>4090</v>
      </c>
    </row>
    <row r="622" spans="1:6" hidden="1">
      <c r="A622" t="s">
        <v>4088</v>
      </c>
      <c r="B622" t="s">
        <v>2734</v>
      </c>
      <c r="C622" t="s">
        <v>4190</v>
      </c>
      <c r="D622">
        <v>63</v>
      </c>
      <c r="E622">
        <v>63</v>
      </c>
      <c r="F622" t="s">
        <v>4090</v>
      </c>
    </row>
    <row r="623" spans="1:6" hidden="1">
      <c r="A623" t="s">
        <v>4091</v>
      </c>
      <c r="B623" t="s">
        <v>2734</v>
      </c>
      <c r="C623" t="s">
        <v>4190</v>
      </c>
      <c r="D623">
        <v>63</v>
      </c>
      <c r="E623">
        <v>63</v>
      </c>
      <c r="F623" t="s">
        <v>4090</v>
      </c>
    </row>
    <row r="624" spans="1:6" hidden="1">
      <c r="A624" t="s">
        <v>4088</v>
      </c>
      <c r="B624" t="s">
        <v>2731</v>
      </c>
      <c r="C624" t="s">
        <v>4195</v>
      </c>
      <c r="D624">
        <v>30</v>
      </c>
      <c r="E624">
        <v>30</v>
      </c>
      <c r="F624" t="s">
        <v>4090</v>
      </c>
    </row>
    <row r="625" spans="1:6" hidden="1">
      <c r="A625" t="s">
        <v>4091</v>
      </c>
      <c r="B625" t="s">
        <v>2731</v>
      </c>
      <c r="C625" t="s">
        <v>4195</v>
      </c>
      <c r="D625">
        <v>30</v>
      </c>
      <c r="E625">
        <v>30</v>
      </c>
      <c r="F625" t="s">
        <v>4090</v>
      </c>
    </row>
    <row r="626" spans="1:6" hidden="1">
      <c r="A626" t="s">
        <v>4088</v>
      </c>
      <c r="B626" t="s">
        <v>2744</v>
      </c>
      <c r="C626" t="s">
        <v>4195</v>
      </c>
      <c r="D626">
        <v>24</v>
      </c>
      <c r="E626">
        <v>24</v>
      </c>
      <c r="F626" t="s">
        <v>4090</v>
      </c>
    </row>
    <row r="627" spans="1:6" hidden="1">
      <c r="A627" t="s">
        <v>4088</v>
      </c>
      <c r="B627" t="s">
        <v>3938</v>
      </c>
      <c r="C627" t="s">
        <v>4109</v>
      </c>
      <c r="D627">
        <v>24</v>
      </c>
      <c r="E627">
        <v>24</v>
      </c>
      <c r="F627" t="s">
        <v>4095</v>
      </c>
    </row>
    <row r="628" spans="1:6" hidden="1">
      <c r="A628" t="s">
        <v>4088</v>
      </c>
      <c r="B628" t="s">
        <v>3804</v>
      </c>
      <c r="C628" t="s">
        <v>4105</v>
      </c>
      <c r="D628">
        <v>24</v>
      </c>
      <c r="E628">
        <v>24</v>
      </c>
      <c r="F628" t="s">
        <v>4095</v>
      </c>
    </row>
    <row r="629" spans="1:6" hidden="1">
      <c r="A629" t="s">
        <v>4091</v>
      </c>
      <c r="B629" t="s">
        <v>1698</v>
      </c>
      <c r="C629" t="s">
        <v>4201</v>
      </c>
      <c r="D629">
        <v>76</v>
      </c>
      <c r="E629">
        <v>76</v>
      </c>
      <c r="F629" t="s">
        <v>4090</v>
      </c>
    </row>
    <row r="630" spans="1:6" hidden="1">
      <c r="A630" t="s">
        <v>4088</v>
      </c>
      <c r="B630" t="s">
        <v>1698</v>
      </c>
      <c r="C630" t="s">
        <v>4201</v>
      </c>
      <c r="D630">
        <v>76</v>
      </c>
      <c r="E630">
        <v>76</v>
      </c>
      <c r="F630" t="s">
        <v>4090</v>
      </c>
    </row>
    <row r="631" spans="1:6" hidden="1">
      <c r="A631" t="s">
        <v>4099</v>
      </c>
      <c r="B631" t="s">
        <v>3570</v>
      </c>
      <c r="C631" t="s">
        <v>4094</v>
      </c>
      <c r="D631">
        <v>552</v>
      </c>
      <c r="E631">
        <v>552</v>
      </c>
      <c r="F631" t="s">
        <v>4095</v>
      </c>
    </row>
    <row r="632" spans="1:6" hidden="1">
      <c r="A632" t="s">
        <v>4093</v>
      </c>
      <c r="B632" t="s">
        <v>2702</v>
      </c>
      <c r="C632" t="s">
        <v>4187</v>
      </c>
      <c r="D632">
        <v>27</v>
      </c>
      <c r="E632">
        <v>27</v>
      </c>
      <c r="F632" t="s">
        <v>4090</v>
      </c>
    </row>
    <row r="633" spans="1:6" hidden="1">
      <c r="A633" t="s">
        <v>4093</v>
      </c>
      <c r="B633" t="s">
        <v>3668</v>
      </c>
      <c r="C633" t="s">
        <v>4105</v>
      </c>
      <c r="D633">
        <v>27</v>
      </c>
      <c r="E633">
        <v>27</v>
      </c>
      <c r="F633" t="s">
        <v>4095</v>
      </c>
    </row>
    <row r="634" spans="1:6" hidden="1">
      <c r="A634" t="s">
        <v>4093</v>
      </c>
      <c r="B634" t="s">
        <v>3761</v>
      </c>
      <c r="C634" t="s">
        <v>4109</v>
      </c>
      <c r="D634">
        <v>27</v>
      </c>
      <c r="E634">
        <v>27</v>
      </c>
      <c r="F634" t="s">
        <v>4095</v>
      </c>
    </row>
    <row r="635" spans="1:6" hidden="1">
      <c r="A635" t="s">
        <v>4093</v>
      </c>
      <c r="B635" t="s">
        <v>2717</v>
      </c>
      <c r="C635" t="s">
        <v>4132</v>
      </c>
      <c r="D635">
        <v>60</v>
      </c>
      <c r="E635">
        <v>60</v>
      </c>
      <c r="F635" t="s">
        <v>4090</v>
      </c>
    </row>
    <row r="636" spans="1:6" hidden="1">
      <c r="A636" t="s">
        <v>4093</v>
      </c>
      <c r="B636" t="s">
        <v>2201</v>
      </c>
      <c r="C636" t="s">
        <v>4112</v>
      </c>
      <c r="D636">
        <v>462</v>
      </c>
      <c r="E636">
        <v>66</v>
      </c>
      <c r="F636" t="s">
        <v>4090</v>
      </c>
    </row>
    <row r="637" spans="1:6" hidden="1">
      <c r="A637" t="s">
        <v>4093</v>
      </c>
      <c r="B637" t="s">
        <v>3381</v>
      </c>
      <c r="C637" t="s">
        <v>4105</v>
      </c>
      <c r="D637">
        <v>462</v>
      </c>
      <c r="E637">
        <v>462</v>
      </c>
      <c r="F637" t="s">
        <v>4095</v>
      </c>
    </row>
    <row r="638" spans="1:6" hidden="1">
      <c r="A638" t="s">
        <v>4093</v>
      </c>
      <c r="B638" t="s">
        <v>3387</v>
      </c>
      <c r="C638" t="s">
        <v>4105</v>
      </c>
      <c r="D638">
        <v>27</v>
      </c>
      <c r="E638">
        <v>27</v>
      </c>
      <c r="F638" t="s">
        <v>4095</v>
      </c>
    </row>
    <row r="639" spans="1:6" hidden="1">
      <c r="A639" t="s">
        <v>4093</v>
      </c>
      <c r="B639" t="s">
        <v>2410</v>
      </c>
      <c r="C639" t="s">
        <v>4132</v>
      </c>
      <c r="D639">
        <v>27</v>
      </c>
      <c r="E639">
        <v>27</v>
      </c>
      <c r="F639" t="s">
        <v>4090</v>
      </c>
    </row>
    <row r="640" spans="1:6" hidden="1">
      <c r="A640" t="s">
        <v>4093</v>
      </c>
      <c r="B640" t="s">
        <v>817</v>
      </c>
      <c r="C640" t="s">
        <v>4178</v>
      </c>
      <c r="D640">
        <v>36</v>
      </c>
      <c r="E640">
        <v>36</v>
      </c>
      <c r="F640" t="s">
        <v>4090</v>
      </c>
    </row>
    <row r="641" spans="1:6" hidden="1">
      <c r="A641" t="s">
        <v>4114</v>
      </c>
      <c r="B641" t="s">
        <v>958</v>
      </c>
      <c r="C641" t="s">
        <v>4133</v>
      </c>
      <c r="D641">
        <v>96</v>
      </c>
      <c r="E641">
        <v>96</v>
      </c>
      <c r="F641" t="s">
        <v>4090</v>
      </c>
    </row>
    <row r="642" spans="1:6" hidden="1">
      <c r="A642" t="s">
        <v>4093</v>
      </c>
      <c r="B642" t="s">
        <v>958</v>
      </c>
      <c r="C642" t="s">
        <v>4133</v>
      </c>
      <c r="D642">
        <v>96</v>
      </c>
      <c r="E642">
        <v>96</v>
      </c>
      <c r="F642" t="s">
        <v>4090</v>
      </c>
    </row>
    <row r="643" spans="1:6" hidden="1">
      <c r="A643" t="s">
        <v>4093</v>
      </c>
      <c r="B643" t="s">
        <v>931</v>
      </c>
      <c r="C643" t="s">
        <v>4185</v>
      </c>
      <c r="D643">
        <v>27</v>
      </c>
      <c r="E643">
        <v>27</v>
      </c>
      <c r="F643" t="s">
        <v>4090</v>
      </c>
    </row>
    <row r="644" spans="1:6" hidden="1">
      <c r="A644" t="s">
        <v>4093</v>
      </c>
      <c r="B644" t="s">
        <v>777</v>
      </c>
      <c r="C644" t="s">
        <v>4200</v>
      </c>
      <c r="D644">
        <v>462</v>
      </c>
      <c r="E644">
        <v>462</v>
      </c>
      <c r="F644" t="s">
        <v>4090</v>
      </c>
    </row>
    <row r="645" spans="1:6" hidden="1">
      <c r="A645" t="s">
        <v>4093</v>
      </c>
      <c r="B645" t="s">
        <v>2914</v>
      </c>
      <c r="C645" t="s">
        <v>4105</v>
      </c>
      <c r="D645">
        <v>33</v>
      </c>
      <c r="E645">
        <v>33</v>
      </c>
      <c r="F645" t="s">
        <v>4090</v>
      </c>
    </row>
    <row r="646" spans="1:6" hidden="1">
      <c r="A646" t="s">
        <v>4093</v>
      </c>
      <c r="B646" t="s">
        <v>4036</v>
      </c>
      <c r="C646" t="s">
        <v>4105</v>
      </c>
      <c r="D646">
        <v>27</v>
      </c>
      <c r="E646">
        <v>27</v>
      </c>
      <c r="F646" t="s">
        <v>4095</v>
      </c>
    </row>
    <row r="647" spans="1:6" hidden="1">
      <c r="A647" t="s">
        <v>4099</v>
      </c>
      <c r="B647" t="s">
        <v>944</v>
      </c>
      <c r="C647" t="s">
        <v>4156</v>
      </c>
      <c r="D647">
        <v>144</v>
      </c>
      <c r="E647">
        <v>144</v>
      </c>
      <c r="F647" t="s">
        <v>4090</v>
      </c>
    </row>
    <row r="648" spans="1:6" hidden="1">
      <c r="A648" t="s">
        <v>4088</v>
      </c>
      <c r="B648" t="s">
        <v>3087</v>
      </c>
      <c r="C648" t="s">
        <v>4141</v>
      </c>
      <c r="D648">
        <v>63</v>
      </c>
      <c r="E648">
        <v>63</v>
      </c>
      <c r="F648" t="s">
        <v>4090</v>
      </c>
    </row>
    <row r="649" spans="1:6" hidden="1">
      <c r="A649" t="s">
        <v>4088</v>
      </c>
      <c r="B649" t="s">
        <v>3036</v>
      </c>
      <c r="C649" t="s">
        <v>4206</v>
      </c>
      <c r="D649">
        <v>24</v>
      </c>
      <c r="E649">
        <v>24</v>
      </c>
      <c r="F649" t="s">
        <v>4090</v>
      </c>
    </row>
    <row r="650" spans="1:6" hidden="1">
      <c r="A650" t="s">
        <v>4099</v>
      </c>
      <c r="B650" t="s">
        <v>839</v>
      </c>
      <c r="C650" t="s">
        <v>4112</v>
      </c>
      <c r="D650">
        <v>420</v>
      </c>
      <c r="E650">
        <v>60</v>
      </c>
      <c r="F650" t="s">
        <v>4090</v>
      </c>
    </row>
    <row r="651" spans="1:6" hidden="1">
      <c r="A651" t="s">
        <v>4099</v>
      </c>
      <c r="B651" t="s">
        <v>961</v>
      </c>
      <c r="C651" t="s">
        <v>4214</v>
      </c>
      <c r="D651">
        <v>60</v>
      </c>
      <c r="E651">
        <v>60</v>
      </c>
      <c r="F651" t="s">
        <v>4090</v>
      </c>
    </row>
    <row r="652" spans="1:6" hidden="1">
      <c r="A652" t="s">
        <v>4099</v>
      </c>
      <c r="B652" t="s">
        <v>972</v>
      </c>
      <c r="C652" t="s">
        <v>4191</v>
      </c>
      <c r="D652">
        <v>44</v>
      </c>
      <c r="E652">
        <v>44</v>
      </c>
      <c r="F652" t="s">
        <v>4090</v>
      </c>
    </row>
    <row r="653" spans="1:6" hidden="1">
      <c r="A653" t="s">
        <v>4088</v>
      </c>
      <c r="B653" t="s">
        <v>1177</v>
      </c>
      <c r="C653" t="s">
        <v>4141</v>
      </c>
      <c r="D653">
        <v>63</v>
      </c>
      <c r="E653">
        <v>63</v>
      </c>
      <c r="F653" t="s">
        <v>4090</v>
      </c>
    </row>
    <row r="654" spans="1:6" hidden="1">
      <c r="A654" t="s">
        <v>4093</v>
      </c>
      <c r="B654" t="s">
        <v>3378</v>
      </c>
      <c r="C654" t="s">
        <v>4105</v>
      </c>
      <c r="D654">
        <v>528</v>
      </c>
      <c r="E654">
        <v>528</v>
      </c>
      <c r="F654" t="s">
        <v>4095</v>
      </c>
    </row>
    <row r="655" spans="1:6" hidden="1">
      <c r="A655" t="s">
        <v>4093</v>
      </c>
      <c r="B655" t="s">
        <v>3352</v>
      </c>
      <c r="C655" t="s">
        <v>4105</v>
      </c>
      <c r="D655">
        <v>60</v>
      </c>
      <c r="E655">
        <v>60</v>
      </c>
      <c r="F655" t="s">
        <v>4095</v>
      </c>
    </row>
    <row r="656" spans="1:6" hidden="1">
      <c r="A656" t="s">
        <v>4093</v>
      </c>
      <c r="B656" t="s">
        <v>2699</v>
      </c>
      <c r="C656" t="s">
        <v>4112</v>
      </c>
      <c r="D656">
        <v>462</v>
      </c>
      <c r="E656">
        <v>66</v>
      </c>
      <c r="F656" t="s">
        <v>4090</v>
      </c>
    </row>
    <row r="657" spans="1:6" hidden="1">
      <c r="A657" t="s">
        <v>4093</v>
      </c>
      <c r="B657" t="s">
        <v>2714</v>
      </c>
      <c r="C657" t="s">
        <v>4132</v>
      </c>
      <c r="D657">
        <v>60</v>
      </c>
      <c r="E657">
        <v>60</v>
      </c>
      <c r="F657" t="s">
        <v>4090</v>
      </c>
    </row>
    <row r="658" spans="1:6" hidden="1">
      <c r="A658" t="s">
        <v>4093</v>
      </c>
      <c r="B658" t="s">
        <v>3999</v>
      </c>
      <c r="C658" t="s">
        <v>4109</v>
      </c>
      <c r="D658">
        <v>28</v>
      </c>
      <c r="E658">
        <v>28</v>
      </c>
      <c r="F658" t="s">
        <v>4095</v>
      </c>
    </row>
    <row r="659" spans="1:6" hidden="1">
      <c r="A659" t="s">
        <v>4093</v>
      </c>
      <c r="B659" t="s">
        <v>2895</v>
      </c>
      <c r="C659" t="s">
        <v>4108</v>
      </c>
      <c r="D659">
        <v>27</v>
      </c>
      <c r="E659">
        <v>27</v>
      </c>
      <c r="F659" t="s">
        <v>4090</v>
      </c>
    </row>
    <row r="660" spans="1:6" hidden="1">
      <c r="A660" t="s">
        <v>4093</v>
      </c>
      <c r="B660" t="s">
        <v>4033</v>
      </c>
      <c r="C660" t="s">
        <v>4105</v>
      </c>
      <c r="D660">
        <v>28</v>
      </c>
      <c r="E660">
        <v>28</v>
      </c>
      <c r="F660" t="s">
        <v>4095</v>
      </c>
    </row>
    <row r="661" spans="1:6" hidden="1">
      <c r="A661" t="s">
        <v>4093</v>
      </c>
      <c r="B661" t="s">
        <v>3768</v>
      </c>
      <c r="C661" t="s">
        <v>4109</v>
      </c>
      <c r="D661">
        <v>27</v>
      </c>
      <c r="E661">
        <v>27</v>
      </c>
      <c r="F661" t="s">
        <v>4095</v>
      </c>
    </row>
    <row r="662" spans="1:6" hidden="1">
      <c r="A662" t="s">
        <v>4093</v>
      </c>
      <c r="B662" t="s">
        <v>1273</v>
      </c>
      <c r="C662" t="s">
        <v>4197</v>
      </c>
      <c r="D662">
        <v>33</v>
      </c>
      <c r="E662">
        <v>33</v>
      </c>
      <c r="F662" t="s">
        <v>4090</v>
      </c>
    </row>
    <row r="663" spans="1:6" hidden="1">
      <c r="A663" t="s">
        <v>4093</v>
      </c>
      <c r="B663" t="s">
        <v>1287</v>
      </c>
      <c r="C663" t="s">
        <v>4224</v>
      </c>
      <c r="D663">
        <v>60</v>
      </c>
      <c r="E663">
        <v>60</v>
      </c>
      <c r="F663" t="s">
        <v>4090</v>
      </c>
    </row>
    <row r="664" spans="1:6" hidden="1">
      <c r="A664" t="s">
        <v>4088</v>
      </c>
      <c r="B664" t="s">
        <v>2198</v>
      </c>
      <c r="C664" t="s">
        <v>4159</v>
      </c>
      <c r="D664">
        <v>63</v>
      </c>
      <c r="E664">
        <v>63</v>
      </c>
      <c r="F664" t="s">
        <v>4090</v>
      </c>
    </row>
    <row r="665" spans="1:6" hidden="1">
      <c r="A665" t="s">
        <v>4088</v>
      </c>
      <c r="B665" t="s">
        <v>2245</v>
      </c>
      <c r="C665" t="s">
        <v>4206</v>
      </c>
      <c r="D665">
        <v>24</v>
      </c>
      <c r="E665">
        <v>24</v>
      </c>
      <c r="F665" t="s">
        <v>4090</v>
      </c>
    </row>
    <row r="666" spans="1:6" hidden="1">
      <c r="A666" t="s">
        <v>4088</v>
      </c>
      <c r="B666" t="s">
        <v>3800</v>
      </c>
      <c r="C666" t="s">
        <v>4109</v>
      </c>
      <c r="D666">
        <v>24</v>
      </c>
      <c r="E666">
        <v>24</v>
      </c>
      <c r="F666" t="s">
        <v>4095</v>
      </c>
    </row>
    <row r="667" spans="1:6" hidden="1">
      <c r="A667" t="s">
        <v>4088</v>
      </c>
      <c r="B667" t="s">
        <v>1712</v>
      </c>
      <c r="C667" t="s">
        <v>4195</v>
      </c>
      <c r="D667">
        <v>24</v>
      </c>
      <c r="E667">
        <v>24</v>
      </c>
      <c r="F667" t="s">
        <v>4090</v>
      </c>
    </row>
    <row r="668" spans="1:6" hidden="1">
      <c r="A668" t="s">
        <v>4088</v>
      </c>
      <c r="B668" t="s">
        <v>1730</v>
      </c>
      <c r="C668" t="s">
        <v>4148</v>
      </c>
      <c r="D668">
        <v>396</v>
      </c>
      <c r="E668">
        <v>396</v>
      </c>
      <c r="F668" t="s">
        <v>4090</v>
      </c>
    </row>
    <row r="669" spans="1:6" hidden="1">
      <c r="A669" t="s">
        <v>4099</v>
      </c>
      <c r="B669" t="s">
        <v>4012</v>
      </c>
      <c r="C669" t="s">
        <v>4105</v>
      </c>
      <c r="D669">
        <v>44</v>
      </c>
      <c r="E669">
        <v>44</v>
      </c>
      <c r="F669" t="s">
        <v>4095</v>
      </c>
    </row>
    <row r="670" spans="1:6" hidden="1">
      <c r="A670" t="s">
        <v>4093</v>
      </c>
      <c r="B670" t="s">
        <v>1265</v>
      </c>
      <c r="C670" t="s">
        <v>4201</v>
      </c>
      <c r="D670">
        <v>27</v>
      </c>
      <c r="E670">
        <v>27</v>
      </c>
      <c r="F670" t="s">
        <v>4090</v>
      </c>
    </row>
    <row r="671" spans="1:6" hidden="1">
      <c r="A671" t="s">
        <v>4093</v>
      </c>
      <c r="B671" t="s">
        <v>1293</v>
      </c>
      <c r="C671" t="s">
        <v>4224</v>
      </c>
      <c r="D671">
        <v>60</v>
      </c>
      <c r="E671">
        <v>60</v>
      </c>
      <c r="F671" t="s">
        <v>4090</v>
      </c>
    </row>
    <row r="672" spans="1:6" hidden="1">
      <c r="A672" t="s">
        <v>4093</v>
      </c>
      <c r="B672" t="s">
        <v>4030</v>
      </c>
      <c r="C672" t="s">
        <v>4109</v>
      </c>
      <c r="D672">
        <v>28</v>
      </c>
      <c r="E672">
        <v>28</v>
      </c>
      <c r="F672" t="s">
        <v>4095</v>
      </c>
    </row>
    <row r="673" spans="1:6" hidden="1">
      <c r="A673" t="s">
        <v>4093</v>
      </c>
      <c r="B673" t="s">
        <v>3990</v>
      </c>
      <c r="C673" t="s">
        <v>4105</v>
      </c>
      <c r="D673">
        <v>54</v>
      </c>
      <c r="E673">
        <v>54</v>
      </c>
      <c r="F673" t="s">
        <v>4095</v>
      </c>
    </row>
    <row r="674" spans="1:6" hidden="1">
      <c r="A674" t="s">
        <v>4093</v>
      </c>
      <c r="B674" t="s">
        <v>2069</v>
      </c>
      <c r="C674" t="s">
        <v>4101</v>
      </c>
      <c r="D674">
        <v>27</v>
      </c>
      <c r="E674">
        <v>27</v>
      </c>
      <c r="F674" t="s">
        <v>4090</v>
      </c>
    </row>
    <row r="675" spans="1:6" hidden="1">
      <c r="A675" t="s">
        <v>4093</v>
      </c>
      <c r="B675" t="s">
        <v>2087</v>
      </c>
      <c r="C675" t="s">
        <v>4112</v>
      </c>
      <c r="D675">
        <v>60</v>
      </c>
      <c r="E675">
        <v>12</v>
      </c>
      <c r="F675" t="s">
        <v>4090</v>
      </c>
    </row>
    <row r="676" spans="1:6" hidden="1">
      <c r="A676" t="s">
        <v>4099</v>
      </c>
      <c r="B676" t="s">
        <v>2401</v>
      </c>
      <c r="C676" t="s">
        <v>4141</v>
      </c>
      <c r="D676">
        <v>330</v>
      </c>
      <c r="E676">
        <v>330</v>
      </c>
      <c r="F676" t="s">
        <v>4090</v>
      </c>
    </row>
    <row r="677" spans="1:6" hidden="1">
      <c r="A677" t="s">
        <v>4099</v>
      </c>
      <c r="B677" t="s">
        <v>2404</v>
      </c>
      <c r="C677" t="s">
        <v>4127</v>
      </c>
      <c r="D677">
        <v>60</v>
      </c>
      <c r="E677">
        <v>60</v>
      </c>
      <c r="F677" t="s">
        <v>4090</v>
      </c>
    </row>
    <row r="678" spans="1:6" hidden="1">
      <c r="A678" t="s">
        <v>4099</v>
      </c>
      <c r="B678" t="s">
        <v>485</v>
      </c>
      <c r="C678" t="s">
        <v>4156</v>
      </c>
      <c r="D678">
        <v>1350</v>
      </c>
      <c r="E678">
        <v>1350</v>
      </c>
      <c r="F678" t="s">
        <v>4090</v>
      </c>
    </row>
    <row r="679" spans="1:6" hidden="1">
      <c r="A679" t="s">
        <v>4106</v>
      </c>
      <c r="B679" t="s">
        <v>3007</v>
      </c>
      <c r="C679" t="s">
        <v>4232</v>
      </c>
      <c r="D679">
        <v>24</v>
      </c>
      <c r="E679">
        <v>24</v>
      </c>
      <c r="F679" t="s">
        <v>4090</v>
      </c>
    </row>
    <row r="680" spans="1:6" hidden="1">
      <c r="A680" t="s">
        <v>4088</v>
      </c>
      <c r="B680" t="s">
        <v>3007</v>
      </c>
      <c r="C680" t="s">
        <v>4232</v>
      </c>
      <c r="D680">
        <v>24</v>
      </c>
      <c r="E680">
        <v>24</v>
      </c>
      <c r="F680" t="s">
        <v>4090</v>
      </c>
    </row>
    <row r="681" spans="1:6" hidden="1">
      <c r="A681" t="s">
        <v>4093</v>
      </c>
      <c r="B681" t="s">
        <v>2066</v>
      </c>
      <c r="C681" t="s">
        <v>4101</v>
      </c>
      <c r="D681">
        <v>27</v>
      </c>
      <c r="E681">
        <v>27</v>
      </c>
      <c r="F681" t="s">
        <v>4090</v>
      </c>
    </row>
    <row r="682" spans="1:6" hidden="1">
      <c r="A682" t="s">
        <v>4099</v>
      </c>
      <c r="B682" t="s">
        <v>2429</v>
      </c>
      <c r="C682" t="s">
        <v>4141</v>
      </c>
      <c r="D682">
        <v>396</v>
      </c>
      <c r="E682">
        <v>396</v>
      </c>
      <c r="F682" t="s">
        <v>4090</v>
      </c>
    </row>
    <row r="683" spans="1:6" hidden="1">
      <c r="A683" t="s">
        <v>4099</v>
      </c>
      <c r="B683" t="s">
        <v>2398</v>
      </c>
      <c r="C683" t="s">
        <v>4131</v>
      </c>
      <c r="D683">
        <v>60</v>
      </c>
      <c r="E683">
        <v>60</v>
      </c>
      <c r="F683" t="s">
        <v>4090</v>
      </c>
    </row>
    <row r="684" spans="1:6" hidden="1">
      <c r="A684" t="s">
        <v>4091</v>
      </c>
      <c r="B684" t="s">
        <v>2606</v>
      </c>
      <c r="C684" t="s">
        <v>4185</v>
      </c>
      <c r="D684">
        <v>476</v>
      </c>
      <c r="E684">
        <v>476</v>
      </c>
      <c r="F684" t="s">
        <v>4090</v>
      </c>
    </row>
    <row r="685" spans="1:6" hidden="1">
      <c r="A685" t="s">
        <v>4093</v>
      </c>
      <c r="B685" t="s">
        <v>1627</v>
      </c>
      <c r="C685" t="s">
        <v>4132</v>
      </c>
      <c r="D685">
        <v>462</v>
      </c>
      <c r="E685">
        <v>462</v>
      </c>
      <c r="F685" t="s">
        <v>4090</v>
      </c>
    </row>
    <row r="686" spans="1:6" hidden="1">
      <c r="A686" t="s">
        <v>4088</v>
      </c>
      <c r="B686" t="s">
        <v>2173</v>
      </c>
      <c r="C686" t="s">
        <v>4159</v>
      </c>
      <c r="D686">
        <v>88</v>
      </c>
      <c r="E686">
        <v>88</v>
      </c>
      <c r="F686" t="s">
        <v>4090</v>
      </c>
    </row>
    <row r="687" spans="1:6" hidden="1">
      <c r="A687" t="s">
        <v>4088</v>
      </c>
      <c r="B687" t="s">
        <v>3084</v>
      </c>
      <c r="C687" t="s">
        <v>4141</v>
      </c>
      <c r="D687">
        <v>76</v>
      </c>
      <c r="E687">
        <v>76</v>
      </c>
      <c r="F687" t="s">
        <v>4090</v>
      </c>
    </row>
    <row r="688" spans="1:6" hidden="1">
      <c r="A688" t="s">
        <v>4099</v>
      </c>
      <c r="B688" t="s">
        <v>2574</v>
      </c>
      <c r="C688" t="s">
        <v>4225</v>
      </c>
      <c r="D688">
        <v>24</v>
      </c>
      <c r="E688">
        <v>24</v>
      </c>
      <c r="F688" t="s">
        <v>4090</v>
      </c>
    </row>
    <row r="689" spans="1:6" hidden="1">
      <c r="A689" t="s">
        <v>4099</v>
      </c>
      <c r="B689" t="s">
        <v>2561</v>
      </c>
      <c r="C689" t="s">
        <v>4089</v>
      </c>
      <c r="D689">
        <v>64</v>
      </c>
      <c r="E689">
        <v>64</v>
      </c>
      <c r="F689" t="s">
        <v>4090</v>
      </c>
    </row>
    <row r="690" spans="1:6" hidden="1">
      <c r="A690" t="s">
        <v>4099</v>
      </c>
      <c r="B690" t="s">
        <v>2390</v>
      </c>
      <c r="C690" t="s">
        <v>4118</v>
      </c>
      <c r="D690">
        <v>33</v>
      </c>
      <c r="E690">
        <v>33</v>
      </c>
      <c r="F690" t="s">
        <v>4090</v>
      </c>
    </row>
    <row r="691" spans="1:6" hidden="1">
      <c r="A691" t="s">
        <v>4099</v>
      </c>
      <c r="B691" t="s">
        <v>2385</v>
      </c>
      <c r="C691" t="s">
        <v>4143</v>
      </c>
      <c r="D691">
        <v>64</v>
      </c>
      <c r="E691">
        <v>64</v>
      </c>
      <c r="F691" t="s">
        <v>4090</v>
      </c>
    </row>
    <row r="692" spans="1:6" hidden="1">
      <c r="A692" t="s">
        <v>4091</v>
      </c>
      <c r="B692" t="s">
        <v>1648</v>
      </c>
      <c r="C692" t="s">
        <v>4092</v>
      </c>
      <c r="D692">
        <v>96</v>
      </c>
      <c r="E692">
        <v>96</v>
      </c>
      <c r="F692" t="s">
        <v>4090</v>
      </c>
    </row>
    <row r="693" spans="1:6" hidden="1">
      <c r="A693" t="s">
        <v>4091</v>
      </c>
      <c r="B693" t="s">
        <v>1131</v>
      </c>
      <c r="C693" t="s">
        <v>4183</v>
      </c>
      <c r="D693">
        <v>96</v>
      </c>
      <c r="E693">
        <v>96</v>
      </c>
      <c r="F693" t="s">
        <v>4090</v>
      </c>
    </row>
    <row r="694" spans="1:6" hidden="1">
      <c r="A694" t="s">
        <v>4091</v>
      </c>
      <c r="B694" t="s">
        <v>1675</v>
      </c>
      <c r="C694" t="s">
        <v>4237</v>
      </c>
      <c r="D694">
        <v>44</v>
      </c>
      <c r="E694">
        <v>44</v>
      </c>
      <c r="F694" t="s">
        <v>4090</v>
      </c>
    </row>
    <row r="695" spans="1:6" hidden="1">
      <c r="A695" t="s">
        <v>4091</v>
      </c>
      <c r="B695" t="s">
        <v>2153</v>
      </c>
      <c r="C695" t="s">
        <v>4118</v>
      </c>
      <c r="D695">
        <v>144</v>
      </c>
      <c r="E695">
        <v>144</v>
      </c>
      <c r="F695" t="s">
        <v>4090</v>
      </c>
    </row>
    <row r="696" spans="1:6" hidden="1">
      <c r="A696" t="s">
        <v>4091</v>
      </c>
      <c r="B696" t="s">
        <v>1141</v>
      </c>
      <c r="C696" t="s">
        <v>4122</v>
      </c>
      <c r="D696">
        <v>44</v>
      </c>
      <c r="E696">
        <v>44</v>
      </c>
      <c r="F696" t="s">
        <v>4090</v>
      </c>
    </row>
    <row r="697" spans="1:6" hidden="1">
      <c r="A697" t="s">
        <v>4091</v>
      </c>
      <c r="B697" t="s">
        <v>3164</v>
      </c>
      <c r="C697" t="s">
        <v>4143</v>
      </c>
      <c r="D697">
        <v>144</v>
      </c>
      <c r="E697">
        <v>144</v>
      </c>
      <c r="F697" t="s">
        <v>4090</v>
      </c>
    </row>
    <row r="698" spans="1:6" hidden="1">
      <c r="A698" t="s">
        <v>4110</v>
      </c>
      <c r="B698" t="s">
        <v>820</v>
      </c>
      <c r="C698" t="s">
        <v>4098</v>
      </c>
      <c r="D698">
        <v>36</v>
      </c>
      <c r="E698">
        <v>36</v>
      </c>
      <c r="F698" t="s">
        <v>4090</v>
      </c>
    </row>
    <row r="699" spans="1:6" hidden="1">
      <c r="A699" t="s">
        <v>4091</v>
      </c>
      <c r="B699" t="s">
        <v>820</v>
      </c>
      <c r="C699" t="s">
        <v>4098</v>
      </c>
      <c r="D699">
        <v>36</v>
      </c>
      <c r="E699">
        <v>36</v>
      </c>
      <c r="F699" t="s">
        <v>4090</v>
      </c>
    </row>
    <row r="700" spans="1:6" hidden="1">
      <c r="A700" t="s">
        <v>4099</v>
      </c>
      <c r="B700" t="s">
        <v>3923</v>
      </c>
      <c r="C700" t="s">
        <v>4105</v>
      </c>
      <c r="D700">
        <v>180</v>
      </c>
      <c r="E700">
        <v>180</v>
      </c>
      <c r="F700" t="s">
        <v>4095</v>
      </c>
    </row>
    <row r="701" spans="1:6" hidden="1">
      <c r="A701" t="s">
        <v>4088</v>
      </c>
      <c r="B701" t="s">
        <v>3783</v>
      </c>
      <c r="C701" t="s">
        <v>4094</v>
      </c>
      <c r="D701">
        <v>24</v>
      </c>
      <c r="E701">
        <v>24</v>
      </c>
      <c r="F701" t="s">
        <v>4095</v>
      </c>
    </row>
    <row r="702" spans="1:6" hidden="1">
      <c r="A702" t="s">
        <v>4091</v>
      </c>
      <c r="B702" t="s">
        <v>1138</v>
      </c>
      <c r="C702" t="s">
        <v>4167</v>
      </c>
      <c r="D702">
        <v>462</v>
      </c>
      <c r="E702">
        <v>462</v>
      </c>
      <c r="F702" t="s">
        <v>4090</v>
      </c>
    </row>
    <row r="703" spans="1:6" hidden="1">
      <c r="A703" t="s">
        <v>4093</v>
      </c>
      <c r="B703" t="s">
        <v>3665</v>
      </c>
      <c r="C703" t="s">
        <v>4105</v>
      </c>
      <c r="D703">
        <v>27</v>
      </c>
      <c r="E703">
        <v>27</v>
      </c>
      <c r="F703" t="s">
        <v>4095</v>
      </c>
    </row>
    <row r="704" spans="1:6" hidden="1">
      <c r="A704" t="s">
        <v>4110</v>
      </c>
      <c r="B704" t="s">
        <v>2919</v>
      </c>
      <c r="C704" t="s">
        <v>4108</v>
      </c>
      <c r="D704">
        <v>27</v>
      </c>
      <c r="E704">
        <v>27</v>
      </c>
      <c r="F704" t="s">
        <v>4090</v>
      </c>
    </row>
    <row r="705" spans="1:6" hidden="1">
      <c r="A705" t="s">
        <v>4093</v>
      </c>
      <c r="B705" t="s">
        <v>1276</v>
      </c>
      <c r="C705" t="s">
        <v>4197</v>
      </c>
      <c r="D705">
        <v>27</v>
      </c>
      <c r="E705">
        <v>27</v>
      </c>
      <c r="F705" t="s">
        <v>4090</v>
      </c>
    </row>
    <row r="706" spans="1:6" hidden="1">
      <c r="A706" t="s">
        <v>4099</v>
      </c>
      <c r="B706" t="s">
        <v>2382</v>
      </c>
      <c r="C706" t="s">
        <v>4127</v>
      </c>
      <c r="D706">
        <v>60</v>
      </c>
      <c r="E706">
        <v>60</v>
      </c>
      <c r="F706" t="s">
        <v>4090</v>
      </c>
    </row>
    <row r="707" spans="1:6" hidden="1">
      <c r="A707" t="s">
        <v>4099</v>
      </c>
      <c r="B707" t="s">
        <v>2407</v>
      </c>
      <c r="C707" t="s">
        <v>4167</v>
      </c>
      <c r="D707">
        <v>180</v>
      </c>
      <c r="E707">
        <v>180</v>
      </c>
      <c r="F707" t="s">
        <v>4090</v>
      </c>
    </row>
    <row r="708" spans="1:6" hidden="1">
      <c r="A708" t="s">
        <v>4099</v>
      </c>
      <c r="B708" t="s">
        <v>2548</v>
      </c>
      <c r="C708" t="s">
        <v>4112</v>
      </c>
      <c r="D708">
        <v>345</v>
      </c>
      <c r="E708">
        <v>69</v>
      </c>
      <c r="F708" t="s">
        <v>4090</v>
      </c>
    </row>
    <row r="709" spans="1:6" hidden="1">
      <c r="A709" t="s">
        <v>4099</v>
      </c>
      <c r="B709" t="s">
        <v>1105</v>
      </c>
      <c r="C709" t="s">
        <v>4128</v>
      </c>
      <c r="D709">
        <v>24</v>
      </c>
      <c r="E709">
        <v>24</v>
      </c>
      <c r="F709" t="s">
        <v>4090</v>
      </c>
    </row>
    <row r="710" spans="1:6" hidden="1">
      <c r="A710" t="s">
        <v>4099</v>
      </c>
      <c r="B710" t="s">
        <v>1075</v>
      </c>
      <c r="C710" t="s">
        <v>4194</v>
      </c>
      <c r="D710">
        <v>56</v>
      </c>
      <c r="E710">
        <v>56</v>
      </c>
      <c r="F710" t="s">
        <v>4090</v>
      </c>
    </row>
    <row r="711" spans="1:6" hidden="1">
      <c r="A711" t="s">
        <v>4099</v>
      </c>
      <c r="B711" t="s">
        <v>3541</v>
      </c>
      <c r="C711" t="s">
        <v>4109</v>
      </c>
      <c r="D711">
        <v>64</v>
      </c>
      <c r="E711">
        <v>64</v>
      </c>
      <c r="F711" t="s">
        <v>4095</v>
      </c>
    </row>
    <row r="712" spans="1:6" hidden="1">
      <c r="A712" t="s">
        <v>4099</v>
      </c>
      <c r="B712" t="s">
        <v>3567</v>
      </c>
      <c r="C712" t="s">
        <v>4109</v>
      </c>
      <c r="D712">
        <v>552</v>
      </c>
      <c r="E712">
        <v>552</v>
      </c>
      <c r="F712" t="s">
        <v>4095</v>
      </c>
    </row>
    <row r="713" spans="1:6" hidden="1">
      <c r="A713" t="s">
        <v>4099</v>
      </c>
      <c r="B713" t="s">
        <v>2034</v>
      </c>
      <c r="C713" t="s">
        <v>4165</v>
      </c>
      <c r="D713">
        <v>64</v>
      </c>
      <c r="E713">
        <v>64</v>
      </c>
      <c r="F713" t="s">
        <v>4090</v>
      </c>
    </row>
    <row r="714" spans="1:6" hidden="1">
      <c r="A714" t="s">
        <v>4099</v>
      </c>
      <c r="B714" t="s">
        <v>1992</v>
      </c>
      <c r="C714" t="s">
        <v>4228</v>
      </c>
      <c r="D714">
        <v>195</v>
      </c>
      <c r="E714">
        <v>195</v>
      </c>
      <c r="F714" t="s">
        <v>4090</v>
      </c>
    </row>
    <row r="715" spans="1:6" hidden="1">
      <c r="A715" t="s">
        <v>4093</v>
      </c>
      <c r="B715" t="s">
        <v>746</v>
      </c>
      <c r="C715" t="s">
        <v>4109</v>
      </c>
      <c r="D715">
        <v>33</v>
      </c>
      <c r="E715">
        <v>33</v>
      </c>
      <c r="F715" t="s">
        <v>4090</v>
      </c>
    </row>
    <row r="716" spans="1:6" hidden="1">
      <c r="A716" t="s">
        <v>4093</v>
      </c>
      <c r="B716" t="s">
        <v>707</v>
      </c>
      <c r="C716" t="s">
        <v>4185</v>
      </c>
      <c r="D716">
        <v>60</v>
      </c>
      <c r="E716">
        <v>60</v>
      </c>
      <c r="F716" t="s">
        <v>4090</v>
      </c>
    </row>
    <row r="717" spans="1:6" hidden="1">
      <c r="A717" t="s">
        <v>4093</v>
      </c>
      <c r="B717" t="s">
        <v>3857</v>
      </c>
      <c r="C717" t="s">
        <v>4105</v>
      </c>
      <c r="D717">
        <v>27</v>
      </c>
      <c r="E717">
        <v>27</v>
      </c>
      <c r="F717" t="s">
        <v>4095</v>
      </c>
    </row>
    <row r="718" spans="1:6" hidden="1">
      <c r="A718" t="s">
        <v>4093</v>
      </c>
      <c r="B718" t="s">
        <v>3863</v>
      </c>
      <c r="C718" t="s">
        <v>4105</v>
      </c>
      <c r="D718">
        <v>60</v>
      </c>
      <c r="E718">
        <v>60</v>
      </c>
      <c r="F718" t="s">
        <v>4095</v>
      </c>
    </row>
    <row r="719" spans="1:6" hidden="1">
      <c r="A719" t="s">
        <v>4088</v>
      </c>
      <c r="B719" t="s">
        <v>722</v>
      </c>
      <c r="C719" t="s">
        <v>4178</v>
      </c>
      <c r="D719">
        <v>150</v>
      </c>
      <c r="E719">
        <v>150</v>
      </c>
      <c r="F719" t="s">
        <v>4090</v>
      </c>
    </row>
    <row r="720" spans="1:6" hidden="1">
      <c r="A720" t="s">
        <v>4110</v>
      </c>
      <c r="B720" t="s">
        <v>2911</v>
      </c>
      <c r="C720" t="s">
        <v>4140</v>
      </c>
      <c r="D720">
        <v>44</v>
      </c>
      <c r="E720">
        <v>44</v>
      </c>
      <c r="F720" t="s">
        <v>4090</v>
      </c>
    </row>
    <row r="721" spans="1:6" hidden="1">
      <c r="A721" t="s">
        <v>4110</v>
      </c>
      <c r="B721" t="s">
        <v>4039</v>
      </c>
      <c r="C721" t="s">
        <v>4109</v>
      </c>
      <c r="D721">
        <v>44</v>
      </c>
      <c r="E721">
        <v>44</v>
      </c>
      <c r="F721" t="s">
        <v>4095</v>
      </c>
    </row>
    <row r="722" spans="1:6" hidden="1">
      <c r="A722" t="s">
        <v>4093</v>
      </c>
      <c r="B722" t="s">
        <v>2778</v>
      </c>
      <c r="C722" t="s">
        <v>4118</v>
      </c>
      <c r="D722">
        <v>760</v>
      </c>
      <c r="E722">
        <v>760</v>
      </c>
      <c r="F722" t="s">
        <v>4090</v>
      </c>
    </row>
    <row r="723" spans="1:6" hidden="1">
      <c r="A723" t="s">
        <v>4093</v>
      </c>
      <c r="B723" t="s">
        <v>2761</v>
      </c>
      <c r="C723" t="s">
        <v>4118</v>
      </c>
      <c r="D723">
        <v>112</v>
      </c>
      <c r="E723">
        <v>112</v>
      </c>
      <c r="F723" t="s">
        <v>4090</v>
      </c>
    </row>
    <row r="724" spans="1:6" hidden="1">
      <c r="A724" t="s">
        <v>4093</v>
      </c>
      <c r="B724" t="s">
        <v>2781</v>
      </c>
      <c r="C724" t="s">
        <v>4092</v>
      </c>
      <c r="D724">
        <v>33</v>
      </c>
      <c r="E724">
        <v>33</v>
      </c>
      <c r="F724" t="s">
        <v>4090</v>
      </c>
    </row>
    <row r="725" spans="1:6" hidden="1">
      <c r="A725" t="s">
        <v>4093</v>
      </c>
      <c r="B725" t="s">
        <v>2765</v>
      </c>
      <c r="C725" t="s">
        <v>4118</v>
      </c>
      <c r="D725">
        <v>140</v>
      </c>
      <c r="E725">
        <v>140</v>
      </c>
      <c r="F725" t="s">
        <v>4090</v>
      </c>
    </row>
    <row r="726" spans="1:6" hidden="1">
      <c r="A726" t="s">
        <v>4093</v>
      </c>
      <c r="B726" t="s">
        <v>2789</v>
      </c>
      <c r="C726" t="s">
        <v>4109</v>
      </c>
      <c r="D726">
        <v>24</v>
      </c>
      <c r="E726">
        <v>24</v>
      </c>
      <c r="F726" t="s">
        <v>4090</v>
      </c>
    </row>
    <row r="727" spans="1:6" hidden="1">
      <c r="A727" t="s">
        <v>4093</v>
      </c>
      <c r="B727" t="s">
        <v>1642</v>
      </c>
      <c r="C727" t="s">
        <v>4112</v>
      </c>
      <c r="D727">
        <v>462</v>
      </c>
      <c r="E727">
        <v>66</v>
      </c>
      <c r="F727" t="s">
        <v>4090</v>
      </c>
    </row>
    <row r="728" spans="1:6" hidden="1">
      <c r="A728" t="s">
        <v>4093</v>
      </c>
      <c r="B728" t="s">
        <v>3643</v>
      </c>
      <c r="C728" t="s">
        <v>4109</v>
      </c>
      <c r="D728">
        <v>462</v>
      </c>
      <c r="E728">
        <v>462</v>
      </c>
      <c r="F728" t="s">
        <v>4095</v>
      </c>
    </row>
    <row r="729" spans="1:6" hidden="1">
      <c r="A729" t="s">
        <v>4093</v>
      </c>
      <c r="B729" t="s">
        <v>925</v>
      </c>
      <c r="C729" t="s">
        <v>4112</v>
      </c>
      <c r="D729">
        <v>462</v>
      </c>
      <c r="E729">
        <v>66</v>
      </c>
      <c r="F729" t="s">
        <v>4090</v>
      </c>
    </row>
    <row r="730" spans="1:6" hidden="1">
      <c r="A730" t="s">
        <v>4091</v>
      </c>
      <c r="B730" t="s">
        <v>1651</v>
      </c>
      <c r="C730" t="s">
        <v>4141</v>
      </c>
      <c r="D730">
        <v>180</v>
      </c>
      <c r="E730">
        <v>180</v>
      </c>
      <c r="F730" t="s">
        <v>4090</v>
      </c>
    </row>
    <row r="731" spans="1:6" hidden="1">
      <c r="A731" t="s">
        <v>4091</v>
      </c>
      <c r="B731" t="s">
        <v>1135</v>
      </c>
      <c r="C731" t="s">
        <v>4193</v>
      </c>
      <c r="D731">
        <v>180</v>
      </c>
      <c r="E731">
        <v>180</v>
      </c>
      <c r="F731" t="s">
        <v>4090</v>
      </c>
    </row>
    <row r="732" spans="1:6" hidden="1">
      <c r="A732" t="s">
        <v>4093</v>
      </c>
      <c r="B732" t="s">
        <v>1636</v>
      </c>
      <c r="C732" t="s">
        <v>4092</v>
      </c>
      <c r="D732">
        <v>96</v>
      </c>
      <c r="E732">
        <v>96</v>
      </c>
      <c r="F732" t="s">
        <v>4090</v>
      </c>
    </row>
    <row r="733" spans="1:6" hidden="1">
      <c r="A733" t="s">
        <v>4093</v>
      </c>
      <c r="B733" t="s">
        <v>1667</v>
      </c>
      <c r="C733" t="s">
        <v>4142</v>
      </c>
      <c r="D733">
        <v>27</v>
      </c>
      <c r="E733">
        <v>27</v>
      </c>
      <c r="F733" t="s">
        <v>4090</v>
      </c>
    </row>
    <row r="734" spans="1:6" hidden="1">
      <c r="A734" t="s">
        <v>4093</v>
      </c>
      <c r="B734" t="s">
        <v>981</v>
      </c>
      <c r="C734" t="s">
        <v>4236</v>
      </c>
      <c r="D734">
        <v>210</v>
      </c>
      <c r="E734">
        <v>210</v>
      </c>
      <c r="F734" t="s">
        <v>4090</v>
      </c>
    </row>
    <row r="735" spans="1:6" hidden="1">
      <c r="A735" t="s">
        <v>4093</v>
      </c>
      <c r="B735" t="s">
        <v>1833</v>
      </c>
      <c r="C735" t="s">
        <v>4112</v>
      </c>
      <c r="D735">
        <v>96</v>
      </c>
      <c r="E735">
        <v>24</v>
      </c>
      <c r="F735" t="s">
        <v>4090</v>
      </c>
    </row>
    <row r="736" spans="1:6" hidden="1">
      <c r="A736" t="s">
        <v>4093</v>
      </c>
      <c r="B736" t="s">
        <v>1819</v>
      </c>
      <c r="C736" t="s">
        <v>4208</v>
      </c>
      <c r="D736">
        <v>27</v>
      </c>
      <c r="E736">
        <v>27</v>
      </c>
      <c r="F736" t="s">
        <v>4090</v>
      </c>
    </row>
    <row r="737" spans="1:6" hidden="1">
      <c r="A737" t="s">
        <v>4099</v>
      </c>
      <c r="B737" t="s">
        <v>2545</v>
      </c>
      <c r="C737" t="s">
        <v>4112</v>
      </c>
      <c r="D737">
        <v>60</v>
      </c>
      <c r="E737">
        <v>12</v>
      </c>
      <c r="F737" t="s">
        <v>4090</v>
      </c>
    </row>
    <row r="738" spans="1:6" hidden="1">
      <c r="A738" t="s">
        <v>4099</v>
      </c>
      <c r="B738" t="s">
        <v>3213</v>
      </c>
      <c r="C738" t="s">
        <v>4112</v>
      </c>
      <c r="D738">
        <v>330</v>
      </c>
      <c r="E738">
        <v>66</v>
      </c>
      <c r="F738" t="s">
        <v>4090</v>
      </c>
    </row>
    <row r="739" spans="1:6" hidden="1">
      <c r="A739" t="s">
        <v>4099</v>
      </c>
      <c r="B739" t="s">
        <v>3198</v>
      </c>
      <c r="C739" t="s">
        <v>4112</v>
      </c>
      <c r="D739">
        <v>210</v>
      </c>
      <c r="E739">
        <v>30</v>
      </c>
      <c r="F739" t="s">
        <v>4090</v>
      </c>
    </row>
    <row r="740" spans="1:6" hidden="1">
      <c r="A740" t="s">
        <v>4099</v>
      </c>
      <c r="B740" t="s">
        <v>3222</v>
      </c>
      <c r="C740" t="s">
        <v>4112</v>
      </c>
      <c r="D740">
        <v>60</v>
      </c>
      <c r="E740">
        <v>12</v>
      </c>
      <c r="F740" t="s">
        <v>4090</v>
      </c>
    </row>
    <row r="741" spans="1:6" hidden="1">
      <c r="A741" t="s">
        <v>4099</v>
      </c>
      <c r="B741" t="s">
        <v>3167</v>
      </c>
      <c r="C741" t="s">
        <v>4127</v>
      </c>
      <c r="D741">
        <v>396</v>
      </c>
      <c r="E741">
        <v>396</v>
      </c>
      <c r="F741" t="s">
        <v>4090</v>
      </c>
    </row>
    <row r="742" spans="1:6" hidden="1">
      <c r="A742" t="s">
        <v>4099</v>
      </c>
      <c r="B742" t="s">
        <v>3158</v>
      </c>
      <c r="C742" t="s">
        <v>4143</v>
      </c>
      <c r="D742">
        <v>180</v>
      </c>
      <c r="E742">
        <v>180</v>
      </c>
      <c r="F742" t="s">
        <v>4090</v>
      </c>
    </row>
    <row r="743" spans="1:6" hidden="1">
      <c r="A743" t="s">
        <v>4117</v>
      </c>
      <c r="B743" t="s">
        <v>3158</v>
      </c>
      <c r="C743" t="s">
        <v>4143</v>
      </c>
      <c r="D743">
        <v>180</v>
      </c>
      <c r="E743">
        <v>180</v>
      </c>
      <c r="F743" t="s">
        <v>4090</v>
      </c>
    </row>
    <row r="744" spans="1:6" hidden="1">
      <c r="A744" t="s">
        <v>4099</v>
      </c>
      <c r="B744" t="s">
        <v>3170</v>
      </c>
      <c r="C744" t="s">
        <v>4202</v>
      </c>
      <c r="D744">
        <v>96</v>
      </c>
      <c r="E744">
        <v>96</v>
      </c>
      <c r="F744" t="s">
        <v>4090</v>
      </c>
    </row>
    <row r="745" spans="1:6" hidden="1">
      <c r="A745" t="s">
        <v>4117</v>
      </c>
      <c r="B745" t="s">
        <v>3170</v>
      </c>
      <c r="C745" t="s">
        <v>4202</v>
      </c>
      <c r="D745">
        <v>96</v>
      </c>
      <c r="E745">
        <v>96</v>
      </c>
      <c r="F745" t="s">
        <v>4090</v>
      </c>
    </row>
    <row r="746" spans="1:6" hidden="1">
      <c r="A746" t="s">
        <v>4099</v>
      </c>
      <c r="B746" t="s">
        <v>3690</v>
      </c>
      <c r="C746" t="s">
        <v>4109</v>
      </c>
      <c r="D746">
        <v>396</v>
      </c>
      <c r="E746">
        <v>396</v>
      </c>
      <c r="F746" t="s">
        <v>4095</v>
      </c>
    </row>
    <row r="747" spans="1:6" hidden="1">
      <c r="A747" t="s">
        <v>4099</v>
      </c>
      <c r="B747" t="s">
        <v>3820</v>
      </c>
      <c r="C747" t="s">
        <v>4105</v>
      </c>
      <c r="D747">
        <v>44</v>
      </c>
      <c r="E747">
        <v>44</v>
      </c>
      <c r="F747" t="s">
        <v>4095</v>
      </c>
    </row>
    <row r="748" spans="1:6" hidden="1">
      <c r="A748" t="s">
        <v>4099</v>
      </c>
      <c r="B748" t="s">
        <v>3279</v>
      </c>
      <c r="C748" t="s">
        <v>4105</v>
      </c>
      <c r="D748">
        <v>60</v>
      </c>
      <c r="E748">
        <v>60</v>
      </c>
      <c r="F748" t="s">
        <v>4095</v>
      </c>
    </row>
    <row r="749" spans="1:6" hidden="1">
      <c r="A749" t="s">
        <v>4099</v>
      </c>
      <c r="B749" t="s">
        <v>3273</v>
      </c>
      <c r="C749" t="s">
        <v>4109</v>
      </c>
      <c r="D749">
        <v>1200</v>
      </c>
      <c r="E749">
        <v>1200</v>
      </c>
      <c r="F749" t="s">
        <v>4095</v>
      </c>
    </row>
    <row r="750" spans="1:6" hidden="1">
      <c r="A750" t="s">
        <v>4099</v>
      </c>
      <c r="B750" t="s">
        <v>1561</v>
      </c>
      <c r="C750" t="s">
        <v>4132</v>
      </c>
      <c r="D750">
        <v>330</v>
      </c>
      <c r="E750">
        <v>330</v>
      </c>
      <c r="F750" t="s">
        <v>4090</v>
      </c>
    </row>
    <row r="751" spans="1:6" ht="16" thickTop="1">
      <c r="A751" t="s">
        <v>4099</v>
      </c>
      <c r="B751" t="s">
        <v>1564</v>
      </c>
      <c r="C751" t="s">
        <v>4182</v>
      </c>
      <c r="D751">
        <v>44</v>
      </c>
      <c r="E751">
        <v>44</v>
      </c>
      <c r="F751" t="s">
        <v>4090</v>
      </c>
    </row>
    <row r="752" spans="1:6" hidden="1">
      <c r="A752" t="s">
        <v>4099</v>
      </c>
      <c r="B752" t="s">
        <v>1114</v>
      </c>
      <c r="C752" t="s">
        <v>4247</v>
      </c>
      <c r="D752">
        <v>330</v>
      </c>
      <c r="E752">
        <v>330</v>
      </c>
      <c r="F752" t="s">
        <v>4090</v>
      </c>
    </row>
    <row r="753" spans="1:6" hidden="1">
      <c r="A753" t="s">
        <v>4099</v>
      </c>
      <c r="B753" t="s">
        <v>1111</v>
      </c>
      <c r="C753" t="s">
        <v>4194</v>
      </c>
      <c r="D753">
        <v>60</v>
      </c>
      <c r="E753">
        <v>60</v>
      </c>
      <c r="F753" t="s">
        <v>4090</v>
      </c>
    </row>
    <row r="754" spans="1:6" hidden="1">
      <c r="A754" t="s">
        <v>4099</v>
      </c>
      <c r="B754" t="s">
        <v>1108</v>
      </c>
      <c r="C754" t="s">
        <v>4195</v>
      </c>
      <c r="D754">
        <v>44</v>
      </c>
      <c r="E754">
        <v>44</v>
      </c>
      <c r="F754" t="s">
        <v>4090</v>
      </c>
    </row>
    <row r="755" spans="1:6" hidden="1">
      <c r="A755" t="s">
        <v>4093</v>
      </c>
      <c r="B755" t="s">
        <v>3343</v>
      </c>
      <c r="C755" t="s">
        <v>4105</v>
      </c>
      <c r="D755">
        <v>180</v>
      </c>
      <c r="E755">
        <v>180</v>
      </c>
      <c r="F755" t="s">
        <v>4095</v>
      </c>
    </row>
    <row r="756" spans="1:6" hidden="1">
      <c r="A756" t="s">
        <v>4093</v>
      </c>
      <c r="B756" t="s">
        <v>3361</v>
      </c>
      <c r="C756" t="s">
        <v>4105</v>
      </c>
      <c r="D756">
        <v>36</v>
      </c>
      <c r="E756">
        <v>36</v>
      </c>
      <c r="F756" t="s">
        <v>4095</v>
      </c>
    </row>
    <row r="757" spans="1:6" hidden="1">
      <c r="A757" t="s">
        <v>4099</v>
      </c>
      <c r="B757" t="s">
        <v>2144</v>
      </c>
      <c r="C757" t="s">
        <v>4118</v>
      </c>
      <c r="D757">
        <v>330</v>
      </c>
      <c r="E757">
        <v>330</v>
      </c>
      <c r="F757" t="s">
        <v>4090</v>
      </c>
    </row>
    <row r="758" spans="1:6" hidden="1">
      <c r="A758" t="s">
        <v>4099</v>
      </c>
      <c r="B758" t="s">
        <v>2147</v>
      </c>
      <c r="C758" t="s">
        <v>4118</v>
      </c>
      <c r="D758">
        <v>180</v>
      </c>
      <c r="E758">
        <v>180</v>
      </c>
      <c r="F758" t="s">
        <v>4090</v>
      </c>
    </row>
    <row r="759" spans="1:6" hidden="1">
      <c r="A759" t="s">
        <v>4099</v>
      </c>
      <c r="B759" t="s">
        <v>2150</v>
      </c>
      <c r="C759" t="s">
        <v>4141</v>
      </c>
      <c r="D759">
        <v>96</v>
      </c>
      <c r="E759">
        <v>96</v>
      </c>
      <c r="F759" t="s">
        <v>4090</v>
      </c>
    </row>
    <row r="760" spans="1:6" hidden="1">
      <c r="A760" t="s">
        <v>4099</v>
      </c>
      <c r="B760" t="s">
        <v>780</v>
      </c>
      <c r="C760" t="s">
        <v>4200</v>
      </c>
      <c r="D760">
        <v>330</v>
      </c>
      <c r="E760">
        <v>330</v>
      </c>
      <c r="F760" t="s">
        <v>4090</v>
      </c>
    </row>
    <row r="761" spans="1:6" hidden="1">
      <c r="A761" t="s">
        <v>4099</v>
      </c>
      <c r="B761" t="s">
        <v>783</v>
      </c>
      <c r="C761" t="s">
        <v>4220</v>
      </c>
      <c r="D761">
        <v>180</v>
      </c>
      <c r="E761">
        <v>180</v>
      </c>
      <c r="F761" t="s">
        <v>4090</v>
      </c>
    </row>
    <row r="762" spans="1:6" hidden="1">
      <c r="A762" t="s">
        <v>4099</v>
      </c>
      <c r="B762" t="s">
        <v>786</v>
      </c>
      <c r="C762" t="s">
        <v>4100</v>
      </c>
      <c r="D762">
        <v>96</v>
      </c>
      <c r="E762">
        <v>96</v>
      </c>
      <c r="F762" t="s">
        <v>4090</v>
      </c>
    </row>
    <row r="763" spans="1:6" hidden="1">
      <c r="A763" t="s">
        <v>4099</v>
      </c>
      <c r="B763" t="s">
        <v>807</v>
      </c>
      <c r="C763" t="s">
        <v>4249</v>
      </c>
      <c r="D763">
        <v>36</v>
      </c>
      <c r="E763">
        <v>36</v>
      </c>
      <c r="F763" t="s">
        <v>4090</v>
      </c>
    </row>
    <row r="764" spans="1:6" hidden="1">
      <c r="A764" t="s">
        <v>4093</v>
      </c>
      <c r="B764" t="s">
        <v>2163</v>
      </c>
      <c r="C764" t="s">
        <v>4248</v>
      </c>
      <c r="D764">
        <v>30</v>
      </c>
      <c r="E764">
        <v>30</v>
      </c>
      <c r="F764" t="s">
        <v>4090</v>
      </c>
    </row>
    <row r="765" spans="1:6" hidden="1">
      <c r="A765" t="s">
        <v>4099</v>
      </c>
      <c r="B765" t="s">
        <v>1808</v>
      </c>
      <c r="C765" t="s">
        <v>4112</v>
      </c>
      <c r="D765">
        <v>330</v>
      </c>
      <c r="E765">
        <v>66</v>
      </c>
      <c r="F765" t="s">
        <v>4090</v>
      </c>
    </row>
    <row r="766" spans="1:6" hidden="1">
      <c r="A766" t="s">
        <v>4099</v>
      </c>
      <c r="B766" t="s">
        <v>1827</v>
      </c>
      <c r="C766" t="s">
        <v>4190</v>
      </c>
      <c r="D766">
        <v>60</v>
      </c>
      <c r="E766">
        <v>60</v>
      </c>
      <c r="F766" t="s">
        <v>4090</v>
      </c>
    </row>
    <row r="767" spans="1:6" hidden="1">
      <c r="A767" t="s">
        <v>4099</v>
      </c>
      <c r="B767" t="s">
        <v>1021</v>
      </c>
      <c r="C767" t="s">
        <v>4247</v>
      </c>
      <c r="D767">
        <v>330</v>
      </c>
      <c r="E767">
        <v>330</v>
      </c>
      <c r="F767" t="s">
        <v>4090</v>
      </c>
    </row>
    <row r="768" spans="1:6" hidden="1">
      <c r="A768" t="s">
        <v>4099</v>
      </c>
      <c r="B768" t="s">
        <v>1024</v>
      </c>
      <c r="C768" t="s">
        <v>4224</v>
      </c>
      <c r="D768">
        <v>60</v>
      </c>
      <c r="E768">
        <v>60</v>
      </c>
      <c r="F768" t="s">
        <v>4090</v>
      </c>
    </row>
    <row r="769" spans="1:6" hidden="1">
      <c r="A769" t="s">
        <v>4099</v>
      </c>
      <c r="B769" t="s">
        <v>2176</v>
      </c>
      <c r="C769" t="s">
        <v>4148</v>
      </c>
      <c r="D769">
        <v>144</v>
      </c>
      <c r="E769">
        <v>144</v>
      </c>
      <c r="F769" t="s">
        <v>4090</v>
      </c>
    </row>
    <row r="770" spans="1:6" hidden="1">
      <c r="A770" t="s">
        <v>4099</v>
      </c>
      <c r="B770" t="s">
        <v>2218</v>
      </c>
      <c r="C770" t="s">
        <v>4141</v>
      </c>
      <c r="D770">
        <v>60</v>
      </c>
      <c r="E770">
        <v>60</v>
      </c>
      <c r="F770" t="s">
        <v>4090</v>
      </c>
    </row>
    <row r="771" spans="1:6" hidden="1">
      <c r="A771" t="s">
        <v>4099</v>
      </c>
      <c r="B771" t="s">
        <v>2192</v>
      </c>
      <c r="C771" t="s">
        <v>4092</v>
      </c>
      <c r="D771">
        <v>38</v>
      </c>
      <c r="E771">
        <v>38</v>
      </c>
      <c r="F771" t="s">
        <v>4090</v>
      </c>
    </row>
    <row r="772" spans="1:6" hidden="1">
      <c r="A772" t="s">
        <v>4099</v>
      </c>
      <c r="B772" t="s">
        <v>3384</v>
      </c>
      <c r="C772" t="s">
        <v>4105</v>
      </c>
      <c r="D772">
        <v>396</v>
      </c>
      <c r="E772">
        <v>396</v>
      </c>
      <c r="F772" t="s">
        <v>4095</v>
      </c>
    </row>
    <row r="773" spans="1:6" hidden="1">
      <c r="A773" t="s">
        <v>4099</v>
      </c>
      <c r="B773" t="s">
        <v>3336</v>
      </c>
      <c r="C773" t="s">
        <v>4105</v>
      </c>
      <c r="D773">
        <v>144</v>
      </c>
      <c r="E773">
        <v>144</v>
      </c>
      <c r="F773" t="s">
        <v>4095</v>
      </c>
    </row>
    <row r="774" spans="1:6" hidden="1">
      <c r="A774" t="s">
        <v>4099</v>
      </c>
      <c r="B774" t="s">
        <v>3390</v>
      </c>
      <c r="C774" t="s">
        <v>4109</v>
      </c>
      <c r="D774">
        <v>60</v>
      </c>
      <c r="E774">
        <v>60</v>
      </c>
      <c r="F774" t="s">
        <v>4095</v>
      </c>
    </row>
    <row r="775" spans="1:6" hidden="1">
      <c r="A775" t="s">
        <v>4099</v>
      </c>
      <c r="B775" t="s">
        <v>3355</v>
      </c>
      <c r="C775" t="s">
        <v>4094</v>
      </c>
      <c r="D775">
        <v>44</v>
      </c>
      <c r="E775">
        <v>44</v>
      </c>
      <c r="F775" t="s">
        <v>4095</v>
      </c>
    </row>
    <row r="776" spans="1:6" hidden="1">
      <c r="A776" t="s">
        <v>4091</v>
      </c>
      <c r="B776" t="s">
        <v>1171</v>
      </c>
      <c r="C776" t="s">
        <v>4104</v>
      </c>
      <c r="D776">
        <v>180</v>
      </c>
      <c r="E776">
        <v>180</v>
      </c>
      <c r="F776" t="s">
        <v>4090</v>
      </c>
    </row>
    <row r="777" spans="1:6" hidden="1">
      <c r="A777" t="s">
        <v>4099</v>
      </c>
      <c r="B777" t="s">
        <v>1781</v>
      </c>
      <c r="C777" t="s">
        <v>4222</v>
      </c>
      <c r="D777">
        <v>24</v>
      </c>
      <c r="E777">
        <v>24</v>
      </c>
      <c r="F777" t="s">
        <v>4090</v>
      </c>
    </row>
    <row r="778" spans="1:6" hidden="1">
      <c r="A778" t="s">
        <v>4102</v>
      </c>
      <c r="B778" t="s">
        <v>1781</v>
      </c>
      <c r="C778" t="s">
        <v>4222</v>
      </c>
      <c r="D778">
        <v>24</v>
      </c>
      <c r="E778">
        <v>24</v>
      </c>
      <c r="F778" t="s">
        <v>4090</v>
      </c>
    </row>
    <row r="779" spans="1:6" hidden="1">
      <c r="A779" t="s">
        <v>4088</v>
      </c>
      <c r="B779" t="s">
        <v>1781</v>
      </c>
      <c r="C779" t="s">
        <v>4222</v>
      </c>
      <c r="D779">
        <v>24</v>
      </c>
      <c r="E779">
        <v>24</v>
      </c>
      <c r="F779" t="s">
        <v>4090</v>
      </c>
    </row>
    <row r="780" spans="1:6" hidden="1">
      <c r="A780" t="s">
        <v>4091</v>
      </c>
      <c r="B780" t="s">
        <v>1186</v>
      </c>
      <c r="C780" t="s">
        <v>4142</v>
      </c>
      <c r="D780">
        <v>336</v>
      </c>
      <c r="E780">
        <v>336</v>
      </c>
      <c r="F780" t="s">
        <v>4090</v>
      </c>
    </row>
    <row r="781" spans="1:6" hidden="1">
      <c r="A781" t="s">
        <v>4091</v>
      </c>
      <c r="B781" t="s">
        <v>1196</v>
      </c>
      <c r="C781" t="s">
        <v>4126</v>
      </c>
      <c r="D781">
        <v>144</v>
      </c>
      <c r="E781">
        <v>144</v>
      </c>
      <c r="F781" t="s">
        <v>4090</v>
      </c>
    </row>
    <row r="782" spans="1:6" hidden="1">
      <c r="A782" t="s">
        <v>4091</v>
      </c>
      <c r="B782" t="s">
        <v>1224</v>
      </c>
      <c r="C782" t="s">
        <v>4094</v>
      </c>
      <c r="D782">
        <v>60</v>
      </c>
      <c r="E782">
        <v>60</v>
      </c>
      <c r="F782" t="s">
        <v>4090</v>
      </c>
    </row>
    <row r="783" spans="1:6" hidden="1">
      <c r="A783" t="s">
        <v>4088</v>
      </c>
      <c r="B783" t="s">
        <v>122</v>
      </c>
      <c r="C783" t="s">
        <v>4156</v>
      </c>
      <c r="D783">
        <v>30</v>
      </c>
      <c r="E783">
        <v>30</v>
      </c>
      <c r="F783" t="s">
        <v>4090</v>
      </c>
    </row>
    <row r="784" spans="1:6" hidden="1">
      <c r="A784" t="s">
        <v>4088</v>
      </c>
      <c r="B784" t="s">
        <v>138</v>
      </c>
      <c r="C784" t="s">
        <v>4156</v>
      </c>
      <c r="D784">
        <v>56</v>
      </c>
      <c r="E784">
        <v>56</v>
      </c>
      <c r="F784" t="s">
        <v>4090</v>
      </c>
    </row>
    <row r="785" spans="1:6" hidden="1">
      <c r="A785" t="s">
        <v>4102</v>
      </c>
      <c r="B785" t="s">
        <v>3605</v>
      </c>
      <c r="C785" t="s">
        <v>4094</v>
      </c>
      <c r="D785">
        <v>24</v>
      </c>
      <c r="E785">
        <v>24</v>
      </c>
      <c r="F785" t="s">
        <v>4095</v>
      </c>
    </row>
    <row r="786" spans="1:6" hidden="1">
      <c r="A786" t="s">
        <v>4102</v>
      </c>
      <c r="B786" t="s">
        <v>530</v>
      </c>
      <c r="C786" t="s">
        <v>4092</v>
      </c>
      <c r="D786">
        <v>462</v>
      </c>
      <c r="E786">
        <v>462</v>
      </c>
      <c r="F786" t="s">
        <v>4090</v>
      </c>
    </row>
    <row r="787" spans="1:6" hidden="1">
      <c r="A787" t="s">
        <v>4110</v>
      </c>
      <c r="B787" t="s">
        <v>415</v>
      </c>
      <c r="C787" t="s">
        <v>4220</v>
      </c>
      <c r="D787">
        <v>33</v>
      </c>
      <c r="E787">
        <v>33</v>
      </c>
      <c r="F787" t="s">
        <v>4090</v>
      </c>
    </row>
    <row r="788" spans="1:6" hidden="1">
      <c r="A788" t="s">
        <v>4088</v>
      </c>
      <c r="B788" t="s">
        <v>1775</v>
      </c>
      <c r="C788" t="s">
        <v>4112</v>
      </c>
      <c r="D788">
        <v>56</v>
      </c>
      <c r="E788">
        <v>14</v>
      </c>
      <c r="F788" t="s">
        <v>4090</v>
      </c>
    </row>
    <row r="789" spans="1:6" hidden="1">
      <c r="A789" t="s">
        <v>4102</v>
      </c>
      <c r="B789" t="s">
        <v>1775</v>
      </c>
      <c r="C789" t="s">
        <v>4112</v>
      </c>
      <c r="D789">
        <v>56</v>
      </c>
      <c r="E789">
        <v>14</v>
      </c>
      <c r="F789" t="s">
        <v>4090</v>
      </c>
    </row>
    <row r="790" spans="1:6" hidden="1">
      <c r="A790" t="s">
        <v>4102</v>
      </c>
      <c r="B790" t="s">
        <v>1747</v>
      </c>
      <c r="C790" t="s">
        <v>4112</v>
      </c>
      <c r="D790">
        <v>76</v>
      </c>
      <c r="E790">
        <v>19</v>
      </c>
      <c r="F790" t="s">
        <v>4090</v>
      </c>
    </row>
    <row r="791" spans="1:6" hidden="1">
      <c r="A791" t="s">
        <v>4088</v>
      </c>
      <c r="B791" t="s">
        <v>1747</v>
      </c>
      <c r="C791" t="s">
        <v>4112</v>
      </c>
      <c r="D791">
        <v>76</v>
      </c>
      <c r="E791">
        <v>19</v>
      </c>
      <c r="F791" t="s">
        <v>4090</v>
      </c>
    </row>
    <row r="792" spans="1:6" hidden="1">
      <c r="A792" t="s">
        <v>4099</v>
      </c>
      <c r="B792" t="s">
        <v>1672</v>
      </c>
      <c r="C792" t="s">
        <v>4237</v>
      </c>
      <c r="D792">
        <v>44</v>
      </c>
      <c r="E792">
        <v>44</v>
      </c>
      <c r="F792" t="s">
        <v>4090</v>
      </c>
    </row>
    <row r="793" spans="1:6" hidden="1">
      <c r="A793" t="s">
        <v>4091</v>
      </c>
      <c r="B793" t="s">
        <v>3561</v>
      </c>
      <c r="C793" t="s">
        <v>4105</v>
      </c>
      <c r="D793">
        <v>336</v>
      </c>
      <c r="E793">
        <v>336</v>
      </c>
      <c r="F793" t="s">
        <v>4095</v>
      </c>
    </row>
    <row r="794" spans="1:6" hidden="1">
      <c r="A794" t="s">
        <v>4091</v>
      </c>
      <c r="B794" t="s">
        <v>3534</v>
      </c>
      <c r="C794" t="s">
        <v>4105</v>
      </c>
      <c r="D794">
        <v>180</v>
      </c>
      <c r="E794">
        <v>180</v>
      </c>
      <c r="F794" t="s">
        <v>4095</v>
      </c>
    </row>
    <row r="795" spans="1:6" hidden="1">
      <c r="A795" t="s">
        <v>4091</v>
      </c>
      <c r="B795" t="s">
        <v>3414</v>
      </c>
      <c r="C795" t="s">
        <v>4094</v>
      </c>
      <c r="D795">
        <v>96</v>
      </c>
      <c r="E795">
        <v>96</v>
      </c>
      <c r="F795" t="s">
        <v>4095</v>
      </c>
    </row>
    <row r="796" spans="1:6" hidden="1">
      <c r="A796" t="s">
        <v>4091</v>
      </c>
      <c r="B796" t="s">
        <v>3564</v>
      </c>
      <c r="C796" t="s">
        <v>4094</v>
      </c>
      <c r="D796">
        <v>336</v>
      </c>
      <c r="E796">
        <v>336</v>
      </c>
      <c r="F796" t="s">
        <v>4095</v>
      </c>
    </row>
    <row r="797" spans="1:6" hidden="1">
      <c r="A797" t="s">
        <v>4102</v>
      </c>
      <c r="B797" t="s">
        <v>2023</v>
      </c>
      <c r="C797" t="s">
        <v>4131</v>
      </c>
      <c r="D797">
        <v>60</v>
      </c>
      <c r="E797">
        <v>60</v>
      </c>
      <c r="F797" t="s">
        <v>4090</v>
      </c>
    </row>
    <row r="798" spans="1:6" hidden="1">
      <c r="A798" t="s">
        <v>4102</v>
      </c>
      <c r="B798" t="s">
        <v>2007</v>
      </c>
      <c r="C798" t="s">
        <v>4127</v>
      </c>
      <c r="D798">
        <v>24</v>
      </c>
      <c r="E798">
        <v>24</v>
      </c>
      <c r="F798" t="s">
        <v>4090</v>
      </c>
    </row>
    <row r="799" spans="1:6" hidden="1">
      <c r="A799" t="s">
        <v>4102</v>
      </c>
      <c r="B799" t="s">
        <v>2004</v>
      </c>
      <c r="C799" t="s">
        <v>4127</v>
      </c>
      <c r="D799">
        <v>24</v>
      </c>
      <c r="E799">
        <v>24</v>
      </c>
      <c r="F799" t="s">
        <v>4090</v>
      </c>
    </row>
    <row r="800" spans="1:6" hidden="1">
      <c r="A800" t="s">
        <v>4102</v>
      </c>
      <c r="B800" t="s">
        <v>1998</v>
      </c>
      <c r="C800" t="s">
        <v>4127</v>
      </c>
      <c r="D800">
        <v>24</v>
      </c>
      <c r="E800">
        <v>24</v>
      </c>
      <c r="F800" t="s">
        <v>4090</v>
      </c>
    </row>
    <row r="801" spans="1:6" hidden="1">
      <c r="A801" t="s">
        <v>4102</v>
      </c>
      <c r="B801" t="s">
        <v>3913</v>
      </c>
      <c r="C801" t="s">
        <v>4109</v>
      </c>
      <c r="D801">
        <v>24</v>
      </c>
      <c r="E801">
        <v>24</v>
      </c>
      <c r="F801" t="s">
        <v>4095</v>
      </c>
    </row>
    <row r="802" spans="1:6" hidden="1">
      <c r="A802" t="s">
        <v>4099</v>
      </c>
      <c r="B802" t="s">
        <v>3046</v>
      </c>
      <c r="C802" t="s">
        <v>4127</v>
      </c>
      <c r="D802">
        <v>44</v>
      </c>
      <c r="E802">
        <v>44</v>
      </c>
      <c r="F802" t="s">
        <v>4090</v>
      </c>
    </row>
    <row r="803" spans="1:6" hidden="1">
      <c r="A803" t="s">
        <v>4099</v>
      </c>
      <c r="B803" t="s">
        <v>3043</v>
      </c>
      <c r="C803" t="s">
        <v>4127</v>
      </c>
      <c r="D803">
        <v>44</v>
      </c>
      <c r="E803">
        <v>44</v>
      </c>
      <c r="F803" t="s">
        <v>4090</v>
      </c>
    </row>
    <row r="804" spans="1:6" hidden="1">
      <c r="A804" t="s">
        <v>4114</v>
      </c>
      <c r="B804" t="s">
        <v>1451</v>
      </c>
      <c r="C804" t="s">
        <v>4183</v>
      </c>
      <c r="D804">
        <v>60</v>
      </c>
      <c r="E804">
        <v>60</v>
      </c>
      <c r="F804" t="s">
        <v>4090</v>
      </c>
    </row>
    <row r="805" spans="1:6" hidden="1">
      <c r="A805" t="s">
        <v>4099</v>
      </c>
      <c r="B805" t="s">
        <v>1451</v>
      </c>
      <c r="C805" t="s">
        <v>4183</v>
      </c>
      <c r="D805">
        <v>60</v>
      </c>
      <c r="E805">
        <v>60</v>
      </c>
      <c r="F805" t="s">
        <v>4090</v>
      </c>
    </row>
    <row r="806" spans="1:6" hidden="1">
      <c r="A806" t="s">
        <v>4114</v>
      </c>
      <c r="B806" t="s">
        <v>1470</v>
      </c>
      <c r="C806" t="s">
        <v>4195</v>
      </c>
      <c r="D806">
        <v>44</v>
      </c>
      <c r="E806">
        <v>44</v>
      </c>
      <c r="F806" t="s">
        <v>4090</v>
      </c>
    </row>
    <row r="807" spans="1:6" hidden="1">
      <c r="A807" t="s">
        <v>4099</v>
      </c>
      <c r="B807" t="s">
        <v>1470</v>
      </c>
      <c r="C807" t="s">
        <v>4195</v>
      </c>
      <c r="D807">
        <v>44</v>
      </c>
      <c r="E807">
        <v>44</v>
      </c>
      <c r="F807" t="s">
        <v>4090</v>
      </c>
    </row>
    <row r="808" spans="1:6" hidden="1">
      <c r="A808" t="s">
        <v>4099</v>
      </c>
      <c r="B808" t="s">
        <v>285</v>
      </c>
      <c r="C808" t="s">
        <v>4089</v>
      </c>
      <c r="D808">
        <v>44</v>
      </c>
      <c r="E808">
        <v>44</v>
      </c>
      <c r="F808" t="s">
        <v>4090</v>
      </c>
    </row>
    <row r="809" spans="1:6" hidden="1">
      <c r="A809" t="s">
        <v>4091</v>
      </c>
      <c r="B809" t="s">
        <v>161</v>
      </c>
      <c r="C809" t="s">
        <v>4247</v>
      </c>
      <c r="D809">
        <v>144</v>
      </c>
      <c r="E809">
        <v>144</v>
      </c>
      <c r="F809" t="s">
        <v>4090</v>
      </c>
    </row>
    <row r="810" spans="1:6" hidden="1">
      <c r="A810" t="s">
        <v>4091</v>
      </c>
      <c r="B810" t="s">
        <v>176</v>
      </c>
      <c r="C810" t="s">
        <v>4208</v>
      </c>
      <c r="D810">
        <v>60</v>
      </c>
      <c r="E810">
        <v>60</v>
      </c>
      <c r="F810" t="s">
        <v>4090</v>
      </c>
    </row>
    <row r="811" spans="1:6" hidden="1">
      <c r="A811" t="s">
        <v>4091</v>
      </c>
      <c r="B811" t="s">
        <v>240</v>
      </c>
      <c r="C811" t="s">
        <v>4250</v>
      </c>
      <c r="D811">
        <v>33</v>
      </c>
      <c r="E811">
        <v>33</v>
      </c>
      <c r="F811" t="s">
        <v>4090</v>
      </c>
    </row>
    <row r="812" spans="1:6" hidden="1">
      <c r="A812" t="s">
        <v>4091</v>
      </c>
      <c r="B812" t="s">
        <v>233</v>
      </c>
      <c r="C812" t="s">
        <v>4109</v>
      </c>
      <c r="D812">
        <v>33</v>
      </c>
      <c r="E812">
        <v>33</v>
      </c>
      <c r="F812" t="s">
        <v>4090</v>
      </c>
    </row>
    <row r="813" spans="1:6" hidden="1">
      <c r="A813" t="s">
        <v>4091</v>
      </c>
      <c r="B813" t="s">
        <v>428</v>
      </c>
      <c r="C813" t="s">
        <v>4215</v>
      </c>
      <c r="D813">
        <v>144</v>
      </c>
      <c r="E813">
        <v>144</v>
      </c>
      <c r="F813" t="s">
        <v>4090</v>
      </c>
    </row>
    <row r="814" spans="1:6" hidden="1">
      <c r="A814" t="s">
        <v>4091</v>
      </c>
      <c r="B814" t="s">
        <v>433</v>
      </c>
      <c r="C814" t="s">
        <v>4215</v>
      </c>
      <c r="D814">
        <v>60</v>
      </c>
      <c r="E814">
        <v>60</v>
      </c>
      <c r="F814" t="s">
        <v>4090</v>
      </c>
    </row>
    <row r="815" spans="1:6" hidden="1">
      <c r="A815" t="s">
        <v>4091</v>
      </c>
      <c r="B815" t="s">
        <v>456</v>
      </c>
      <c r="C815" t="s">
        <v>4250</v>
      </c>
      <c r="D815">
        <v>33</v>
      </c>
      <c r="E815">
        <v>33</v>
      </c>
      <c r="F815" t="s">
        <v>4090</v>
      </c>
    </row>
    <row r="816" spans="1:6" hidden="1">
      <c r="A816" t="s">
        <v>4091</v>
      </c>
      <c r="B816" t="s">
        <v>451</v>
      </c>
      <c r="C816" t="s">
        <v>4218</v>
      </c>
      <c r="D816">
        <v>33</v>
      </c>
      <c r="E816">
        <v>33</v>
      </c>
      <c r="F816" t="s">
        <v>4090</v>
      </c>
    </row>
    <row r="817" spans="1:6" hidden="1">
      <c r="A817" t="s">
        <v>4110</v>
      </c>
      <c r="B817" t="s">
        <v>389</v>
      </c>
      <c r="C817" t="s">
        <v>4089</v>
      </c>
      <c r="D817">
        <v>33</v>
      </c>
      <c r="E817">
        <v>33</v>
      </c>
      <c r="F817" t="s">
        <v>4090</v>
      </c>
    </row>
    <row r="818" spans="1:6" hidden="1">
      <c r="A818" t="s">
        <v>4110</v>
      </c>
      <c r="B818" t="s">
        <v>349</v>
      </c>
      <c r="C818" t="s">
        <v>4120</v>
      </c>
      <c r="D818">
        <v>96</v>
      </c>
      <c r="E818">
        <v>96</v>
      </c>
      <c r="F818" t="s">
        <v>4090</v>
      </c>
    </row>
    <row r="819" spans="1:6" hidden="1">
      <c r="A819" t="s">
        <v>4093</v>
      </c>
      <c r="B819" t="s">
        <v>2341</v>
      </c>
      <c r="C819" t="s">
        <v>4112</v>
      </c>
      <c r="D819">
        <v>462</v>
      </c>
      <c r="E819">
        <v>66</v>
      </c>
      <c r="F819" t="s">
        <v>4090</v>
      </c>
    </row>
    <row r="820" spans="1:6" hidden="1">
      <c r="A820" t="s">
        <v>4093</v>
      </c>
      <c r="B820" t="s">
        <v>2338</v>
      </c>
      <c r="C820" t="s">
        <v>4148</v>
      </c>
      <c r="D820">
        <v>60</v>
      </c>
      <c r="E820">
        <v>60</v>
      </c>
      <c r="F820" t="s">
        <v>4090</v>
      </c>
    </row>
    <row r="821" spans="1:6" hidden="1">
      <c r="A821" t="s">
        <v>4093</v>
      </c>
      <c r="B821" t="s">
        <v>2357</v>
      </c>
      <c r="C821" t="s">
        <v>4188</v>
      </c>
      <c r="D821">
        <v>33</v>
      </c>
      <c r="E821">
        <v>33</v>
      </c>
      <c r="F821" t="s">
        <v>4090</v>
      </c>
    </row>
    <row r="822" spans="1:6" hidden="1">
      <c r="A822" t="s">
        <v>4093</v>
      </c>
      <c r="B822" t="s">
        <v>3225</v>
      </c>
      <c r="C822" t="s">
        <v>4223</v>
      </c>
      <c r="D822">
        <v>462</v>
      </c>
      <c r="E822">
        <v>462</v>
      </c>
      <c r="F822" t="s">
        <v>4090</v>
      </c>
    </row>
    <row r="823" spans="1:6" hidden="1">
      <c r="A823" t="s">
        <v>4093</v>
      </c>
      <c r="B823" t="s">
        <v>3185</v>
      </c>
      <c r="C823" t="s">
        <v>4108</v>
      </c>
      <c r="D823">
        <v>60</v>
      </c>
      <c r="E823">
        <v>60</v>
      </c>
      <c r="F823" t="s">
        <v>4090</v>
      </c>
    </row>
    <row r="824" spans="1:6" hidden="1">
      <c r="A824" t="s">
        <v>4093</v>
      </c>
      <c r="B824" t="s">
        <v>3228</v>
      </c>
      <c r="C824" t="s">
        <v>4103</v>
      </c>
      <c r="D824">
        <v>33</v>
      </c>
      <c r="E824">
        <v>33</v>
      </c>
      <c r="F824" t="s">
        <v>4090</v>
      </c>
    </row>
    <row r="825" spans="1:6" hidden="1">
      <c r="A825" t="s">
        <v>4093</v>
      </c>
      <c r="B825" t="s">
        <v>1578</v>
      </c>
      <c r="C825" t="s">
        <v>4187</v>
      </c>
      <c r="D825">
        <v>228</v>
      </c>
      <c r="E825">
        <v>228</v>
      </c>
      <c r="F825" t="s">
        <v>4090</v>
      </c>
    </row>
    <row r="826" spans="1:6" hidden="1">
      <c r="A826" t="s">
        <v>4093</v>
      </c>
      <c r="B826" t="s">
        <v>1496</v>
      </c>
      <c r="C826" t="s">
        <v>4141</v>
      </c>
      <c r="D826">
        <v>60</v>
      </c>
      <c r="E826">
        <v>60</v>
      </c>
      <c r="F826" t="s">
        <v>4090</v>
      </c>
    </row>
    <row r="827" spans="1:6" hidden="1">
      <c r="A827" t="s">
        <v>4093</v>
      </c>
      <c r="B827" t="s">
        <v>1467</v>
      </c>
      <c r="C827" t="s">
        <v>4230</v>
      </c>
      <c r="D827">
        <v>27</v>
      </c>
      <c r="E827">
        <v>27</v>
      </c>
      <c r="F827" t="s">
        <v>4090</v>
      </c>
    </row>
    <row r="828" spans="1:6" hidden="1">
      <c r="A828" t="s">
        <v>4106</v>
      </c>
      <c r="B828" t="s">
        <v>3737</v>
      </c>
      <c r="C828" t="s">
        <v>4105</v>
      </c>
      <c r="D828">
        <v>36</v>
      </c>
      <c r="E828">
        <v>36</v>
      </c>
      <c r="F828" t="s">
        <v>4095</v>
      </c>
    </row>
    <row r="829" spans="1:6" hidden="1">
      <c r="A829" t="s">
        <v>4106</v>
      </c>
      <c r="B829" t="s">
        <v>3721</v>
      </c>
      <c r="C829" t="s">
        <v>4105</v>
      </c>
      <c r="D829">
        <v>96</v>
      </c>
      <c r="E829">
        <v>96</v>
      </c>
      <c r="F829" t="s">
        <v>4095</v>
      </c>
    </row>
    <row r="830" spans="1:6" hidden="1">
      <c r="A830" t="s">
        <v>4106</v>
      </c>
      <c r="B830" t="s">
        <v>3734</v>
      </c>
      <c r="C830" t="s">
        <v>4109</v>
      </c>
      <c r="D830">
        <v>36</v>
      </c>
      <c r="E830">
        <v>36</v>
      </c>
      <c r="F830" t="s">
        <v>4095</v>
      </c>
    </row>
    <row r="831" spans="1:6" hidden="1">
      <c r="A831" t="s">
        <v>4088</v>
      </c>
      <c r="B831" t="s">
        <v>3004</v>
      </c>
      <c r="C831" t="s">
        <v>4159</v>
      </c>
      <c r="D831">
        <v>30</v>
      </c>
      <c r="E831">
        <v>30</v>
      </c>
      <c r="F831" t="s">
        <v>4090</v>
      </c>
    </row>
    <row r="832" spans="1:6" hidden="1">
      <c r="A832" t="s">
        <v>4088</v>
      </c>
      <c r="B832" t="s">
        <v>3001</v>
      </c>
      <c r="C832" t="s">
        <v>4112</v>
      </c>
      <c r="D832">
        <v>56</v>
      </c>
      <c r="E832">
        <v>14</v>
      </c>
      <c r="F832" t="s">
        <v>4090</v>
      </c>
    </row>
    <row r="833" spans="1:6" hidden="1">
      <c r="A833" t="s">
        <v>4088</v>
      </c>
      <c r="B833" t="s">
        <v>2991</v>
      </c>
      <c r="C833" t="s">
        <v>4112</v>
      </c>
      <c r="D833">
        <v>76</v>
      </c>
      <c r="E833">
        <v>19</v>
      </c>
      <c r="F833" t="s">
        <v>4090</v>
      </c>
    </row>
    <row r="834" spans="1:6" hidden="1">
      <c r="A834" t="s">
        <v>4119</v>
      </c>
      <c r="B834" t="s">
        <v>1966</v>
      </c>
      <c r="C834" t="s">
        <v>4112</v>
      </c>
      <c r="D834">
        <v>414</v>
      </c>
      <c r="E834">
        <v>69</v>
      </c>
      <c r="F834" t="s">
        <v>4090</v>
      </c>
    </row>
    <row r="835" spans="1:6" hidden="1">
      <c r="A835" t="s">
        <v>4119</v>
      </c>
      <c r="B835" t="s">
        <v>1946</v>
      </c>
      <c r="C835" t="s">
        <v>4247</v>
      </c>
      <c r="D835">
        <v>120</v>
      </c>
      <c r="E835">
        <v>120</v>
      </c>
      <c r="F835" t="s">
        <v>4090</v>
      </c>
    </row>
    <row r="836" spans="1:6" hidden="1">
      <c r="A836" t="s">
        <v>4119</v>
      </c>
      <c r="B836" t="s">
        <v>1961</v>
      </c>
      <c r="C836" t="s">
        <v>4247</v>
      </c>
      <c r="D836">
        <v>60</v>
      </c>
      <c r="E836">
        <v>60</v>
      </c>
      <c r="F836" t="s">
        <v>4090</v>
      </c>
    </row>
    <row r="837" spans="1:6" hidden="1">
      <c r="A837" t="s">
        <v>4119</v>
      </c>
      <c r="B837" t="s">
        <v>1953</v>
      </c>
      <c r="C837" t="s">
        <v>4123</v>
      </c>
      <c r="D837">
        <v>44</v>
      </c>
      <c r="E837">
        <v>44</v>
      </c>
      <c r="F837" t="s">
        <v>4090</v>
      </c>
    </row>
    <row r="838" spans="1:6" hidden="1">
      <c r="A838" t="s">
        <v>4119</v>
      </c>
      <c r="B838" t="s">
        <v>2053</v>
      </c>
      <c r="C838" t="s">
        <v>4112</v>
      </c>
      <c r="D838">
        <v>144</v>
      </c>
      <c r="E838">
        <v>24</v>
      </c>
      <c r="F838" t="s">
        <v>4090</v>
      </c>
    </row>
    <row r="839" spans="1:6" hidden="1">
      <c r="A839" t="s">
        <v>4111</v>
      </c>
      <c r="B839" t="s">
        <v>2053</v>
      </c>
      <c r="C839" t="s">
        <v>4112</v>
      </c>
      <c r="D839">
        <v>144</v>
      </c>
      <c r="E839">
        <v>24</v>
      </c>
      <c r="F839" t="s">
        <v>4090</v>
      </c>
    </row>
    <row r="840" spans="1:6" hidden="1">
      <c r="A840" t="s">
        <v>4119</v>
      </c>
      <c r="B840" t="s">
        <v>2096</v>
      </c>
      <c r="C840" t="s">
        <v>4112</v>
      </c>
      <c r="D840">
        <v>60</v>
      </c>
      <c r="E840">
        <v>15</v>
      </c>
      <c r="F840" t="s">
        <v>4090</v>
      </c>
    </row>
    <row r="841" spans="1:6" hidden="1">
      <c r="A841" t="s">
        <v>4119</v>
      </c>
      <c r="B841" t="s">
        <v>919</v>
      </c>
      <c r="C841" t="s">
        <v>4112</v>
      </c>
      <c r="D841">
        <v>396</v>
      </c>
      <c r="E841">
        <v>66</v>
      </c>
      <c r="F841" t="s">
        <v>4090</v>
      </c>
    </row>
    <row r="842" spans="1:6" hidden="1">
      <c r="A842" t="s">
        <v>4119</v>
      </c>
      <c r="B842" t="s">
        <v>936</v>
      </c>
      <c r="C842" t="s">
        <v>4156</v>
      </c>
      <c r="D842">
        <v>144</v>
      </c>
      <c r="E842">
        <v>144</v>
      </c>
      <c r="F842" t="s">
        <v>4090</v>
      </c>
    </row>
    <row r="843" spans="1:6" hidden="1">
      <c r="A843" t="s">
        <v>4119</v>
      </c>
      <c r="B843" t="s">
        <v>953</v>
      </c>
      <c r="C843" t="s">
        <v>4214</v>
      </c>
      <c r="D843">
        <v>60</v>
      </c>
      <c r="E843">
        <v>60</v>
      </c>
      <c r="F843" t="s">
        <v>4090</v>
      </c>
    </row>
    <row r="844" spans="1:6" hidden="1">
      <c r="A844" t="s">
        <v>4119</v>
      </c>
      <c r="B844" t="s">
        <v>891</v>
      </c>
      <c r="C844" t="s">
        <v>4148</v>
      </c>
      <c r="D844">
        <v>33</v>
      </c>
      <c r="E844">
        <v>33</v>
      </c>
      <c r="F844" t="s">
        <v>4090</v>
      </c>
    </row>
    <row r="845" spans="1:6" hidden="1">
      <c r="A845" t="s">
        <v>4119</v>
      </c>
      <c r="B845" t="s">
        <v>4051</v>
      </c>
      <c r="C845" t="s">
        <v>4109</v>
      </c>
      <c r="D845">
        <v>396</v>
      </c>
      <c r="E845">
        <v>396</v>
      </c>
      <c r="F845" t="s">
        <v>4095</v>
      </c>
    </row>
    <row r="846" spans="1:6" hidden="1">
      <c r="A846" t="s">
        <v>4119</v>
      </c>
      <c r="B846" t="s">
        <v>4060</v>
      </c>
      <c r="C846" t="s">
        <v>4094</v>
      </c>
      <c r="D846">
        <v>144</v>
      </c>
      <c r="E846">
        <v>144</v>
      </c>
      <c r="F846" t="s">
        <v>4095</v>
      </c>
    </row>
    <row r="847" spans="1:6" hidden="1">
      <c r="A847" t="s">
        <v>4119</v>
      </c>
      <c r="B847" t="s">
        <v>3987</v>
      </c>
      <c r="C847" t="s">
        <v>4094</v>
      </c>
      <c r="D847">
        <v>60</v>
      </c>
      <c r="E847">
        <v>60</v>
      </c>
      <c r="F847" t="s">
        <v>4095</v>
      </c>
    </row>
    <row r="848" spans="1:6" hidden="1">
      <c r="A848" t="s">
        <v>4119</v>
      </c>
      <c r="B848" t="s">
        <v>3996</v>
      </c>
      <c r="C848" t="s">
        <v>4094</v>
      </c>
      <c r="D848">
        <v>38</v>
      </c>
      <c r="E848">
        <v>38</v>
      </c>
      <c r="F848" t="s">
        <v>4095</v>
      </c>
    </row>
    <row r="849" spans="1:6" hidden="1">
      <c r="A849" t="s">
        <v>4102</v>
      </c>
      <c r="B849" t="s">
        <v>290</v>
      </c>
      <c r="C849" t="s">
        <v>4237</v>
      </c>
      <c r="D849">
        <v>24</v>
      </c>
      <c r="E849">
        <v>24</v>
      </c>
      <c r="F849" t="s">
        <v>4090</v>
      </c>
    </row>
    <row r="850" spans="1:6" hidden="1">
      <c r="A850" t="s">
        <v>4088</v>
      </c>
      <c r="B850" t="s">
        <v>290</v>
      </c>
      <c r="C850" t="s">
        <v>4237</v>
      </c>
      <c r="D850">
        <v>24</v>
      </c>
      <c r="E850">
        <v>24</v>
      </c>
      <c r="F850" t="s">
        <v>4090</v>
      </c>
    </row>
    <row r="851" spans="1:6" hidden="1">
      <c r="A851" t="s">
        <v>4088</v>
      </c>
      <c r="B851" t="s">
        <v>297</v>
      </c>
      <c r="C851" t="s">
        <v>4121</v>
      </c>
      <c r="D851">
        <v>24</v>
      </c>
      <c r="E851">
        <v>24</v>
      </c>
      <c r="F851" t="s">
        <v>4090</v>
      </c>
    </row>
    <row r="852" spans="1:6" hidden="1">
      <c r="A852" t="s">
        <v>4102</v>
      </c>
      <c r="B852" t="s">
        <v>424</v>
      </c>
      <c r="C852" t="s">
        <v>4089</v>
      </c>
      <c r="D852">
        <v>24</v>
      </c>
      <c r="E852">
        <v>24</v>
      </c>
      <c r="F852" t="s">
        <v>4090</v>
      </c>
    </row>
    <row r="853" spans="1:6" hidden="1">
      <c r="A853" t="s">
        <v>4099</v>
      </c>
      <c r="B853" t="s">
        <v>2752</v>
      </c>
      <c r="C853" t="s">
        <v>4100</v>
      </c>
      <c r="D853">
        <v>24</v>
      </c>
      <c r="E853">
        <v>24</v>
      </c>
      <c r="F853" t="s">
        <v>4090</v>
      </c>
    </row>
    <row r="854" spans="1:6" hidden="1">
      <c r="A854" t="s">
        <v>4102</v>
      </c>
      <c r="B854" t="s">
        <v>2752</v>
      </c>
      <c r="C854" t="s">
        <v>4100</v>
      </c>
      <c r="D854">
        <v>24</v>
      </c>
      <c r="E854">
        <v>24</v>
      </c>
      <c r="F854" t="s">
        <v>4090</v>
      </c>
    </row>
    <row r="855" spans="1:6" hidden="1">
      <c r="A855" t="s">
        <v>4088</v>
      </c>
      <c r="B855" t="s">
        <v>2752</v>
      </c>
      <c r="C855" t="s">
        <v>4100</v>
      </c>
      <c r="D855">
        <v>24</v>
      </c>
      <c r="E855">
        <v>24</v>
      </c>
      <c r="F855" t="s">
        <v>4090</v>
      </c>
    </row>
    <row r="856" spans="1:6" hidden="1">
      <c r="A856" t="s">
        <v>4099</v>
      </c>
      <c r="B856" t="s">
        <v>2727</v>
      </c>
      <c r="C856" t="s">
        <v>4190</v>
      </c>
      <c r="D856">
        <v>63</v>
      </c>
      <c r="E856">
        <v>63</v>
      </c>
      <c r="F856" t="s">
        <v>4090</v>
      </c>
    </row>
    <row r="857" spans="1:6" hidden="1">
      <c r="A857" t="s">
        <v>4102</v>
      </c>
      <c r="B857" t="s">
        <v>2727</v>
      </c>
      <c r="C857" t="s">
        <v>4190</v>
      </c>
      <c r="D857">
        <v>63</v>
      </c>
      <c r="E857">
        <v>63</v>
      </c>
      <c r="F857" t="s">
        <v>4090</v>
      </c>
    </row>
    <row r="858" spans="1:6" hidden="1">
      <c r="A858" t="s">
        <v>4088</v>
      </c>
      <c r="B858" t="s">
        <v>2727</v>
      </c>
      <c r="C858" t="s">
        <v>4190</v>
      </c>
      <c r="D858">
        <v>63</v>
      </c>
      <c r="E858">
        <v>63</v>
      </c>
      <c r="F858" t="s">
        <v>4090</v>
      </c>
    </row>
    <row r="859" spans="1:6" hidden="1">
      <c r="A859" t="s">
        <v>4088</v>
      </c>
      <c r="B859" t="s">
        <v>2741</v>
      </c>
      <c r="C859" t="s">
        <v>4190</v>
      </c>
      <c r="D859">
        <v>86</v>
      </c>
      <c r="E859">
        <v>86</v>
      </c>
      <c r="F859" t="s">
        <v>4090</v>
      </c>
    </row>
    <row r="860" spans="1:6" hidden="1">
      <c r="A860" t="s">
        <v>4099</v>
      </c>
      <c r="B860" t="s">
        <v>3069</v>
      </c>
      <c r="C860" t="s">
        <v>4127</v>
      </c>
      <c r="D860">
        <v>56</v>
      </c>
      <c r="E860">
        <v>56</v>
      </c>
      <c r="F860" t="s">
        <v>4090</v>
      </c>
    </row>
    <row r="861" spans="1:6" hidden="1">
      <c r="A861" t="s">
        <v>4099</v>
      </c>
      <c r="B861" t="s">
        <v>3078</v>
      </c>
      <c r="C861" t="s">
        <v>4112</v>
      </c>
      <c r="D861">
        <v>24</v>
      </c>
      <c r="E861">
        <v>8</v>
      </c>
      <c r="F861" t="s">
        <v>4090</v>
      </c>
    </row>
    <row r="862" spans="1:6" hidden="1">
      <c r="A862" t="s">
        <v>4099</v>
      </c>
      <c r="B862" t="s">
        <v>3264</v>
      </c>
      <c r="C862" t="s">
        <v>4094</v>
      </c>
      <c r="D862">
        <v>24</v>
      </c>
      <c r="E862">
        <v>24</v>
      </c>
      <c r="F862" t="s">
        <v>4095</v>
      </c>
    </row>
    <row r="863" spans="1:6" hidden="1">
      <c r="A863" t="s">
        <v>4099</v>
      </c>
      <c r="B863" t="s">
        <v>3267</v>
      </c>
      <c r="C863" t="s">
        <v>4105</v>
      </c>
      <c r="D863">
        <v>68</v>
      </c>
      <c r="E863">
        <v>68</v>
      </c>
      <c r="F863" t="s">
        <v>4095</v>
      </c>
    </row>
    <row r="864" spans="1:6" hidden="1">
      <c r="A864" t="s">
        <v>4099</v>
      </c>
      <c r="B864" t="s">
        <v>3918</v>
      </c>
      <c r="C864" t="s">
        <v>4109</v>
      </c>
      <c r="D864">
        <v>24</v>
      </c>
      <c r="E864">
        <v>24</v>
      </c>
      <c r="F864" t="s">
        <v>4095</v>
      </c>
    </row>
    <row r="865" spans="1:6" hidden="1">
      <c r="A865" t="s">
        <v>4099</v>
      </c>
      <c r="B865" t="s">
        <v>1318</v>
      </c>
      <c r="C865" t="s">
        <v>4112</v>
      </c>
      <c r="D865">
        <v>24</v>
      </c>
      <c r="E865">
        <v>8</v>
      </c>
      <c r="F865" t="s">
        <v>4090</v>
      </c>
    </row>
    <row r="866" spans="1:6" hidden="1">
      <c r="A866" t="s">
        <v>4107</v>
      </c>
      <c r="B866" t="s">
        <v>1572</v>
      </c>
      <c r="C866" t="s">
        <v>4120</v>
      </c>
      <c r="D866">
        <v>44</v>
      </c>
      <c r="E866">
        <v>44</v>
      </c>
      <c r="F866" t="s">
        <v>4090</v>
      </c>
    </row>
    <row r="867" spans="1:6" hidden="1">
      <c r="A867" t="s">
        <v>4107</v>
      </c>
      <c r="B867" t="s">
        <v>2854</v>
      </c>
      <c r="C867" t="s">
        <v>4197</v>
      </c>
      <c r="D867">
        <v>120</v>
      </c>
      <c r="E867">
        <v>120</v>
      </c>
      <c r="F867" t="s">
        <v>4090</v>
      </c>
    </row>
    <row r="868" spans="1:6" hidden="1">
      <c r="A868" t="s">
        <v>4093</v>
      </c>
      <c r="B868" t="s">
        <v>3896</v>
      </c>
      <c r="C868" t="s">
        <v>4109</v>
      </c>
      <c r="D868">
        <v>36</v>
      </c>
      <c r="E868">
        <v>36</v>
      </c>
      <c r="F868" t="s">
        <v>4095</v>
      </c>
    </row>
    <row r="869" spans="1:6" hidden="1">
      <c r="A869" t="s">
        <v>4093</v>
      </c>
      <c r="B869" t="s">
        <v>1060</v>
      </c>
      <c r="C869" t="s">
        <v>4167</v>
      </c>
      <c r="D869">
        <v>462</v>
      </c>
      <c r="E869">
        <v>462</v>
      </c>
      <c r="F869" t="s">
        <v>4090</v>
      </c>
    </row>
    <row r="870" spans="1:6" hidden="1">
      <c r="A870" t="s">
        <v>4093</v>
      </c>
      <c r="B870" t="s">
        <v>2204</v>
      </c>
      <c r="C870" t="s">
        <v>4112</v>
      </c>
      <c r="D870">
        <v>495</v>
      </c>
      <c r="E870">
        <v>66</v>
      </c>
      <c r="F870" t="s">
        <v>4090</v>
      </c>
    </row>
    <row r="871" spans="1:6" hidden="1">
      <c r="A871" t="s">
        <v>4093</v>
      </c>
      <c r="B871" t="s">
        <v>3375</v>
      </c>
      <c r="C871" t="s">
        <v>4105</v>
      </c>
      <c r="D871">
        <v>495</v>
      </c>
      <c r="E871">
        <v>495</v>
      </c>
      <c r="F871" t="s">
        <v>4095</v>
      </c>
    </row>
    <row r="872" spans="1:6" hidden="1">
      <c r="A872" t="s">
        <v>4093</v>
      </c>
      <c r="B872" t="s">
        <v>1057</v>
      </c>
      <c r="C872" t="s">
        <v>4193</v>
      </c>
      <c r="D872">
        <v>180</v>
      </c>
      <c r="E872">
        <v>180</v>
      </c>
      <c r="F872" t="s">
        <v>4090</v>
      </c>
    </row>
    <row r="873" spans="1:6" hidden="1">
      <c r="A873" t="s">
        <v>4093</v>
      </c>
      <c r="B873" t="s">
        <v>1152</v>
      </c>
      <c r="C873" t="s">
        <v>4129</v>
      </c>
      <c r="D873">
        <v>36</v>
      </c>
      <c r="E873">
        <v>36</v>
      </c>
      <c r="F873" t="s">
        <v>4090</v>
      </c>
    </row>
    <row r="874" spans="1:6" hidden="1">
      <c r="A874" t="s">
        <v>4102</v>
      </c>
      <c r="B874" t="s">
        <v>3728</v>
      </c>
      <c r="C874" t="s">
        <v>4109</v>
      </c>
      <c r="D874">
        <v>24</v>
      </c>
      <c r="E874">
        <v>24</v>
      </c>
      <c r="F874" t="s">
        <v>4095</v>
      </c>
    </row>
    <row r="875" spans="1:6" hidden="1">
      <c r="A875" t="s">
        <v>4088</v>
      </c>
      <c r="B875" t="s">
        <v>3728</v>
      </c>
      <c r="C875" t="s">
        <v>4105</v>
      </c>
      <c r="D875">
        <v>24</v>
      </c>
      <c r="E875">
        <v>24</v>
      </c>
      <c r="F875" t="s">
        <v>4095</v>
      </c>
    </row>
    <row r="876" spans="1:6" hidden="1">
      <c r="A876" t="s">
        <v>4106</v>
      </c>
      <c r="B876" t="s">
        <v>3728</v>
      </c>
      <c r="C876" t="s">
        <v>4109</v>
      </c>
      <c r="D876">
        <v>24</v>
      </c>
      <c r="E876">
        <v>24</v>
      </c>
      <c r="F876" t="s">
        <v>4095</v>
      </c>
    </row>
    <row r="877" spans="1:6" hidden="1">
      <c r="A877" t="s">
        <v>4088</v>
      </c>
      <c r="B877" t="s">
        <v>2432</v>
      </c>
      <c r="C877" t="s">
        <v>4132</v>
      </c>
      <c r="D877">
        <v>24</v>
      </c>
      <c r="E877">
        <v>24</v>
      </c>
      <c r="F877" t="s">
        <v>4090</v>
      </c>
    </row>
    <row r="878" spans="1:6" hidden="1">
      <c r="A878" t="s">
        <v>4088</v>
      </c>
      <c r="B878" t="s">
        <v>3810</v>
      </c>
      <c r="C878" t="s">
        <v>4109</v>
      </c>
      <c r="D878">
        <v>24</v>
      </c>
      <c r="E878">
        <v>24</v>
      </c>
      <c r="F878" t="s">
        <v>4095</v>
      </c>
    </row>
    <row r="879" spans="1:6" hidden="1">
      <c r="A879" t="s">
        <v>4088</v>
      </c>
      <c r="B879" t="s">
        <v>3807</v>
      </c>
      <c r="C879" t="s">
        <v>4109</v>
      </c>
      <c r="D879">
        <v>24</v>
      </c>
      <c r="E879">
        <v>24</v>
      </c>
      <c r="F879" t="s">
        <v>4095</v>
      </c>
    </row>
    <row r="880" spans="1:6" hidden="1">
      <c r="A880" t="s">
        <v>4099</v>
      </c>
      <c r="B880" t="s">
        <v>3725</v>
      </c>
      <c r="C880" t="s">
        <v>4109</v>
      </c>
      <c r="D880">
        <v>24</v>
      </c>
      <c r="E880">
        <v>24</v>
      </c>
      <c r="F880" t="s">
        <v>4095</v>
      </c>
    </row>
    <row r="881" spans="1:6" hidden="1">
      <c r="A881" t="s">
        <v>4099</v>
      </c>
      <c r="B881" t="s">
        <v>3731</v>
      </c>
      <c r="C881" t="s">
        <v>4105</v>
      </c>
      <c r="D881">
        <v>76</v>
      </c>
      <c r="E881">
        <v>76</v>
      </c>
      <c r="F881" t="s">
        <v>4095</v>
      </c>
    </row>
    <row r="882" spans="1:6" hidden="1">
      <c r="A882" t="s">
        <v>4093</v>
      </c>
      <c r="B882" t="s">
        <v>1811</v>
      </c>
      <c r="C882" t="s">
        <v>4112</v>
      </c>
      <c r="D882">
        <v>462</v>
      </c>
      <c r="E882">
        <v>66</v>
      </c>
      <c r="F882" t="s">
        <v>4090</v>
      </c>
    </row>
    <row r="883" spans="1:6" hidden="1">
      <c r="A883" t="s">
        <v>4093</v>
      </c>
      <c r="B883" t="s">
        <v>1015</v>
      </c>
      <c r="C883" t="s">
        <v>4247</v>
      </c>
      <c r="D883">
        <v>462</v>
      </c>
      <c r="E883">
        <v>462</v>
      </c>
      <c r="F883" t="s">
        <v>4090</v>
      </c>
    </row>
    <row r="884" spans="1:6" hidden="1">
      <c r="A884" t="s">
        <v>4093</v>
      </c>
      <c r="B884" t="s">
        <v>2093</v>
      </c>
      <c r="C884" t="s">
        <v>4112</v>
      </c>
      <c r="D884">
        <v>60</v>
      </c>
      <c r="E884">
        <v>12</v>
      </c>
      <c r="F884" t="s">
        <v>4090</v>
      </c>
    </row>
    <row r="885" spans="1:6" hidden="1">
      <c r="A885" t="s">
        <v>4110</v>
      </c>
      <c r="B885" t="s">
        <v>2972</v>
      </c>
      <c r="C885" t="s">
        <v>4195</v>
      </c>
      <c r="D885">
        <v>27</v>
      </c>
      <c r="E885">
        <v>27</v>
      </c>
      <c r="F885" t="s">
        <v>4090</v>
      </c>
    </row>
    <row r="886" spans="1:6" hidden="1">
      <c r="A886" t="s">
        <v>4110</v>
      </c>
      <c r="B886" t="s">
        <v>2953</v>
      </c>
      <c r="C886" t="s">
        <v>4133</v>
      </c>
      <c r="D886">
        <v>96</v>
      </c>
      <c r="E886">
        <v>96</v>
      </c>
      <c r="F886" t="s">
        <v>4090</v>
      </c>
    </row>
    <row r="887" spans="1:6" hidden="1">
      <c r="A887" t="s">
        <v>4093</v>
      </c>
      <c r="B887" t="s">
        <v>2344</v>
      </c>
      <c r="C887" t="s">
        <v>4112</v>
      </c>
      <c r="D887">
        <v>462</v>
      </c>
      <c r="E887">
        <v>66</v>
      </c>
      <c r="F887" t="s">
        <v>4090</v>
      </c>
    </row>
    <row r="888" spans="1:6" hidden="1">
      <c r="A888" t="s">
        <v>4093</v>
      </c>
      <c r="B888" t="s">
        <v>2328</v>
      </c>
      <c r="C888" t="s">
        <v>4112</v>
      </c>
      <c r="D888">
        <v>96</v>
      </c>
      <c r="E888">
        <v>24</v>
      </c>
      <c r="F888" t="s">
        <v>4090</v>
      </c>
    </row>
    <row r="889" spans="1:6" hidden="1">
      <c r="A889" t="s">
        <v>4093</v>
      </c>
      <c r="B889" t="s">
        <v>2335</v>
      </c>
      <c r="C889" t="s">
        <v>4148</v>
      </c>
      <c r="D889">
        <v>30</v>
      </c>
      <c r="E889">
        <v>30</v>
      </c>
      <c r="F889" t="s">
        <v>4090</v>
      </c>
    </row>
    <row r="890" spans="1:6" hidden="1">
      <c r="A890" t="s">
        <v>4093</v>
      </c>
      <c r="B890" t="s">
        <v>3216</v>
      </c>
      <c r="C890" t="s">
        <v>4112</v>
      </c>
      <c r="D890">
        <v>462</v>
      </c>
      <c r="E890">
        <v>66</v>
      </c>
      <c r="F890" t="s">
        <v>4090</v>
      </c>
    </row>
    <row r="891" spans="1:6" hidden="1">
      <c r="A891" t="s">
        <v>4093</v>
      </c>
      <c r="B891" t="s">
        <v>3192</v>
      </c>
      <c r="C891" t="s">
        <v>4112</v>
      </c>
      <c r="D891">
        <v>174</v>
      </c>
      <c r="E891">
        <v>27</v>
      </c>
      <c r="F891" t="s">
        <v>4090</v>
      </c>
    </row>
    <row r="892" spans="1:6" hidden="1">
      <c r="A892" t="s">
        <v>4093</v>
      </c>
      <c r="B892" t="s">
        <v>3219</v>
      </c>
      <c r="C892" t="s">
        <v>4112</v>
      </c>
      <c r="D892">
        <v>36</v>
      </c>
      <c r="E892">
        <v>9</v>
      </c>
      <c r="F892" t="s">
        <v>4090</v>
      </c>
    </row>
    <row r="893" spans="1:6" hidden="1">
      <c r="A893" t="s">
        <v>4099</v>
      </c>
      <c r="B893" t="s">
        <v>169</v>
      </c>
      <c r="C893" t="s">
        <v>4208</v>
      </c>
      <c r="D893">
        <v>75</v>
      </c>
      <c r="E893">
        <v>75</v>
      </c>
      <c r="F893" t="s">
        <v>4090</v>
      </c>
    </row>
    <row r="894" spans="1:6" hidden="1">
      <c r="A894" t="s">
        <v>4099</v>
      </c>
      <c r="B894" t="s">
        <v>939</v>
      </c>
      <c r="C894" t="s">
        <v>4185</v>
      </c>
      <c r="D894">
        <v>44</v>
      </c>
      <c r="E894">
        <v>44</v>
      </c>
      <c r="F894" t="s">
        <v>4090</v>
      </c>
    </row>
    <row r="895" spans="1:6" hidden="1">
      <c r="A895" t="s">
        <v>4099</v>
      </c>
      <c r="B895" t="s">
        <v>975</v>
      </c>
      <c r="C895" t="s">
        <v>4249</v>
      </c>
      <c r="D895">
        <v>33</v>
      </c>
      <c r="E895">
        <v>33</v>
      </c>
      <c r="F895" t="s">
        <v>4090</v>
      </c>
    </row>
    <row r="896" spans="1:6" hidden="1">
      <c r="A896" t="s">
        <v>4099</v>
      </c>
      <c r="B896" t="s">
        <v>1354</v>
      </c>
      <c r="C896" t="s">
        <v>4123</v>
      </c>
      <c r="D896">
        <v>75</v>
      </c>
      <c r="E896">
        <v>75</v>
      </c>
      <c r="F896" t="s">
        <v>4090</v>
      </c>
    </row>
    <row r="897" spans="1:6" hidden="1">
      <c r="A897" t="s">
        <v>4099</v>
      </c>
      <c r="B897" t="s">
        <v>1370</v>
      </c>
      <c r="C897" t="s">
        <v>4124</v>
      </c>
      <c r="D897">
        <v>33</v>
      </c>
      <c r="E897">
        <v>33</v>
      </c>
      <c r="F897" t="s">
        <v>4090</v>
      </c>
    </row>
    <row r="898" spans="1:6" hidden="1">
      <c r="A898" t="s">
        <v>4093</v>
      </c>
      <c r="B898" t="s">
        <v>916</v>
      </c>
      <c r="C898" t="s">
        <v>4112</v>
      </c>
      <c r="D898">
        <v>760</v>
      </c>
      <c r="E898">
        <v>76</v>
      </c>
      <c r="F898" t="s">
        <v>4090</v>
      </c>
    </row>
    <row r="899" spans="1:6" hidden="1">
      <c r="A899" t="s">
        <v>4093</v>
      </c>
      <c r="B899" t="s">
        <v>3369</v>
      </c>
      <c r="C899" t="s">
        <v>4105</v>
      </c>
      <c r="D899">
        <v>760</v>
      </c>
      <c r="E899">
        <v>760</v>
      </c>
      <c r="F899" t="s">
        <v>4095</v>
      </c>
    </row>
    <row r="900" spans="1:6" hidden="1">
      <c r="A900" t="s">
        <v>4093</v>
      </c>
      <c r="B900" t="s">
        <v>858</v>
      </c>
      <c r="C900" t="s">
        <v>4133</v>
      </c>
      <c r="D900">
        <v>198</v>
      </c>
      <c r="E900">
        <v>198</v>
      </c>
      <c r="F900" t="s">
        <v>4090</v>
      </c>
    </row>
    <row r="901" spans="1:6" hidden="1">
      <c r="A901" t="s">
        <v>4093</v>
      </c>
      <c r="B901" t="s">
        <v>3346</v>
      </c>
      <c r="C901" t="s">
        <v>4105</v>
      </c>
      <c r="D901">
        <v>198</v>
      </c>
      <c r="E901">
        <v>198</v>
      </c>
      <c r="F901" t="s">
        <v>4095</v>
      </c>
    </row>
    <row r="902" spans="1:6" hidden="1">
      <c r="A902" t="s">
        <v>4099</v>
      </c>
      <c r="B902" t="s">
        <v>523</v>
      </c>
      <c r="C902" t="s">
        <v>4092</v>
      </c>
      <c r="D902">
        <v>180</v>
      </c>
      <c r="E902">
        <v>180</v>
      </c>
      <c r="F902" t="s">
        <v>4090</v>
      </c>
    </row>
    <row r="903" spans="1:6" hidden="1">
      <c r="A903" t="s">
        <v>4099</v>
      </c>
      <c r="B903" t="s">
        <v>513</v>
      </c>
      <c r="C903" t="s">
        <v>4227</v>
      </c>
      <c r="D903">
        <v>96</v>
      </c>
      <c r="E903">
        <v>96</v>
      </c>
      <c r="F903" t="s">
        <v>4090</v>
      </c>
    </row>
    <row r="904" spans="1:6" hidden="1">
      <c r="A904" t="s">
        <v>4099</v>
      </c>
      <c r="B904" t="s">
        <v>575</v>
      </c>
      <c r="C904" t="s">
        <v>4092</v>
      </c>
      <c r="D904">
        <v>36</v>
      </c>
      <c r="E904">
        <v>36</v>
      </c>
      <c r="F904" t="s">
        <v>4090</v>
      </c>
    </row>
    <row r="905" spans="1:6" hidden="1">
      <c r="A905" t="s">
        <v>4099</v>
      </c>
      <c r="B905" t="s">
        <v>3832</v>
      </c>
      <c r="C905" t="s">
        <v>4109</v>
      </c>
      <c r="D905">
        <v>64</v>
      </c>
      <c r="E905">
        <v>64</v>
      </c>
      <c r="F905" t="s">
        <v>4095</v>
      </c>
    </row>
    <row r="906" spans="1:6" hidden="1">
      <c r="A906" t="s">
        <v>4099</v>
      </c>
      <c r="B906" t="s">
        <v>3349</v>
      </c>
      <c r="C906" t="s">
        <v>4105</v>
      </c>
      <c r="D906">
        <v>210</v>
      </c>
      <c r="E906">
        <v>210</v>
      </c>
      <c r="F906" t="s">
        <v>4095</v>
      </c>
    </row>
    <row r="907" spans="1:6" hidden="1">
      <c r="A907" t="s">
        <v>4099</v>
      </c>
      <c r="B907" t="s">
        <v>3403</v>
      </c>
      <c r="C907" t="s">
        <v>4105</v>
      </c>
      <c r="D907">
        <v>64</v>
      </c>
      <c r="E907">
        <v>64</v>
      </c>
      <c r="F907" t="s">
        <v>4095</v>
      </c>
    </row>
    <row r="908" spans="1:6" hidden="1">
      <c r="A908" t="s">
        <v>4099</v>
      </c>
      <c r="B908" t="s">
        <v>3611</v>
      </c>
      <c r="C908" t="s">
        <v>4105</v>
      </c>
      <c r="D908">
        <v>552</v>
      </c>
      <c r="E908">
        <v>552</v>
      </c>
      <c r="F908" t="s">
        <v>4095</v>
      </c>
    </row>
    <row r="909" spans="1:6" hidden="1">
      <c r="A909" t="s">
        <v>4099</v>
      </c>
      <c r="B909" t="s">
        <v>3608</v>
      </c>
      <c r="C909" t="s">
        <v>4105</v>
      </c>
      <c r="D909">
        <v>180</v>
      </c>
      <c r="E909">
        <v>180</v>
      </c>
      <c r="F909" t="s">
        <v>4095</v>
      </c>
    </row>
    <row r="910" spans="1:6" hidden="1">
      <c r="A910" t="s">
        <v>4099</v>
      </c>
      <c r="B910" t="s">
        <v>536</v>
      </c>
      <c r="C910" t="s">
        <v>4092</v>
      </c>
      <c r="D910">
        <v>180</v>
      </c>
      <c r="E910">
        <v>180</v>
      </c>
      <c r="F910" t="s">
        <v>4090</v>
      </c>
    </row>
    <row r="911" spans="1:6" hidden="1">
      <c r="A911" t="s">
        <v>4099</v>
      </c>
      <c r="B911" t="s">
        <v>3143</v>
      </c>
      <c r="C911" t="s">
        <v>4143</v>
      </c>
      <c r="D911">
        <v>180</v>
      </c>
      <c r="E911">
        <v>180</v>
      </c>
      <c r="F911" t="s">
        <v>4090</v>
      </c>
    </row>
    <row r="912" spans="1:6" hidden="1">
      <c r="A912" t="s">
        <v>4099</v>
      </c>
      <c r="B912" t="s">
        <v>1989</v>
      </c>
      <c r="C912" t="s">
        <v>4228</v>
      </c>
      <c r="D912">
        <v>195</v>
      </c>
      <c r="E912">
        <v>195</v>
      </c>
      <c r="F912" t="s">
        <v>4090</v>
      </c>
    </row>
    <row r="913" spans="1:6" hidden="1">
      <c r="A913" t="s">
        <v>4099</v>
      </c>
      <c r="B913" t="s">
        <v>2029</v>
      </c>
      <c r="C913" t="s">
        <v>4165</v>
      </c>
      <c r="D913">
        <v>64</v>
      </c>
      <c r="E913">
        <v>64</v>
      </c>
      <c r="F913" t="s">
        <v>4090</v>
      </c>
    </row>
    <row r="914" spans="1:6" hidden="1">
      <c r="A914" t="s">
        <v>4099</v>
      </c>
      <c r="B914" t="s">
        <v>2039</v>
      </c>
      <c r="C914" t="s">
        <v>4165</v>
      </c>
      <c r="D914">
        <v>64</v>
      </c>
      <c r="E914">
        <v>64</v>
      </c>
      <c r="F914" t="s">
        <v>4090</v>
      </c>
    </row>
    <row r="915" spans="1:6" hidden="1">
      <c r="A915" t="s">
        <v>4099</v>
      </c>
      <c r="B915" t="s">
        <v>2018</v>
      </c>
      <c r="C915" t="s">
        <v>4194</v>
      </c>
      <c r="D915">
        <v>33</v>
      </c>
      <c r="E915">
        <v>33</v>
      </c>
      <c r="F915" t="s">
        <v>4090</v>
      </c>
    </row>
    <row r="916" spans="1:6" hidden="1">
      <c r="A916" t="s">
        <v>4099</v>
      </c>
      <c r="B916" t="s">
        <v>2047</v>
      </c>
      <c r="C916" t="s">
        <v>4226</v>
      </c>
      <c r="D916">
        <v>28</v>
      </c>
      <c r="E916">
        <v>28</v>
      </c>
      <c r="F916" t="s">
        <v>4090</v>
      </c>
    </row>
    <row r="917" spans="1:6" hidden="1">
      <c r="A917" t="s">
        <v>4099</v>
      </c>
      <c r="B917" t="s">
        <v>2492</v>
      </c>
      <c r="C917" t="s">
        <v>4183</v>
      </c>
      <c r="D917">
        <v>552</v>
      </c>
      <c r="E917">
        <v>552</v>
      </c>
      <c r="F917" t="s">
        <v>4090</v>
      </c>
    </row>
    <row r="918" spans="1:6" hidden="1">
      <c r="A918" t="s">
        <v>4099</v>
      </c>
      <c r="B918" t="s">
        <v>2438</v>
      </c>
      <c r="C918" t="s">
        <v>4167</v>
      </c>
      <c r="D918">
        <v>180</v>
      </c>
      <c r="E918">
        <v>180</v>
      </c>
      <c r="F918" t="s">
        <v>4090</v>
      </c>
    </row>
    <row r="919" spans="1:6" hidden="1">
      <c r="A919" t="s">
        <v>4099</v>
      </c>
      <c r="B919" t="s">
        <v>2487</v>
      </c>
      <c r="C919" t="s">
        <v>4143</v>
      </c>
      <c r="D919">
        <v>64</v>
      </c>
      <c r="E919">
        <v>64</v>
      </c>
      <c r="F919" t="s">
        <v>4090</v>
      </c>
    </row>
    <row r="920" spans="1:6" hidden="1">
      <c r="A920" t="s">
        <v>4099</v>
      </c>
      <c r="B920" t="s">
        <v>2484</v>
      </c>
      <c r="C920" t="s">
        <v>4118</v>
      </c>
      <c r="D920">
        <v>36</v>
      </c>
      <c r="E920">
        <v>36</v>
      </c>
      <c r="F920" t="s">
        <v>4090</v>
      </c>
    </row>
    <row r="921" spans="1:6" hidden="1">
      <c r="A921" t="s">
        <v>4099</v>
      </c>
      <c r="B921" t="s">
        <v>2481</v>
      </c>
      <c r="C921" t="s">
        <v>4112</v>
      </c>
      <c r="D921">
        <v>180</v>
      </c>
      <c r="E921">
        <v>30</v>
      </c>
      <c r="F921" t="s">
        <v>4090</v>
      </c>
    </row>
    <row r="922" spans="1:6" hidden="1">
      <c r="A922" t="s">
        <v>4099</v>
      </c>
      <c r="B922" t="s">
        <v>2478</v>
      </c>
      <c r="C922" t="s">
        <v>4183</v>
      </c>
      <c r="D922">
        <v>96</v>
      </c>
      <c r="E922">
        <v>96</v>
      </c>
      <c r="F922" t="s">
        <v>4090</v>
      </c>
    </row>
    <row r="923" spans="1:6" hidden="1">
      <c r="A923" t="s">
        <v>4099</v>
      </c>
      <c r="B923" t="s">
        <v>2435</v>
      </c>
      <c r="C923" t="s">
        <v>4118</v>
      </c>
      <c r="D923">
        <v>36</v>
      </c>
      <c r="E923">
        <v>36</v>
      </c>
      <c r="F923" t="s">
        <v>4090</v>
      </c>
    </row>
    <row r="924" spans="1:6" hidden="1">
      <c r="A924" t="s">
        <v>4099</v>
      </c>
      <c r="B924" t="s">
        <v>612</v>
      </c>
      <c r="C924" t="s">
        <v>4089</v>
      </c>
      <c r="D924">
        <v>168</v>
      </c>
      <c r="E924">
        <v>168</v>
      </c>
      <c r="F924" t="s">
        <v>4090</v>
      </c>
    </row>
    <row r="925" spans="1:6" hidden="1">
      <c r="A925" t="s">
        <v>4099</v>
      </c>
      <c r="B925" t="s">
        <v>1741</v>
      </c>
      <c r="C925" t="s">
        <v>4126</v>
      </c>
      <c r="D925">
        <v>24</v>
      </c>
      <c r="E925">
        <v>24</v>
      </c>
      <c r="F925" t="s">
        <v>4090</v>
      </c>
    </row>
    <row r="926" spans="1:6" hidden="1">
      <c r="A926" t="s">
        <v>4088</v>
      </c>
      <c r="B926" t="s">
        <v>1741</v>
      </c>
      <c r="C926" t="s">
        <v>4126</v>
      </c>
      <c r="D926">
        <v>24</v>
      </c>
      <c r="E926">
        <v>24</v>
      </c>
      <c r="F926" t="s">
        <v>4090</v>
      </c>
    </row>
    <row r="927" spans="1:6" hidden="1">
      <c r="A927" t="s">
        <v>4102</v>
      </c>
      <c r="B927" t="s">
        <v>1741</v>
      </c>
      <c r="C927" t="s">
        <v>4126</v>
      </c>
      <c r="D927">
        <v>24</v>
      </c>
      <c r="E927">
        <v>24</v>
      </c>
      <c r="F927" t="s">
        <v>4090</v>
      </c>
    </row>
    <row r="928" spans="1:6" hidden="1">
      <c r="A928" t="s">
        <v>4102</v>
      </c>
      <c r="B928" t="s">
        <v>1715</v>
      </c>
      <c r="C928" t="s">
        <v>4140</v>
      </c>
      <c r="D928">
        <v>56</v>
      </c>
      <c r="E928">
        <v>56</v>
      </c>
      <c r="F928" t="s">
        <v>4090</v>
      </c>
    </row>
    <row r="929" spans="1:6" hidden="1">
      <c r="A929" t="s">
        <v>4088</v>
      </c>
      <c r="B929" t="s">
        <v>1715</v>
      </c>
      <c r="C929" t="s">
        <v>4140</v>
      </c>
      <c r="D929">
        <v>56</v>
      </c>
      <c r="E929">
        <v>56</v>
      </c>
      <c r="F929" t="s">
        <v>4090</v>
      </c>
    </row>
    <row r="930" spans="1:6" hidden="1">
      <c r="A930" t="s">
        <v>4088</v>
      </c>
      <c r="B930" t="s">
        <v>1722</v>
      </c>
      <c r="C930" t="s">
        <v>4201</v>
      </c>
      <c r="D930">
        <v>76</v>
      </c>
      <c r="E930">
        <v>76</v>
      </c>
      <c r="F930" t="s">
        <v>4090</v>
      </c>
    </row>
    <row r="931" spans="1:6" hidden="1">
      <c r="A931" t="s">
        <v>4088</v>
      </c>
      <c r="B931" t="s">
        <v>1727</v>
      </c>
      <c r="C931" t="s">
        <v>4148</v>
      </c>
      <c r="D931">
        <v>396</v>
      </c>
      <c r="E931">
        <v>396</v>
      </c>
      <c r="F931" t="s">
        <v>4090</v>
      </c>
    </row>
    <row r="932" spans="1:6" hidden="1">
      <c r="A932" t="s">
        <v>4102</v>
      </c>
      <c r="B932" t="s">
        <v>1727</v>
      </c>
      <c r="C932" t="s">
        <v>4148</v>
      </c>
      <c r="D932">
        <v>396</v>
      </c>
      <c r="E932">
        <v>396</v>
      </c>
      <c r="F932" t="s">
        <v>4090</v>
      </c>
    </row>
    <row r="933" spans="1:6" hidden="1">
      <c r="A933" t="s">
        <v>4088</v>
      </c>
      <c r="B933" t="s">
        <v>1165</v>
      </c>
      <c r="C933" t="s">
        <v>4141</v>
      </c>
      <c r="D933">
        <v>86</v>
      </c>
      <c r="E933">
        <v>86</v>
      </c>
      <c r="F933" t="s">
        <v>4090</v>
      </c>
    </row>
    <row r="934" spans="1:6" hidden="1">
      <c r="A934" t="s">
        <v>4088</v>
      </c>
      <c r="B934" t="s">
        <v>560</v>
      </c>
      <c r="C934" t="s">
        <v>4092</v>
      </c>
      <c r="D934">
        <v>30</v>
      </c>
      <c r="E934">
        <v>30</v>
      </c>
      <c r="F934" t="s">
        <v>4090</v>
      </c>
    </row>
    <row r="935" spans="1:6" hidden="1">
      <c r="A935" t="s">
        <v>4088</v>
      </c>
      <c r="B935" t="s">
        <v>555</v>
      </c>
      <c r="C935" t="s">
        <v>4156</v>
      </c>
      <c r="D935">
        <v>70</v>
      </c>
      <c r="E935">
        <v>70</v>
      </c>
      <c r="F935" t="s">
        <v>4090</v>
      </c>
    </row>
    <row r="936" spans="1:6" hidden="1">
      <c r="A936" t="s">
        <v>4088</v>
      </c>
      <c r="B936" t="s">
        <v>501</v>
      </c>
      <c r="C936" t="s">
        <v>4156</v>
      </c>
      <c r="D936">
        <v>396</v>
      </c>
      <c r="E936">
        <v>396</v>
      </c>
      <c r="F936" t="s">
        <v>4090</v>
      </c>
    </row>
    <row r="937" spans="1:6" hidden="1">
      <c r="A937" t="s">
        <v>4093</v>
      </c>
      <c r="B937" t="s">
        <v>1484</v>
      </c>
      <c r="C937" t="s">
        <v>4183</v>
      </c>
      <c r="D937">
        <v>462</v>
      </c>
      <c r="E937">
        <v>462</v>
      </c>
      <c r="F937" t="s">
        <v>4090</v>
      </c>
    </row>
    <row r="938" spans="1:6" hidden="1">
      <c r="A938" t="s">
        <v>4093</v>
      </c>
      <c r="B938" t="s">
        <v>1493</v>
      </c>
      <c r="C938" t="s">
        <v>4183</v>
      </c>
      <c r="D938">
        <v>60</v>
      </c>
      <c r="E938">
        <v>60</v>
      </c>
      <c r="F938" t="s">
        <v>4090</v>
      </c>
    </row>
    <row r="939" spans="1:6" hidden="1">
      <c r="A939" t="s">
        <v>4093</v>
      </c>
      <c r="B939" t="s">
        <v>1523</v>
      </c>
      <c r="C939" t="s">
        <v>4105</v>
      </c>
      <c r="D939">
        <v>33</v>
      </c>
      <c r="E939">
        <v>33</v>
      </c>
      <c r="F939" t="s">
        <v>4090</v>
      </c>
    </row>
    <row r="940" spans="1:6" hidden="1">
      <c r="A940" t="s">
        <v>4093</v>
      </c>
      <c r="B940" t="s">
        <v>310</v>
      </c>
      <c r="C940" t="s">
        <v>4132</v>
      </c>
      <c r="D940">
        <v>462</v>
      </c>
      <c r="E940">
        <v>462</v>
      </c>
      <c r="F940" t="s">
        <v>4090</v>
      </c>
    </row>
    <row r="941" spans="1:6" hidden="1">
      <c r="A941" t="s">
        <v>4093</v>
      </c>
      <c r="B941" t="s">
        <v>336</v>
      </c>
      <c r="C941" t="s">
        <v>4121</v>
      </c>
      <c r="D941">
        <v>60</v>
      </c>
      <c r="E941">
        <v>60</v>
      </c>
      <c r="F941" t="s">
        <v>4090</v>
      </c>
    </row>
    <row r="942" spans="1:6" hidden="1">
      <c r="A942" t="s">
        <v>4093</v>
      </c>
      <c r="B942" t="s">
        <v>410</v>
      </c>
      <c r="C942" t="s">
        <v>4232</v>
      </c>
      <c r="D942">
        <v>33</v>
      </c>
      <c r="E942">
        <v>33</v>
      </c>
      <c r="F942" t="s">
        <v>4090</v>
      </c>
    </row>
    <row r="943" spans="1:6" hidden="1">
      <c r="A943" t="s">
        <v>4093</v>
      </c>
      <c r="B943" t="s">
        <v>1327</v>
      </c>
      <c r="C943" t="s">
        <v>4092</v>
      </c>
      <c r="D943">
        <v>462</v>
      </c>
      <c r="E943">
        <v>462</v>
      </c>
      <c r="F943" t="s">
        <v>4090</v>
      </c>
    </row>
    <row r="944" spans="1:6" hidden="1">
      <c r="A944" t="s">
        <v>4093</v>
      </c>
      <c r="B944" t="s">
        <v>1345</v>
      </c>
      <c r="C944" t="s">
        <v>4112</v>
      </c>
      <c r="D944">
        <v>60</v>
      </c>
      <c r="E944">
        <v>12</v>
      </c>
      <c r="F944" t="s">
        <v>4090</v>
      </c>
    </row>
    <row r="945" spans="1:6" hidden="1">
      <c r="A945" t="s">
        <v>4093</v>
      </c>
      <c r="B945" t="s">
        <v>1333</v>
      </c>
      <c r="C945" t="s">
        <v>4112</v>
      </c>
      <c r="D945">
        <v>27</v>
      </c>
      <c r="E945">
        <v>9</v>
      </c>
      <c r="F945" t="s">
        <v>4090</v>
      </c>
    </row>
    <row r="946" spans="1:6" hidden="1">
      <c r="A946" t="s">
        <v>4093</v>
      </c>
      <c r="B946" t="s">
        <v>2927</v>
      </c>
      <c r="C946" t="s">
        <v>4112</v>
      </c>
      <c r="D946">
        <v>60</v>
      </c>
      <c r="E946">
        <v>12</v>
      </c>
      <c r="F946" t="s">
        <v>4090</v>
      </c>
    </row>
    <row r="947" spans="1:6" hidden="1">
      <c r="A947" t="s">
        <v>4099</v>
      </c>
      <c r="B947" t="s">
        <v>4015</v>
      </c>
      <c r="C947" t="s">
        <v>4105</v>
      </c>
      <c r="D947">
        <v>54</v>
      </c>
      <c r="E947">
        <v>54</v>
      </c>
      <c r="F947" t="s">
        <v>4095</v>
      </c>
    </row>
    <row r="948" spans="1:6" hidden="1">
      <c r="A948" t="s">
        <v>4093</v>
      </c>
      <c r="B948" t="s">
        <v>3488</v>
      </c>
      <c r="C948" t="s">
        <v>4105</v>
      </c>
      <c r="D948">
        <v>48</v>
      </c>
      <c r="E948">
        <v>48</v>
      </c>
      <c r="F948" t="s">
        <v>4095</v>
      </c>
    </row>
    <row r="949" spans="1:6" hidden="1">
      <c r="A949" t="s">
        <v>4093</v>
      </c>
      <c r="B949" t="s">
        <v>1219</v>
      </c>
      <c r="C949" t="s">
        <v>4196</v>
      </c>
      <c r="D949">
        <v>48</v>
      </c>
      <c r="E949">
        <v>48</v>
      </c>
      <c r="F949" t="s">
        <v>4090</v>
      </c>
    </row>
    <row r="950" spans="1:6" hidden="1">
      <c r="A950" t="s">
        <v>4091</v>
      </c>
      <c r="B950" t="s">
        <v>1692</v>
      </c>
      <c r="C950" t="s">
        <v>4165</v>
      </c>
      <c r="D950">
        <v>168</v>
      </c>
      <c r="E950">
        <v>168</v>
      </c>
      <c r="F950" t="s">
        <v>4090</v>
      </c>
    </row>
    <row r="951" spans="1:6" hidden="1">
      <c r="A951" t="s">
        <v>4091</v>
      </c>
      <c r="B951" t="s">
        <v>3927</v>
      </c>
      <c r="C951" t="s">
        <v>4105</v>
      </c>
      <c r="D951">
        <v>168</v>
      </c>
      <c r="E951">
        <v>168</v>
      </c>
      <c r="F951" t="s">
        <v>4095</v>
      </c>
    </row>
    <row r="952" spans="1:6" hidden="1">
      <c r="A952" t="s">
        <v>4091</v>
      </c>
      <c r="B952" t="s">
        <v>181</v>
      </c>
      <c r="C952" t="s">
        <v>4159</v>
      </c>
      <c r="D952">
        <v>60</v>
      </c>
      <c r="E952">
        <v>60</v>
      </c>
      <c r="F952" t="s">
        <v>4090</v>
      </c>
    </row>
    <row r="953" spans="1:6" hidden="1">
      <c r="A953" t="s">
        <v>4091</v>
      </c>
      <c r="B953" t="s">
        <v>443</v>
      </c>
      <c r="C953" t="s">
        <v>4089</v>
      </c>
      <c r="D953">
        <v>60</v>
      </c>
      <c r="E953">
        <v>60</v>
      </c>
      <c r="F953" t="s">
        <v>4090</v>
      </c>
    </row>
    <row r="954" spans="1:6" hidden="1">
      <c r="A954" t="s">
        <v>4099</v>
      </c>
      <c r="B954" t="s">
        <v>1787</v>
      </c>
      <c r="C954" t="s">
        <v>4112</v>
      </c>
      <c r="D954">
        <v>210</v>
      </c>
      <c r="E954">
        <v>30</v>
      </c>
      <c r="F954" t="s">
        <v>4090</v>
      </c>
    </row>
    <row r="955" spans="1:6" hidden="1">
      <c r="A955" t="s">
        <v>4099</v>
      </c>
      <c r="B955" t="s">
        <v>1791</v>
      </c>
      <c r="C955" t="s">
        <v>4112</v>
      </c>
      <c r="D955">
        <v>96</v>
      </c>
      <c r="E955">
        <v>24</v>
      </c>
      <c r="F955" t="s">
        <v>4090</v>
      </c>
    </row>
    <row r="956" spans="1:6" hidden="1">
      <c r="A956" t="s">
        <v>4099</v>
      </c>
      <c r="B956" t="s">
        <v>985</v>
      </c>
      <c r="C956" t="s">
        <v>4236</v>
      </c>
      <c r="D956">
        <v>210</v>
      </c>
      <c r="E956">
        <v>210</v>
      </c>
      <c r="F956" t="s">
        <v>4090</v>
      </c>
    </row>
    <row r="957" spans="1:6" hidden="1">
      <c r="A957" t="s">
        <v>4099</v>
      </c>
      <c r="B957" t="s">
        <v>992</v>
      </c>
      <c r="C957" t="s">
        <v>4143</v>
      </c>
      <c r="D957">
        <v>96</v>
      </c>
      <c r="E957">
        <v>96</v>
      </c>
      <c r="F957" t="s">
        <v>4090</v>
      </c>
    </row>
    <row r="958" spans="1:6" hidden="1">
      <c r="A958" t="s">
        <v>4110</v>
      </c>
      <c r="B958" t="s">
        <v>1830</v>
      </c>
      <c r="C958" t="s">
        <v>4112</v>
      </c>
      <c r="D958">
        <v>72</v>
      </c>
      <c r="E958">
        <v>24</v>
      </c>
      <c r="F958" t="s">
        <v>4090</v>
      </c>
    </row>
    <row r="959" spans="1:6" hidden="1">
      <c r="A959" t="s">
        <v>4091</v>
      </c>
      <c r="B959" t="s">
        <v>1830</v>
      </c>
      <c r="C959" t="s">
        <v>4112</v>
      </c>
      <c r="D959">
        <v>72</v>
      </c>
      <c r="E959">
        <v>24</v>
      </c>
      <c r="F959" t="s">
        <v>4090</v>
      </c>
    </row>
    <row r="960" spans="1:6" hidden="1">
      <c r="A960" t="s">
        <v>4091</v>
      </c>
      <c r="B960" t="s">
        <v>988</v>
      </c>
      <c r="C960" t="s">
        <v>4143</v>
      </c>
      <c r="D960">
        <v>72</v>
      </c>
      <c r="E960">
        <v>72</v>
      </c>
      <c r="F960" t="s">
        <v>4090</v>
      </c>
    </row>
    <row r="961" spans="1:6" hidden="1">
      <c r="A961" t="s">
        <v>4099</v>
      </c>
      <c r="B961" t="s">
        <v>1855</v>
      </c>
      <c r="C961" t="s">
        <v>4203</v>
      </c>
      <c r="D961">
        <v>44</v>
      </c>
      <c r="E961">
        <v>44</v>
      </c>
      <c r="F961" t="s">
        <v>4090</v>
      </c>
    </row>
    <row r="962" spans="1:6" hidden="1">
      <c r="A962" t="s">
        <v>4099</v>
      </c>
      <c r="B962" t="s">
        <v>1036</v>
      </c>
      <c r="C962" t="s">
        <v>4182</v>
      </c>
      <c r="D962">
        <v>44</v>
      </c>
      <c r="E962">
        <v>44</v>
      </c>
      <c r="F962" t="s">
        <v>4090</v>
      </c>
    </row>
    <row r="963" spans="1:6" hidden="1">
      <c r="A963" t="s">
        <v>4110</v>
      </c>
      <c r="B963" t="s">
        <v>1814</v>
      </c>
      <c r="C963" t="s">
        <v>4184</v>
      </c>
      <c r="D963">
        <v>44</v>
      </c>
      <c r="E963">
        <v>44</v>
      </c>
      <c r="F963" t="s">
        <v>4090</v>
      </c>
    </row>
    <row r="964" spans="1:6" hidden="1">
      <c r="A964" t="s">
        <v>4091</v>
      </c>
      <c r="B964" t="s">
        <v>1814</v>
      </c>
      <c r="C964" t="s">
        <v>4184</v>
      </c>
      <c r="D964">
        <v>44</v>
      </c>
      <c r="E964">
        <v>44</v>
      </c>
      <c r="F964" t="s">
        <v>4090</v>
      </c>
    </row>
    <row r="965" spans="1:6" hidden="1">
      <c r="A965" t="s">
        <v>4110</v>
      </c>
      <c r="B965" t="s">
        <v>995</v>
      </c>
      <c r="C965" t="s">
        <v>4206</v>
      </c>
      <c r="D965">
        <v>44</v>
      </c>
      <c r="E965">
        <v>44</v>
      </c>
      <c r="F965" t="s">
        <v>4090</v>
      </c>
    </row>
    <row r="966" spans="1:6" hidden="1">
      <c r="A966" t="s">
        <v>4091</v>
      </c>
      <c r="B966" t="s">
        <v>995</v>
      </c>
      <c r="C966" t="s">
        <v>4206</v>
      </c>
      <c r="D966">
        <v>44</v>
      </c>
      <c r="E966">
        <v>44</v>
      </c>
      <c r="F966" t="s">
        <v>4090</v>
      </c>
    </row>
    <row r="967" spans="1:6" hidden="1">
      <c r="A967" t="s">
        <v>4091</v>
      </c>
      <c r="B967" t="s">
        <v>2276</v>
      </c>
      <c r="C967" t="s">
        <v>4120</v>
      </c>
      <c r="D967">
        <v>44</v>
      </c>
      <c r="E967">
        <v>44</v>
      </c>
      <c r="F967" t="s">
        <v>4090</v>
      </c>
    </row>
    <row r="968" spans="1:6" hidden="1">
      <c r="A968" t="s">
        <v>4099</v>
      </c>
      <c r="B968" t="s">
        <v>3826</v>
      </c>
      <c r="C968" t="s">
        <v>4105</v>
      </c>
      <c r="D968">
        <v>180</v>
      </c>
      <c r="E968">
        <v>180</v>
      </c>
      <c r="F968" t="s">
        <v>4095</v>
      </c>
    </row>
    <row r="969" spans="1:6" hidden="1">
      <c r="A969" t="s">
        <v>4099</v>
      </c>
      <c r="B969" t="s">
        <v>3276</v>
      </c>
      <c r="C969" t="s">
        <v>4094</v>
      </c>
      <c r="D969">
        <v>44</v>
      </c>
      <c r="E969">
        <v>44</v>
      </c>
      <c r="F969" t="s">
        <v>4095</v>
      </c>
    </row>
    <row r="970" spans="1:6" hidden="1">
      <c r="A970" t="s">
        <v>4099</v>
      </c>
      <c r="B970" t="s">
        <v>3288</v>
      </c>
      <c r="C970" t="s">
        <v>4105</v>
      </c>
      <c r="D970">
        <v>330</v>
      </c>
      <c r="E970">
        <v>330</v>
      </c>
      <c r="F970" t="s">
        <v>4095</v>
      </c>
    </row>
    <row r="971" spans="1:6" hidden="1">
      <c r="A971" t="s">
        <v>4099</v>
      </c>
      <c r="B971" t="s">
        <v>3261</v>
      </c>
      <c r="C971" t="s">
        <v>4105</v>
      </c>
      <c r="D971">
        <v>180</v>
      </c>
      <c r="E971">
        <v>180</v>
      </c>
      <c r="F971" t="s">
        <v>4095</v>
      </c>
    </row>
    <row r="972" spans="1:6" hidden="1">
      <c r="A972" t="s">
        <v>4099</v>
      </c>
      <c r="B972" t="s">
        <v>3270</v>
      </c>
      <c r="C972" t="s">
        <v>4109</v>
      </c>
      <c r="D972">
        <v>48</v>
      </c>
      <c r="E972">
        <v>48</v>
      </c>
      <c r="F972" t="s">
        <v>4095</v>
      </c>
    </row>
    <row r="973" spans="1:6" hidden="1">
      <c r="A973" t="s">
        <v>4091</v>
      </c>
      <c r="B973" t="s">
        <v>3602</v>
      </c>
      <c r="C973" t="s">
        <v>4109</v>
      </c>
      <c r="D973">
        <v>44</v>
      </c>
      <c r="E973">
        <v>44</v>
      </c>
      <c r="F973" t="s">
        <v>4095</v>
      </c>
    </row>
    <row r="974" spans="1:6" hidden="1">
      <c r="A974" t="s">
        <v>4091</v>
      </c>
      <c r="B974" t="s">
        <v>539</v>
      </c>
      <c r="C974" t="s">
        <v>4156</v>
      </c>
      <c r="D974">
        <v>60</v>
      </c>
      <c r="E974">
        <v>60</v>
      </c>
      <c r="F974" t="s">
        <v>4090</v>
      </c>
    </row>
    <row r="975" spans="1:6" hidden="1">
      <c r="A975" t="s">
        <v>4091</v>
      </c>
      <c r="B975" t="s">
        <v>565</v>
      </c>
      <c r="C975" t="s">
        <v>4249</v>
      </c>
      <c r="D975">
        <v>36</v>
      </c>
      <c r="E975">
        <v>36</v>
      </c>
      <c r="F975" t="s">
        <v>4090</v>
      </c>
    </row>
    <row r="976" spans="1:6" hidden="1">
      <c r="A976" t="s">
        <v>4102</v>
      </c>
      <c r="B976" t="s">
        <v>545</v>
      </c>
      <c r="C976" t="s">
        <v>4235</v>
      </c>
      <c r="D976">
        <v>48</v>
      </c>
      <c r="E976">
        <v>48</v>
      </c>
      <c r="F976" t="s">
        <v>4090</v>
      </c>
    </row>
    <row r="977" spans="1:6" hidden="1">
      <c r="A977" t="s">
        <v>4091</v>
      </c>
      <c r="B977" t="s">
        <v>545</v>
      </c>
      <c r="C977" t="s">
        <v>4235</v>
      </c>
      <c r="D977">
        <v>48</v>
      </c>
      <c r="E977">
        <v>48</v>
      </c>
      <c r="F977" t="s">
        <v>4090</v>
      </c>
    </row>
    <row r="978" spans="1:6" hidden="1">
      <c r="A978" t="s">
        <v>4091</v>
      </c>
      <c r="B978" t="s">
        <v>3614</v>
      </c>
      <c r="C978" t="s">
        <v>4094</v>
      </c>
      <c r="D978">
        <v>44</v>
      </c>
      <c r="E978">
        <v>44</v>
      </c>
      <c r="F978" t="s">
        <v>4095</v>
      </c>
    </row>
    <row r="979" spans="1:6" hidden="1">
      <c r="A979" t="s">
        <v>4091</v>
      </c>
      <c r="B979" t="s">
        <v>3597</v>
      </c>
      <c r="C979" t="s">
        <v>4109</v>
      </c>
      <c r="D979">
        <v>48</v>
      </c>
      <c r="E979">
        <v>48</v>
      </c>
      <c r="F979" t="s">
        <v>4095</v>
      </c>
    </row>
    <row r="980" spans="1:6" hidden="1">
      <c r="A980" t="s">
        <v>4091</v>
      </c>
      <c r="B980" t="s">
        <v>1047</v>
      </c>
      <c r="C980" t="s">
        <v>4188</v>
      </c>
      <c r="D980">
        <v>44</v>
      </c>
      <c r="E980">
        <v>44</v>
      </c>
      <c r="F980" t="s">
        <v>4090</v>
      </c>
    </row>
    <row r="981" spans="1:6" hidden="1">
      <c r="A981" t="s">
        <v>4091</v>
      </c>
      <c r="B981" t="s">
        <v>2261</v>
      </c>
      <c r="C981" t="s">
        <v>4120</v>
      </c>
      <c r="D981">
        <v>44</v>
      </c>
      <c r="E981">
        <v>44</v>
      </c>
      <c r="F981" t="s">
        <v>4090</v>
      </c>
    </row>
    <row r="982" spans="1:6" hidden="1">
      <c r="A982" t="s">
        <v>4091</v>
      </c>
      <c r="B982" t="s">
        <v>1797</v>
      </c>
      <c r="C982" t="s">
        <v>4184</v>
      </c>
      <c r="D982">
        <v>44</v>
      </c>
      <c r="E982">
        <v>44</v>
      </c>
      <c r="F982" t="s">
        <v>4090</v>
      </c>
    </row>
    <row r="983" spans="1:6" hidden="1">
      <c r="A983" t="s">
        <v>4091</v>
      </c>
      <c r="B983" t="s">
        <v>1018</v>
      </c>
      <c r="C983" t="s">
        <v>4247</v>
      </c>
      <c r="D983">
        <v>462</v>
      </c>
      <c r="E983">
        <v>462</v>
      </c>
      <c r="F983" t="s">
        <v>4090</v>
      </c>
    </row>
    <row r="984" spans="1:6" hidden="1">
      <c r="A984" t="s">
        <v>4114</v>
      </c>
      <c r="B984" t="s">
        <v>1030</v>
      </c>
      <c r="C984" t="s">
        <v>4194</v>
      </c>
      <c r="D984">
        <v>48</v>
      </c>
      <c r="E984">
        <v>48</v>
      </c>
      <c r="F984" t="s">
        <v>4090</v>
      </c>
    </row>
    <row r="985" spans="1:6" hidden="1">
      <c r="A985" t="s">
        <v>4091</v>
      </c>
      <c r="B985" t="s">
        <v>1030</v>
      </c>
      <c r="C985" t="s">
        <v>4194</v>
      </c>
      <c r="D985">
        <v>48</v>
      </c>
      <c r="E985">
        <v>48</v>
      </c>
      <c r="F985" t="s">
        <v>4090</v>
      </c>
    </row>
    <row r="986" spans="1:6" hidden="1">
      <c r="A986" t="s">
        <v>4091</v>
      </c>
      <c r="B986" t="s">
        <v>1824</v>
      </c>
      <c r="C986" t="s">
        <v>4190</v>
      </c>
      <c r="D986">
        <v>48</v>
      </c>
      <c r="E986">
        <v>48</v>
      </c>
      <c r="F986" t="s">
        <v>4090</v>
      </c>
    </row>
    <row r="987" spans="1:6" hidden="1">
      <c r="A987" t="s">
        <v>4091</v>
      </c>
      <c r="B987" t="s">
        <v>3372</v>
      </c>
      <c r="C987" t="s">
        <v>4109</v>
      </c>
      <c r="D987">
        <v>44</v>
      </c>
      <c r="E987">
        <v>44</v>
      </c>
      <c r="F987" t="s">
        <v>4095</v>
      </c>
    </row>
    <row r="988" spans="1:6" hidden="1">
      <c r="A988" t="s">
        <v>4091</v>
      </c>
      <c r="B988" t="s">
        <v>3358</v>
      </c>
      <c r="C988" t="s">
        <v>4105</v>
      </c>
      <c r="D988">
        <v>44</v>
      </c>
      <c r="E988">
        <v>44</v>
      </c>
      <c r="F988" t="s">
        <v>4095</v>
      </c>
    </row>
    <row r="989" spans="1:6" hidden="1">
      <c r="A989" t="s">
        <v>4091</v>
      </c>
      <c r="B989" t="s">
        <v>2450</v>
      </c>
      <c r="C989" t="s">
        <v>4141</v>
      </c>
      <c r="D989">
        <v>462</v>
      </c>
      <c r="E989">
        <v>462</v>
      </c>
      <c r="F989" t="s">
        <v>4090</v>
      </c>
    </row>
    <row r="990" spans="1:6" hidden="1">
      <c r="A990" t="s">
        <v>4088</v>
      </c>
      <c r="B990" t="s">
        <v>2450</v>
      </c>
      <c r="C990" t="s">
        <v>4141</v>
      </c>
      <c r="D990">
        <v>462</v>
      </c>
      <c r="E990">
        <v>462</v>
      </c>
      <c r="F990" t="s">
        <v>4090</v>
      </c>
    </row>
    <row r="991" spans="1:6" hidden="1">
      <c r="A991" t="s">
        <v>4091</v>
      </c>
      <c r="B991" t="s">
        <v>2475</v>
      </c>
      <c r="C991" t="s">
        <v>4183</v>
      </c>
      <c r="D991">
        <v>462</v>
      </c>
      <c r="E991">
        <v>462</v>
      </c>
      <c r="F991" t="s">
        <v>4090</v>
      </c>
    </row>
    <row r="992" spans="1:6" hidden="1">
      <c r="A992" t="s">
        <v>4088</v>
      </c>
      <c r="B992" t="s">
        <v>2447</v>
      </c>
      <c r="C992" t="s">
        <v>4141</v>
      </c>
      <c r="D992">
        <v>60</v>
      </c>
      <c r="E992">
        <v>60</v>
      </c>
      <c r="F992" t="s">
        <v>4090</v>
      </c>
    </row>
    <row r="993" spans="1:6" hidden="1">
      <c r="A993" t="s">
        <v>4091</v>
      </c>
      <c r="B993" t="s">
        <v>2447</v>
      </c>
      <c r="C993" t="s">
        <v>4141</v>
      </c>
      <c r="D993">
        <v>60</v>
      </c>
      <c r="E993">
        <v>60</v>
      </c>
      <c r="F993" t="s">
        <v>4090</v>
      </c>
    </row>
    <row r="994" spans="1:6" hidden="1">
      <c r="A994" t="s">
        <v>4091</v>
      </c>
      <c r="B994" t="s">
        <v>2470</v>
      </c>
      <c r="C994" t="s">
        <v>4118</v>
      </c>
      <c r="D994">
        <v>44</v>
      </c>
      <c r="E994">
        <v>44</v>
      </c>
      <c r="F994" t="s">
        <v>4090</v>
      </c>
    </row>
  </sheetData>
  <pageMargins left="0.7" right="0.7" top="0.75" bottom="0.75" header="0.3" footer="0.3"/>
  <customProperties>
    <customPr name="_pios_id" r:id="rId1"/>
  </customProperties>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5F2EF-44DF-4ACD-91A0-EC6834F8B5BD}">
  <sheetPr>
    <tabColor theme="8"/>
  </sheetPr>
  <dimension ref="A2:M848"/>
  <sheetViews>
    <sheetView topLeftCell="A151" workbookViewId="0">
      <selection activeCell="F159" sqref="F159"/>
    </sheetView>
  </sheetViews>
  <sheetFormatPr baseColWidth="10" defaultColWidth="8.83203125" defaultRowHeight="15"/>
  <cols>
    <col min="1" max="1" width="10.83203125" bestFit="1" customWidth="1"/>
    <col min="2" max="2" width="7.83203125" bestFit="1" customWidth="1"/>
    <col min="3" max="3" width="9.83203125" bestFit="1" customWidth="1"/>
    <col min="4" max="4" width="19.1640625" bestFit="1" customWidth="1"/>
    <col min="5" max="5" width="16.5" bestFit="1" customWidth="1"/>
    <col min="9" max="9" width="8.1640625" bestFit="1" customWidth="1"/>
    <col min="10" max="10" width="8.5" bestFit="1" customWidth="1"/>
    <col min="11" max="11" width="9.83203125" bestFit="1" customWidth="1"/>
    <col min="12" max="12" width="16.5" bestFit="1" customWidth="1"/>
    <col min="13" max="13" width="19.1640625" bestFit="1" customWidth="1"/>
  </cols>
  <sheetData>
    <row r="2" spans="1:13">
      <c r="A2" s="18" t="s">
        <v>4251</v>
      </c>
      <c r="I2" s="18" t="s">
        <v>4252</v>
      </c>
    </row>
    <row r="4" spans="1:13">
      <c r="A4" t="s">
        <v>38</v>
      </c>
      <c r="B4" t="s">
        <v>4070</v>
      </c>
      <c r="C4" t="s">
        <v>4084</v>
      </c>
      <c r="D4" t="s">
        <v>4253</v>
      </c>
      <c r="E4" t="s">
        <v>4254</v>
      </c>
      <c r="I4" t="s">
        <v>4255</v>
      </c>
      <c r="J4" t="s">
        <v>4256</v>
      </c>
      <c r="K4" t="s">
        <v>4084</v>
      </c>
      <c r="L4" t="s">
        <v>4254</v>
      </c>
      <c r="M4" t="s">
        <v>4253</v>
      </c>
    </row>
    <row r="5" spans="1:13">
      <c r="A5">
        <v>5474314</v>
      </c>
      <c r="B5" t="s">
        <v>1</v>
      </c>
      <c r="C5" t="s">
        <v>4257</v>
      </c>
      <c r="D5" t="s">
        <v>4258</v>
      </c>
      <c r="E5" t="s">
        <v>4259</v>
      </c>
      <c r="I5" t="s">
        <v>88</v>
      </c>
      <c r="J5" t="s">
        <v>1</v>
      </c>
      <c r="K5" t="s">
        <v>4260</v>
      </c>
    </row>
    <row r="6" spans="1:13">
      <c r="A6" t="s">
        <v>2594</v>
      </c>
      <c r="B6" t="s">
        <v>1</v>
      </c>
      <c r="C6" t="s">
        <v>4257</v>
      </c>
      <c r="D6" t="s">
        <v>4258</v>
      </c>
      <c r="E6" t="s">
        <v>4259</v>
      </c>
      <c r="I6" t="s">
        <v>100</v>
      </c>
      <c r="J6" t="s">
        <v>1</v>
      </c>
      <c r="K6" t="s">
        <v>4260</v>
      </c>
    </row>
    <row r="7" spans="1:13">
      <c r="A7" t="s">
        <v>2600</v>
      </c>
      <c r="B7" t="s">
        <v>1</v>
      </c>
      <c r="C7" t="s">
        <v>4257</v>
      </c>
      <c r="D7" t="s">
        <v>4258</v>
      </c>
      <c r="E7" t="s">
        <v>4259</v>
      </c>
      <c r="I7" t="s">
        <v>109</v>
      </c>
      <c r="J7" t="s">
        <v>1</v>
      </c>
      <c r="K7" t="s">
        <v>4260</v>
      </c>
    </row>
    <row r="8" spans="1:13">
      <c r="A8" t="s">
        <v>2603</v>
      </c>
      <c r="B8" t="s">
        <v>1</v>
      </c>
      <c r="C8" t="s">
        <v>4257</v>
      </c>
      <c r="D8" t="s">
        <v>4258</v>
      </c>
      <c r="E8" t="s">
        <v>4259</v>
      </c>
      <c r="I8" t="s">
        <v>114</v>
      </c>
      <c r="J8" t="s">
        <v>1</v>
      </c>
      <c r="K8" t="s">
        <v>4260</v>
      </c>
    </row>
    <row r="9" spans="1:13">
      <c r="A9" t="s">
        <v>2606</v>
      </c>
      <c r="B9" t="s">
        <v>1</v>
      </c>
      <c r="C9" t="s">
        <v>4257</v>
      </c>
      <c r="D9" t="s">
        <v>4258</v>
      </c>
      <c r="E9" t="s">
        <v>4259</v>
      </c>
      <c r="I9" t="s">
        <v>122</v>
      </c>
      <c r="J9" t="s">
        <v>1</v>
      </c>
      <c r="K9" t="s">
        <v>4260</v>
      </c>
    </row>
    <row r="10" spans="1:13">
      <c r="A10" t="s">
        <v>2609</v>
      </c>
      <c r="B10" t="s">
        <v>1</v>
      </c>
      <c r="C10" t="s">
        <v>4257</v>
      </c>
      <c r="D10" t="s">
        <v>4258</v>
      </c>
      <c r="E10" t="s">
        <v>4259</v>
      </c>
      <c r="I10" t="s">
        <v>131</v>
      </c>
      <c r="J10" t="s">
        <v>1</v>
      </c>
      <c r="K10" t="s">
        <v>4260</v>
      </c>
    </row>
    <row r="11" spans="1:13">
      <c r="A11" t="s">
        <v>2612</v>
      </c>
      <c r="B11" t="s">
        <v>1</v>
      </c>
      <c r="C11" t="s">
        <v>4257</v>
      </c>
      <c r="D11" t="s">
        <v>4258</v>
      </c>
      <c r="E11" t="s">
        <v>4259</v>
      </c>
      <c r="I11" t="s">
        <v>138</v>
      </c>
      <c r="J11" t="s">
        <v>1</v>
      </c>
      <c r="K11" t="s">
        <v>4260</v>
      </c>
    </row>
    <row r="12" spans="1:13">
      <c r="A12" t="s">
        <v>2615</v>
      </c>
      <c r="B12" t="s">
        <v>1</v>
      </c>
      <c r="C12" t="s">
        <v>4257</v>
      </c>
      <c r="D12" t="s">
        <v>4258</v>
      </c>
      <c r="E12" t="s">
        <v>4259</v>
      </c>
      <c r="I12" t="s">
        <v>144</v>
      </c>
      <c r="J12" t="s">
        <v>1</v>
      </c>
      <c r="K12" t="s">
        <v>4260</v>
      </c>
    </row>
    <row r="13" spans="1:13">
      <c r="A13" t="s">
        <v>2618</v>
      </c>
      <c r="B13" t="s">
        <v>1</v>
      </c>
      <c r="C13" t="s">
        <v>4257</v>
      </c>
      <c r="D13" t="s">
        <v>4258</v>
      </c>
      <c r="E13" t="s">
        <v>4259</v>
      </c>
      <c r="I13" t="s">
        <v>153</v>
      </c>
      <c r="J13" t="s">
        <v>1</v>
      </c>
      <c r="K13" t="s">
        <v>4260</v>
      </c>
    </row>
    <row r="14" spans="1:13">
      <c r="A14" t="s">
        <v>2621</v>
      </c>
      <c r="B14" t="s">
        <v>1</v>
      </c>
      <c r="C14" t="s">
        <v>4257</v>
      </c>
      <c r="D14" t="s">
        <v>4258</v>
      </c>
      <c r="E14" t="s">
        <v>4259</v>
      </c>
      <c r="I14" t="s">
        <v>161</v>
      </c>
      <c r="J14" t="s">
        <v>1</v>
      </c>
      <c r="K14" t="s">
        <v>4260</v>
      </c>
    </row>
    <row r="15" spans="1:13">
      <c r="A15" t="s">
        <v>2626</v>
      </c>
      <c r="B15" t="s">
        <v>1</v>
      </c>
      <c r="C15" t="s">
        <v>4257</v>
      </c>
      <c r="D15" t="s">
        <v>4258</v>
      </c>
      <c r="E15" t="s">
        <v>4259</v>
      </c>
      <c r="I15" t="s">
        <v>169</v>
      </c>
      <c r="J15" t="s">
        <v>1</v>
      </c>
      <c r="K15" t="s">
        <v>4260</v>
      </c>
    </row>
    <row r="16" spans="1:13">
      <c r="A16" t="s">
        <v>2642</v>
      </c>
      <c r="B16" t="s">
        <v>1</v>
      </c>
      <c r="C16" t="s">
        <v>4257</v>
      </c>
      <c r="D16" t="s">
        <v>4258</v>
      </c>
      <c r="E16" t="s">
        <v>4259</v>
      </c>
      <c r="I16" t="s">
        <v>176</v>
      </c>
      <c r="J16" t="s">
        <v>1</v>
      </c>
      <c r="K16" t="s">
        <v>4260</v>
      </c>
    </row>
    <row r="17" spans="1:11">
      <c r="A17" t="s">
        <v>2648</v>
      </c>
      <c r="B17" t="s">
        <v>1</v>
      </c>
      <c r="C17" t="s">
        <v>4257</v>
      </c>
      <c r="D17" t="s">
        <v>4258</v>
      </c>
      <c r="E17" t="s">
        <v>4259</v>
      </c>
      <c r="I17" t="s">
        <v>181</v>
      </c>
      <c r="J17" t="s">
        <v>1</v>
      </c>
      <c r="K17" t="s">
        <v>4260</v>
      </c>
    </row>
    <row r="18" spans="1:11">
      <c r="A18" t="s">
        <v>2632</v>
      </c>
      <c r="B18" t="s">
        <v>1</v>
      </c>
      <c r="C18" t="s">
        <v>4257</v>
      </c>
      <c r="D18" t="s">
        <v>4261</v>
      </c>
      <c r="E18" t="s">
        <v>4262</v>
      </c>
      <c r="I18" t="s">
        <v>186</v>
      </c>
      <c r="J18" t="s">
        <v>1</v>
      </c>
      <c r="K18" t="s">
        <v>4260</v>
      </c>
    </row>
    <row r="19" spans="1:11">
      <c r="A19" t="s">
        <v>2636</v>
      </c>
      <c r="B19" t="s">
        <v>1</v>
      </c>
      <c r="C19" t="s">
        <v>4257</v>
      </c>
      <c r="D19" t="s">
        <v>4261</v>
      </c>
      <c r="E19" t="s">
        <v>4262</v>
      </c>
      <c r="I19" t="s">
        <v>191</v>
      </c>
      <c r="J19" t="s">
        <v>1</v>
      </c>
      <c r="K19" t="s">
        <v>4260</v>
      </c>
    </row>
    <row r="20" spans="1:11">
      <c r="A20" t="s">
        <v>2652</v>
      </c>
      <c r="B20" t="s">
        <v>1</v>
      </c>
      <c r="C20" t="s">
        <v>4257</v>
      </c>
      <c r="D20" t="s">
        <v>4258</v>
      </c>
      <c r="E20" t="s">
        <v>4259</v>
      </c>
      <c r="I20" t="s">
        <v>198</v>
      </c>
      <c r="J20" t="s">
        <v>1</v>
      </c>
      <c r="K20" t="s">
        <v>4260</v>
      </c>
    </row>
    <row r="21" spans="1:11">
      <c r="A21" t="s">
        <v>2655</v>
      </c>
      <c r="B21" t="s">
        <v>1</v>
      </c>
      <c r="C21" t="s">
        <v>4257</v>
      </c>
      <c r="D21" t="s">
        <v>4258</v>
      </c>
      <c r="E21" t="s">
        <v>4259</v>
      </c>
      <c r="I21" t="s">
        <v>203</v>
      </c>
      <c r="J21" t="s">
        <v>1</v>
      </c>
      <c r="K21" t="s">
        <v>4260</v>
      </c>
    </row>
    <row r="22" spans="1:11">
      <c r="A22" t="s">
        <v>2658</v>
      </c>
      <c r="B22" t="s">
        <v>1</v>
      </c>
      <c r="C22" t="s">
        <v>4257</v>
      </c>
      <c r="D22" t="s">
        <v>4258</v>
      </c>
      <c r="E22" t="s">
        <v>4259</v>
      </c>
      <c r="I22" t="s">
        <v>209</v>
      </c>
      <c r="J22" t="s">
        <v>1</v>
      </c>
      <c r="K22" t="s">
        <v>4260</v>
      </c>
    </row>
    <row r="23" spans="1:11">
      <c r="A23" t="s">
        <v>2661</v>
      </c>
      <c r="B23" t="s">
        <v>1</v>
      </c>
      <c r="C23" t="s">
        <v>4257</v>
      </c>
      <c r="D23" t="s">
        <v>4258</v>
      </c>
      <c r="E23" t="s">
        <v>4259</v>
      </c>
      <c r="I23" t="s">
        <v>214</v>
      </c>
      <c r="J23" t="s">
        <v>1</v>
      </c>
      <c r="K23" t="s">
        <v>4260</v>
      </c>
    </row>
    <row r="24" spans="1:11">
      <c r="A24" t="s">
        <v>2666</v>
      </c>
      <c r="B24" t="s">
        <v>1</v>
      </c>
      <c r="C24" t="s">
        <v>4257</v>
      </c>
      <c r="D24" t="s">
        <v>4258</v>
      </c>
      <c r="E24" t="s">
        <v>4259</v>
      </c>
      <c r="I24" t="s">
        <v>220</v>
      </c>
      <c r="J24" t="s">
        <v>1</v>
      </c>
      <c r="K24" t="s">
        <v>4260</v>
      </c>
    </row>
    <row r="25" spans="1:11">
      <c r="A25" t="s">
        <v>2669</v>
      </c>
      <c r="B25" t="s">
        <v>1</v>
      </c>
      <c r="C25" t="s">
        <v>4257</v>
      </c>
      <c r="D25" t="s">
        <v>4258</v>
      </c>
      <c r="E25" t="s">
        <v>4259</v>
      </c>
      <c r="I25" t="s">
        <v>226</v>
      </c>
      <c r="J25" t="s">
        <v>1</v>
      </c>
      <c r="K25" t="s">
        <v>4260</v>
      </c>
    </row>
    <row r="26" spans="1:11">
      <c r="A26" t="s">
        <v>2672</v>
      </c>
      <c r="B26" t="s">
        <v>1</v>
      </c>
      <c r="C26" t="s">
        <v>4257</v>
      </c>
      <c r="D26" t="s">
        <v>4258</v>
      </c>
      <c r="E26" t="s">
        <v>4259</v>
      </c>
      <c r="I26" t="s">
        <v>233</v>
      </c>
      <c r="J26" t="s">
        <v>1</v>
      </c>
      <c r="K26" t="s">
        <v>4260</v>
      </c>
    </row>
    <row r="27" spans="1:11">
      <c r="A27" t="s">
        <v>2675</v>
      </c>
      <c r="B27" t="s">
        <v>1</v>
      </c>
      <c r="C27" t="s">
        <v>4257</v>
      </c>
      <c r="D27" t="s">
        <v>4258</v>
      </c>
      <c r="E27" t="s">
        <v>4259</v>
      </c>
      <c r="I27" t="s">
        <v>240</v>
      </c>
      <c r="J27" t="s">
        <v>1</v>
      </c>
      <c r="K27" t="s">
        <v>4260</v>
      </c>
    </row>
    <row r="28" spans="1:11">
      <c r="A28" t="s">
        <v>2678</v>
      </c>
      <c r="B28" t="s">
        <v>1</v>
      </c>
      <c r="C28" t="s">
        <v>4257</v>
      </c>
      <c r="D28" t="s">
        <v>4258</v>
      </c>
      <c r="E28" t="s">
        <v>4259</v>
      </c>
      <c r="I28" t="s">
        <v>247</v>
      </c>
      <c r="J28" t="s">
        <v>1</v>
      </c>
      <c r="K28" t="s">
        <v>4260</v>
      </c>
    </row>
    <row r="29" spans="1:11">
      <c r="A29" t="s">
        <v>2681</v>
      </c>
      <c r="B29" t="s">
        <v>1</v>
      </c>
      <c r="C29" t="s">
        <v>4257</v>
      </c>
      <c r="D29" t="s">
        <v>4258</v>
      </c>
      <c r="E29" t="s">
        <v>4259</v>
      </c>
      <c r="I29" t="s">
        <v>252</v>
      </c>
      <c r="J29" t="s">
        <v>1</v>
      </c>
      <c r="K29" t="s">
        <v>4260</v>
      </c>
    </row>
    <row r="30" spans="1:11">
      <c r="A30" t="s">
        <v>2684</v>
      </c>
      <c r="B30" t="s">
        <v>1</v>
      </c>
      <c r="C30" t="s">
        <v>4257</v>
      </c>
      <c r="D30" t="s">
        <v>4258</v>
      </c>
      <c r="E30" t="s">
        <v>4259</v>
      </c>
      <c r="I30" t="s">
        <v>257</v>
      </c>
      <c r="J30" t="s">
        <v>1</v>
      </c>
      <c r="K30" t="s">
        <v>4260</v>
      </c>
    </row>
    <row r="31" spans="1:11">
      <c r="A31" t="s">
        <v>2687</v>
      </c>
      <c r="B31" t="s">
        <v>1</v>
      </c>
      <c r="C31" t="s">
        <v>4257</v>
      </c>
      <c r="D31" t="s">
        <v>4258</v>
      </c>
      <c r="E31" t="s">
        <v>4259</v>
      </c>
      <c r="I31" t="s">
        <v>262</v>
      </c>
      <c r="J31" t="s">
        <v>1</v>
      </c>
      <c r="K31" t="s">
        <v>4260</v>
      </c>
    </row>
    <row r="32" spans="1:11">
      <c r="A32" t="s">
        <v>2690</v>
      </c>
      <c r="B32" t="s">
        <v>1</v>
      </c>
      <c r="C32" t="s">
        <v>4257</v>
      </c>
      <c r="D32" t="s">
        <v>4258</v>
      </c>
      <c r="E32" t="s">
        <v>4259</v>
      </c>
      <c r="I32" t="s">
        <v>269</v>
      </c>
      <c r="J32" t="s">
        <v>1</v>
      </c>
      <c r="K32" t="s">
        <v>4260</v>
      </c>
    </row>
    <row r="33" spans="1:11">
      <c r="A33" t="s">
        <v>2693</v>
      </c>
      <c r="B33" t="s">
        <v>1</v>
      </c>
      <c r="C33" t="s">
        <v>4257</v>
      </c>
      <c r="D33" t="s">
        <v>4258</v>
      </c>
      <c r="E33" t="s">
        <v>4259</v>
      </c>
      <c r="I33" t="s">
        <v>275</v>
      </c>
      <c r="J33" t="s">
        <v>1</v>
      </c>
      <c r="K33" t="s">
        <v>4260</v>
      </c>
    </row>
    <row r="34" spans="1:11">
      <c r="A34" t="s">
        <v>2696</v>
      </c>
      <c r="B34" t="s">
        <v>1</v>
      </c>
      <c r="C34" t="s">
        <v>4257</v>
      </c>
      <c r="D34" t="s">
        <v>4258</v>
      </c>
      <c r="E34" t="s">
        <v>4259</v>
      </c>
      <c r="I34" t="s">
        <v>280</v>
      </c>
      <c r="J34" t="s">
        <v>1</v>
      </c>
      <c r="K34" t="s">
        <v>4260</v>
      </c>
    </row>
    <row r="35" spans="1:11">
      <c r="A35" t="s">
        <v>2699</v>
      </c>
      <c r="B35" t="s">
        <v>1</v>
      </c>
      <c r="C35" t="s">
        <v>4257</v>
      </c>
      <c r="D35" t="s">
        <v>4258</v>
      </c>
      <c r="E35" t="s">
        <v>4259</v>
      </c>
      <c r="I35" t="s">
        <v>285</v>
      </c>
      <c r="J35" t="s">
        <v>1</v>
      </c>
      <c r="K35" t="s">
        <v>4260</v>
      </c>
    </row>
    <row r="36" spans="1:11">
      <c r="A36" t="s">
        <v>2702</v>
      </c>
      <c r="B36" t="s">
        <v>1</v>
      </c>
      <c r="C36" t="s">
        <v>4257</v>
      </c>
      <c r="D36" t="s">
        <v>4258</v>
      </c>
      <c r="E36" t="s">
        <v>4259</v>
      </c>
      <c r="I36" t="s">
        <v>290</v>
      </c>
      <c r="J36" t="s">
        <v>1</v>
      </c>
      <c r="K36" t="s">
        <v>4260</v>
      </c>
    </row>
    <row r="37" spans="1:11">
      <c r="A37" t="s">
        <v>2705</v>
      </c>
      <c r="B37" t="s">
        <v>1</v>
      </c>
      <c r="C37" t="s">
        <v>4257</v>
      </c>
      <c r="D37" t="s">
        <v>4258</v>
      </c>
      <c r="E37" t="s">
        <v>4259</v>
      </c>
      <c r="I37" t="s">
        <v>297</v>
      </c>
      <c r="J37" t="s">
        <v>1</v>
      </c>
      <c r="K37" t="s">
        <v>4260</v>
      </c>
    </row>
    <row r="38" spans="1:11">
      <c r="A38" t="s">
        <v>2708</v>
      </c>
      <c r="B38" t="s">
        <v>1</v>
      </c>
      <c r="C38" t="s">
        <v>4257</v>
      </c>
      <c r="D38" t="s">
        <v>4258</v>
      </c>
      <c r="E38" t="s">
        <v>4259</v>
      </c>
      <c r="I38" t="s">
        <v>303</v>
      </c>
      <c r="J38" t="s">
        <v>1</v>
      </c>
      <c r="K38" t="s">
        <v>4260</v>
      </c>
    </row>
    <row r="39" spans="1:11">
      <c r="A39" t="s">
        <v>2711</v>
      </c>
      <c r="B39" t="s">
        <v>1</v>
      </c>
      <c r="C39" t="s">
        <v>4257</v>
      </c>
      <c r="D39" t="s">
        <v>4258</v>
      </c>
      <c r="E39" t="s">
        <v>4259</v>
      </c>
      <c r="I39" t="s">
        <v>310</v>
      </c>
      <c r="J39" t="s">
        <v>1</v>
      </c>
      <c r="K39" t="s">
        <v>4260</v>
      </c>
    </row>
    <row r="40" spans="1:11">
      <c r="A40" t="s">
        <v>2714</v>
      </c>
      <c r="B40" t="s">
        <v>1</v>
      </c>
      <c r="C40" t="s">
        <v>4257</v>
      </c>
      <c r="D40" t="s">
        <v>4258</v>
      </c>
      <c r="E40" t="s">
        <v>4259</v>
      </c>
      <c r="I40" t="s">
        <v>317</v>
      </c>
      <c r="J40" t="s">
        <v>1</v>
      </c>
      <c r="K40" t="s">
        <v>4260</v>
      </c>
    </row>
    <row r="41" spans="1:11">
      <c r="A41" t="s">
        <v>2717</v>
      </c>
      <c r="B41" t="s">
        <v>1</v>
      </c>
      <c r="C41" t="s">
        <v>4257</v>
      </c>
      <c r="D41" t="s">
        <v>4258</v>
      </c>
      <c r="E41" t="s">
        <v>4259</v>
      </c>
      <c r="I41" t="s">
        <v>320</v>
      </c>
      <c r="J41" t="s">
        <v>1</v>
      </c>
      <c r="K41" t="s">
        <v>4260</v>
      </c>
    </row>
    <row r="42" spans="1:11">
      <c r="A42" t="s">
        <v>2720</v>
      </c>
      <c r="B42" t="s">
        <v>1</v>
      </c>
      <c r="C42" t="s">
        <v>4257</v>
      </c>
      <c r="D42" t="s">
        <v>4258</v>
      </c>
      <c r="E42" t="s">
        <v>4259</v>
      </c>
      <c r="I42" t="s">
        <v>326</v>
      </c>
      <c r="J42" t="s">
        <v>1</v>
      </c>
      <c r="K42" t="s">
        <v>4260</v>
      </c>
    </row>
    <row r="43" spans="1:11">
      <c r="A43" t="s">
        <v>2723</v>
      </c>
      <c r="B43" t="s">
        <v>1</v>
      </c>
      <c r="C43" t="s">
        <v>4257</v>
      </c>
      <c r="D43" t="s">
        <v>4258</v>
      </c>
      <c r="E43" t="s">
        <v>4259</v>
      </c>
      <c r="I43" t="s">
        <v>404</v>
      </c>
      <c r="J43" t="s">
        <v>1</v>
      </c>
      <c r="K43" t="s">
        <v>4260</v>
      </c>
    </row>
    <row r="44" spans="1:11">
      <c r="A44" t="s">
        <v>2727</v>
      </c>
      <c r="B44" t="s">
        <v>1</v>
      </c>
      <c r="C44" t="s">
        <v>4257</v>
      </c>
      <c r="D44" t="s">
        <v>4258</v>
      </c>
      <c r="E44" t="s">
        <v>4259</v>
      </c>
      <c r="I44" t="s">
        <v>336</v>
      </c>
      <c r="J44" t="s">
        <v>1</v>
      </c>
      <c r="K44" t="s">
        <v>4260</v>
      </c>
    </row>
    <row r="45" spans="1:11">
      <c r="A45" t="s">
        <v>2731</v>
      </c>
      <c r="B45" t="s">
        <v>1</v>
      </c>
      <c r="C45" t="s">
        <v>4257</v>
      </c>
      <c r="D45" t="s">
        <v>4258</v>
      </c>
      <c r="E45" t="s">
        <v>4259</v>
      </c>
      <c r="I45" t="s">
        <v>339</v>
      </c>
      <c r="J45" t="s">
        <v>1</v>
      </c>
      <c r="K45" t="s">
        <v>4260</v>
      </c>
    </row>
    <row r="46" spans="1:11">
      <c r="A46" t="s">
        <v>2734</v>
      </c>
      <c r="B46" t="s">
        <v>1</v>
      </c>
      <c r="C46" t="s">
        <v>4257</v>
      </c>
      <c r="D46" t="s">
        <v>4258</v>
      </c>
      <c r="E46" t="s">
        <v>4259</v>
      </c>
      <c r="I46" t="s">
        <v>342</v>
      </c>
      <c r="J46" t="s">
        <v>1</v>
      </c>
      <c r="K46" t="s">
        <v>4260</v>
      </c>
    </row>
    <row r="47" spans="1:11">
      <c r="A47" t="s">
        <v>2737</v>
      </c>
      <c r="B47" t="s">
        <v>1</v>
      </c>
      <c r="C47" t="s">
        <v>4257</v>
      </c>
      <c r="D47" t="s">
        <v>4258</v>
      </c>
      <c r="E47" t="s">
        <v>4259</v>
      </c>
      <c r="I47" t="s">
        <v>349</v>
      </c>
      <c r="J47" t="s">
        <v>1</v>
      </c>
      <c r="K47" t="s">
        <v>4260</v>
      </c>
    </row>
    <row r="48" spans="1:11">
      <c r="A48" t="s">
        <v>2741</v>
      </c>
      <c r="B48" t="s">
        <v>1</v>
      </c>
      <c r="C48" t="s">
        <v>4257</v>
      </c>
      <c r="D48" t="s">
        <v>4258</v>
      </c>
      <c r="E48" t="s">
        <v>4259</v>
      </c>
      <c r="I48" t="s">
        <v>354</v>
      </c>
      <c r="J48" t="s">
        <v>1</v>
      </c>
      <c r="K48" t="s">
        <v>4260</v>
      </c>
    </row>
    <row r="49" spans="1:11">
      <c r="A49" t="s">
        <v>2744</v>
      </c>
      <c r="B49" t="s">
        <v>1</v>
      </c>
      <c r="C49" t="s">
        <v>4257</v>
      </c>
      <c r="D49" t="s">
        <v>4258</v>
      </c>
      <c r="E49" t="s">
        <v>4259</v>
      </c>
      <c r="I49" t="s">
        <v>358</v>
      </c>
      <c r="J49" t="s">
        <v>1</v>
      </c>
      <c r="K49" t="s">
        <v>4260</v>
      </c>
    </row>
    <row r="50" spans="1:11">
      <c r="A50" t="s">
        <v>2747</v>
      </c>
      <c r="B50" t="s">
        <v>1</v>
      </c>
      <c r="C50" t="s">
        <v>4257</v>
      </c>
      <c r="D50" t="s">
        <v>4258</v>
      </c>
      <c r="E50" t="s">
        <v>4259</v>
      </c>
      <c r="I50" t="s">
        <v>363</v>
      </c>
      <c r="J50" t="s">
        <v>1</v>
      </c>
      <c r="K50" t="s">
        <v>4260</v>
      </c>
    </row>
    <row r="51" spans="1:11">
      <c r="A51" t="s">
        <v>2752</v>
      </c>
      <c r="B51" t="s">
        <v>1</v>
      </c>
      <c r="C51" t="s">
        <v>4257</v>
      </c>
      <c r="D51" t="s">
        <v>4258</v>
      </c>
      <c r="E51" t="s">
        <v>4259</v>
      </c>
      <c r="I51" t="s">
        <v>368</v>
      </c>
      <c r="J51" t="s">
        <v>1</v>
      </c>
      <c r="K51" t="s">
        <v>4260</v>
      </c>
    </row>
    <row r="52" spans="1:11">
      <c r="A52" t="s">
        <v>2755</v>
      </c>
      <c r="B52" t="s">
        <v>1</v>
      </c>
      <c r="C52" t="s">
        <v>4257</v>
      </c>
      <c r="D52" t="s">
        <v>4258</v>
      </c>
      <c r="E52" t="s">
        <v>4259</v>
      </c>
      <c r="I52" t="s">
        <v>373</v>
      </c>
      <c r="J52" t="s">
        <v>1</v>
      </c>
      <c r="K52" t="s">
        <v>4260</v>
      </c>
    </row>
    <row r="53" spans="1:11">
      <c r="A53" t="s">
        <v>2761</v>
      </c>
      <c r="B53" t="s">
        <v>1</v>
      </c>
      <c r="C53" t="s">
        <v>4257</v>
      </c>
      <c r="D53" t="s">
        <v>4261</v>
      </c>
      <c r="E53" t="s">
        <v>4262</v>
      </c>
      <c r="I53" t="s">
        <v>378</v>
      </c>
      <c r="J53" t="s">
        <v>1</v>
      </c>
      <c r="K53" t="s">
        <v>4260</v>
      </c>
    </row>
    <row r="54" spans="1:11">
      <c r="A54" t="s">
        <v>2765</v>
      </c>
      <c r="B54" t="s">
        <v>1</v>
      </c>
      <c r="C54" t="s">
        <v>4257</v>
      </c>
      <c r="D54" t="s">
        <v>4261</v>
      </c>
      <c r="E54" t="s">
        <v>4262</v>
      </c>
      <c r="I54" t="s">
        <v>410</v>
      </c>
      <c r="J54" t="s">
        <v>1</v>
      </c>
      <c r="K54" t="s">
        <v>4260</v>
      </c>
    </row>
    <row r="55" spans="1:11">
      <c r="A55" t="s">
        <v>2768</v>
      </c>
      <c r="B55" t="s">
        <v>1</v>
      </c>
      <c r="C55" t="s">
        <v>4257</v>
      </c>
      <c r="D55" t="s">
        <v>4261</v>
      </c>
      <c r="E55" t="s">
        <v>4262</v>
      </c>
      <c r="I55" t="s">
        <v>331</v>
      </c>
      <c r="J55" t="s">
        <v>1</v>
      </c>
      <c r="K55" t="s">
        <v>4260</v>
      </c>
    </row>
    <row r="56" spans="1:11">
      <c r="A56" t="s">
        <v>2773</v>
      </c>
      <c r="B56" t="s">
        <v>1</v>
      </c>
      <c r="C56" t="s">
        <v>4257</v>
      </c>
      <c r="D56" t="s">
        <v>4261</v>
      </c>
      <c r="E56" t="s">
        <v>4262</v>
      </c>
      <c r="I56" t="s">
        <v>383</v>
      </c>
      <c r="J56" t="s">
        <v>1</v>
      </c>
      <c r="K56" t="s">
        <v>4260</v>
      </c>
    </row>
    <row r="57" spans="1:11">
      <c r="A57" t="s">
        <v>2778</v>
      </c>
      <c r="B57" t="s">
        <v>1</v>
      </c>
      <c r="C57" t="s">
        <v>4257</v>
      </c>
      <c r="D57" t="s">
        <v>4261</v>
      </c>
      <c r="E57" t="s">
        <v>4262</v>
      </c>
      <c r="I57" t="s">
        <v>415</v>
      </c>
      <c r="J57" t="s">
        <v>1</v>
      </c>
      <c r="K57" t="s">
        <v>4260</v>
      </c>
    </row>
    <row r="58" spans="1:11">
      <c r="A58" t="s">
        <v>2781</v>
      </c>
      <c r="B58" t="s">
        <v>1</v>
      </c>
      <c r="C58" t="s">
        <v>4257</v>
      </c>
      <c r="D58" t="s">
        <v>4261</v>
      </c>
      <c r="E58" t="s">
        <v>4262</v>
      </c>
      <c r="I58" t="s">
        <v>394</v>
      </c>
      <c r="J58" t="s">
        <v>1</v>
      </c>
      <c r="K58" t="s">
        <v>4260</v>
      </c>
    </row>
    <row r="59" spans="1:11">
      <c r="A59" t="s">
        <v>2784</v>
      </c>
      <c r="B59" t="s">
        <v>1</v>
      </c>
      <c r="C59" t="s">
        <v>4257</v>
      </c>
      <c r="D59" t="s">
        <v>4261</v>
      </c>
      <c r="E59" t="s">
        <v>4262</v>
      </c>
      <c r="I59" t="s">
        <v>420</v>
      </c>
      <c r="J59" t="s">
        <v>1</v>
      </c>
      <c r="K59" t="s">
        <v>4260</v>
      </c>
    </row>
    <row r="60" spans="1:11">
      <c r="A60" t="s">
        <v>2789</v>
      </c>
      <c r="B60" t="s">
        <v>1</v>
      </c>
      <c r="C60" t="s">
        <v>4257</v>
      </c>
      <c r="D60" t="s">
        <v>4261</v>
      </c>
      <c r="E60" t="s">
        <v>4262</v>
      </c>
      <c r="I60" t="s">
        <v>399</v>
      </c>
      <c r="J60" t="s">
        <v>1</v>
      </c>
      <c r="K60" t="s">
        <v>4260</v>
      </c>
    </row>
    <row r="61" spans="1:11">
      <c r="A61" t="s">
        <v>2795</v>
      </c>
      <c r="B61" t="s">
        <v>1</v>
      </c>
      <c r="C61" t="s">
        <v>4257</v>
      </c>
      <c r="D61" t="s">
        <v>4261</v>
      </c>
      <c r="E61" t="s">
        <v>4262</v>
      </c>
      <c r="I61" t="s">
        <v>389</v>
      </c>
      <c r="J61" t="s">
        <v>1</v>
      </c>
      <c r="K61" t="s">
        <v>4260</v>
      </c>
    </row>
    <row r="62" spans="1:11">
      <c r="A62" t="s">
        <v>2799</v>
      </c>
      <c r="B62" t="s">
        <v>1</v>
      </c>
      <c r="C62" t="s">
        <v>4257</v>
      </c>
      <c r="D62" t="s">
        <v>4261</v>
      </c>
      <c r="E62" t="s">
        <v>4262</v>
      </c>
      <c r="I62" t="s">
        <v>424</v>
      </c>
      <c r="J62" t="s">
        <v>1</v>
      </c>
      <c r="K62" t="s">
        <v>4260</v>
      </c>
    </row>
    <row r="63" spans="1:11">
      <c r="A63" t="s">
        <v>2803</v>
      </c>
      <c r="B63" t="s">
        <v>1</v>
      </c>
      <c r="C63" t="s">
        <v>4257</v>
      </c>
      <c r="D63" t="s">
        <v>4258</v>
      </c>
      <c r="E63" t="s">
        <v>4259</v>
      </c>
      <c r="I63" t="s">
        <v>428</v>
      </c>
      <c r="J63" t="s">
        <v>1</v>
      </c>
      <c r="K63" t="s">
        <v>4260</v>
      </c>
    </row>
    <row r="64" spans="1:11">
      <c r="A64" t="s">
        <v>2807</v>
      </c>
      <c r="B64" t="s">
        <v>1</v>
      </c>
      <c r="C64" t="s">
        <v>4257</v>
      </c>
      <c r="D64" t="s">
        <v>4258</v>
      </c>
      <c r="E64" t="s">
        <v>4259</v>
      </c>
      <c r="I64" t="s">
        <v>433</v>
      </c>
      <c r="J64" t="s">
        <v>1</v>
      </c>
      <c r="K64" t="s">
        <v>4260</v>
      </c>
    </row>
    <row r="65" spans="1:11">
      <c r="A65" t="s">
        <v>2810</v>
      </c>
      <c r="B65" t="s">
        <v>1</v>
      </c>
      <c r="C65" t="s">
        <v>4257</v>
      </c>
      <c r="D65" t="s">
        <v>4258</v>
      </c>
      <c r="E65" t="s">
        <v>4259</v>
      </c>
      <c r="I65" t="s">
        <v>438</v>
      </c>
      <c r="J65" t="s">
        <v>1</v>
      </c>
      <c r="K65" t="s">
        <v>4260</v>
      </c>
    </row>
    <row r="66" spans="1:11">
      <c r="A66" t="s">
        <v>2813</v>
      </c>
      <c r="B66" t="s">
        <v>1</v>
      </c>
      <c r="C66" t="s">
        <v>4257</v>
      </c>
      <c r="D66" t="s">
        <v>4258</v>
      </c>
      <c r="E66" t="s">
        <v>4259</v>
      </c>
      <c r="I66" t="s">
        <v>443</v>
      </c>
      <c r="J66" t="s">
        <v>1</v>
      </c>
      <c r="K66" t="s">
        <v>4260</v>
      </c>
    </row>
    <row r="67" spans="1:11">
      <c r="A67" t="s">
        <v>2816</v>
      </c>
      <c r="B67" t="s">
        <v>1</v>
      </c>
      <c r="C67" t="s">
        <v>4257</v>
      </c>
      <c r="D67" t="s">
        <v>4258</v>
      </c>
      <c r="E67" t="s">
        <v>4259</v>
      </c>
      <c r="I67" t="s">
        <v>448</v>
      </c>
      <c r="J67" t="s">
        <v>1</v>
      </c>
      <c r="K67" t="s">
        <v>4260</v>
      </c>
    </row>
    <row r="68" spans="1:11">
      <c r="A68" t="s">
        <v>2819</v>
      </c>
      <c r="B68" t="s">
        <v>1</v>
      </c>
      <c r="C68" t="s">
        <v>4257</v>
      </c>
      <c r="D68" t="s">
        <v>4258</v>
      </c>
      <c r="E68" t="s">
        <v>4259</v>
      </c>
      <c r="I68" t="s">
        <v>451</v>
      </c>
      <c r="J68" t="s">
        <v>1</v>
      </c>
      <c r="K68" t="s">
        <v>4260</v>
      </c>
    </row>
    <row r="69" spans="1:11">
      <c r="A69" t="s">
        <v>2825</v>
      </c>
      <c r="B69" t="s">
        <v>1</v>
      </c>
      <c r="C69" t="s">
        <v>4257</v>
      </c>
      <c r="D69" t="s">
        <v>4258</v>
      </c>
      <c r="E69" t="s">
        <v>4259</v>
      </c>
      <c r="I69" t="s">
        <v>456</v>
      </c>
      <c r="J69" t="s">
        <v>1</v>
      </c>
      <c r="K69" t="s">
        <v>4260</v>
      </c>
    </row>
    <row r="70" spans="1:11">
      <c r="A70" t="s">
        <v>2828</v>
      </c>
      <c r="B70" t="s">
        <v>1</v>
      </c>
      <c r="C70" t="s">
        <v>4257</v>
      </c>
      <c r="D70" t="s">
        <v>4258</v>
      </c>
      <c r="E70" t="s">
        <v>4259</v>
      </c>
      <c r="I70" t="s">
        <v>461</v>
      </c>
      <c r="J70" t="s">
        <v>1</v>
      </c>
      <c r="K70" t="s">
        <v>4260</v>
      </c>
    </row>
    <row r="71" spans="1:11">
      <c r="A71" t="s">
        <v>2831</v>
      </c>
      <c r="B71" t="s">
        <v>1</v>
      </c>
      <c r="C71" t="s">
        <v>4257</v>
      </c>
      <c r="D71" t="s">
        <v>4258</v>
      </c>
      <c r="E71" t="s">
        <v>4259</v>
      </c>
      <c r="I71" t="s">
        <v>467</v>
      </c>
      <c r="J71" t="s">
        <v>1</v>
      </c>
      <c r="K71" t="s">
        <v>4260</v>
      </c>
    </row>
    <row r="72" spans="1:11">
      <c r="A72" t="s">
        <v>2834</v>
      </c>
      <c r="B72" t="s">
        <v>1</v>
      </c>
      <c r="C72" t="s">
        <v>4257</v>
      </c>
      <c r="D72" t="s">
        <v>4258</v>
      </c>
      <c r="E72" t="s">
        <v>4259</v>
      </c>
      <c r="I72" t="s">
        <v>475</v>
      </c>
      <c r="J72" t="s">
        <v>1</v>
      </c>
      <c r="K72" t="s">
        <v>4260</v>
      </c>
    </row>
    <row r="73" spans="1:11">
      <c r="A73" t="s">
        <v>2837</v>
      </c>
      <c r="B73" t="s">
        <v>1</v>
      </c>
      <c r="C73" t="s">
        <v>4257</v>
      </c>
      <c r="D73" t="s">
        <v>4258</v>
      </c>
      <c r="E73" t="s">
        <v>4259</v>
      </c>
      <c r="I73" t="s">
        <v>478</v>
      </c>
      <c r="J73" t="s">
        <v>1</v>
      </c>
      <c r="K73" t="s">
        <v>4260</v>
      </c>
    </row>
    <row r="74" spans="1:11">
      <c r="A74" t="s">
        <v>2840</v>
      </c>
      <c r="B74" t="s">
        <v>1</v>
      </c>
      <c r="C74" t="s">
        <v>4257</v>
      </c>
      <c r="D74" t="s">
        <v>4258</v>
      </c>
      <c r="E74" t="s">
        <v>4259</v>
      </c>
      <c r="I74" t="s">
        <v>485</v>
      </c>
      <c r="J74" t="s">
        <v>1</v>
      </c>
      <c r="K74" t="s">
        <v>4260</v>
      </c>
    </row>
    <row r="75" spans="1:11">
      <c r="A75" t="s">
        <v>2843</v>
      </c>
      <c r="B75" t="s">
        <v>1</v>
      </c>
      <c r="C75" t="s">
        <v>4257</v>
      </c>
      <c r="D75" t="s">
        <v>4258</v>
      </c>
      <c r="E75" t="s">
        <v>4259</v>
      </c>
      <c r="I75" t="s">
        <v>491</v>
      </c>
      <c r="J75" t="s">
        <v>1</v>
      </c>
      <c r="K75" t="s">
        <v>4260</v>
      </c>
    </row>
    <row r="76" spans="1:11">
      <c r="A76" t="s">
        <v>2848</v>
      </c>
      <c r="B76" t="s">
        <v>1</v>
      </c>
      <c r="C76" t="s">
        <v>4257</v>
      </c>
      <c r="D76" t="s">
        <v>4258</v>
      </c>
      <c r="E76" t="s">
        <v>4259</v>
      </c>
      <c r="I76" t="s">
        <v>496</v>
      </c>
      <c r="J76" t="s">
        <v>1</v>
      </c>
      <c r="K76" t="s">
        <v>4260</v>
      </c>
    </row>
    <row r="77" spans="1:11">
      <c r="A77" t="s">
        <v>2851</v>
      </c>
      <c r="B77" t="s">
        <v>1</v>
      </c>
      <c r="C77" t="s">
        <v>4257</v>
      </c>
      <c r="D77" t="s">
        <v>4258</v>
      </c>
      <c r="E77" t="s">
        <v>4259</v>
      </c>
      <c r="I77" t="s">
        <v>501</v>
      </c>
      <c r="J77" t="s">
        <v>1</v>
      </c>
      <c r="K77" t="s">
        <v>4260</v>
      </c>
    </row>
    <row r="78" spans="1:11">
      <c r="A78" t="s">
        <v>2854</v>
      </c>
      <c r="B78" t="s">
        <v>1</v>
      </c>
      <c r="C78" t="s">
        <v>4257</v>
      </c>
      <c r="D78" t="s">
        <v>4258</v>
      </c>
      <c r="E78" t="s">
        <v>4259</v>
      </c>
      <c r="I78" t="s">
        <v>507</v>
      </c>
      <c r="J78" t="s">
        <v>1</v>
      </c>
      <c r="K78" t="s">
        <v>4260</v>
      </c>
    </row>
    <row r="79" spans="1:11">
      <c r="A79" t="s">
        <v>2859</v>
      </c>
      <c r="B79" t="s">
        <v>1</v>
      </c>
      <c r="C79" t="s">
        <v>4257</v>
      </c>
      <c r="D79" t="s">
        <v>4258</v>
      </c>
      <c r="E79" t="s">
        <v>4259</v>
      </c>
      <c r="I79" t="s">
        <v>510</v>
      </c>
      <c r="J79" t="s">
        <v>1</v>
      </c>
      <c r="K79" t="s">
        <v>4260</v>
      </c>
    </row>
    <row r="80" spans="1:11">
      <c r="A80" t="s">
        <v>2864</v>
      </c>
      <c r="B80" t="s">
        <v>1</v>
      </c>
      <c r="C80" t="s">
        <v>4257</v>
      </c>
      <c r="D80" t="s">
        <v>4258</v>
      </c>
      <c r="E80" t="s">
        <v>4259</v>
      </c>
      <c r="I80" t="s">
        <v>513</v>
      </c>
      <c r="J80" t="s">
        <v>1</v>
      </c>
      <c r="K80" t="s">
        <v>4260</v>
      </c>
    </row>
    <row r="81" spans="1:11">
      <c r="A81" t="s">
        <v>2870</v>
      </c>
      <c r="B81" t="s">
        <v>1</v>
      </c>
      <c r="C81" t="s">
        <v>4257</v>
      </c>
      <c r="D81" t="s">
        <v>4258</v>
      </c>
      <c r="E81" t="s">
        <v>4259</v>
      </c>
      <c r="I81" t="s">
        <v>520</v>
      </c>
      <c r="J81" t="s">
        <v>1</v>
      </c>
      <c r="K81" t="s">
        <v>4260</v>
      </c>
    </row>
    <row r="82" spans="1:11">
      <c r="A82" t="s">
        <v>2876</v>
      </c>
      <c r="B82" t="s">
        <v>1</v>
      </c>
      <c r="C82" t="s">
        <v>4257</v>
      </c>
      <c r="D82" t="s">
        <v>4258</v>
      </c>
      <c r="E82" t="s">
        <v>4259</v>
      </c>
      <c r="I82" t="s">
        <v>523</v>
      </c>
      <c r="J82" t="s">
        <v>1</v>
      </c>
      <c r="K82" t="s">
        <v>4260</v>
      </c>
    </row>
    <row r="83" spans="1:11">
      <c r="A83" t="s">
        <v>2881</v>
      </c>
      <c r="B83" t="s">
        <v>1</v>
      </c>
      <c r="C83" t="s">
        <v>4257</v>
      </c>
      <c r="D83" t="s">
        <v>4258</v>
      </c>
      <c r="E83" t="s">
        <v>4259</v>
      </c>
      <c r="I83" t="s">
        <v>527</v>
      </c>
      <c r="J83" t="s">
        <v>1</v>
      </c>
      <c r="K83" t="s">
        <v>4260</v>
      </c>
    </row>
    <row r="84" spans="1:11">
      <c r="A84" t="s">
        <v>2885</v>
      </c>
      <c r="B84" t="s">
        <v>1</v>
      </c>
      <c r="C84" t="s">
        <v>4257</v>
      </c>
      <c r="D84" t="s">
        <v>4261</v>
      </c>
      <c r="E84" t="s">
        <v>4262</v>
      </c>
      <c r="I84" t="s">
        <v>530</v>
      </c>
      <c r="J84" t="s">
        <v>1</v>
      </c>
      <c r="K84" t="s">
        <v>4260</v>
      </c>
    </row>
    <row r="85" spans="1:11">
      <c r="A85" t="s">
        <v>2889</v>
      </c>
      <c r="B85" t="s">
        <v>1</v>
      </c>
      <c r="C85" t="s">
        <v>4257</v>
      </c>
      <c r="D85" t="s">
        <v>4261</v>
      </c>
      <c r="E85" t="s">
        <v>4262</v>
      </c>
      <c r="I85" t="s">
        <v>533</v>
      </c>
      <c r="J85" t="s">
        <v>1</v>
      </c>
      <c r="K85" t="s">
        <v>4260</v>
      </c>
    </row>
    <row r="86" spans="1:11">
      <c r="A86" t="s">
        <v>2892</v>
      </c>
      <c r="B86" t="s">
        <v>1</v>
      </c>
      <c r="C86" t="s">
        <v>4257</v>
      </c>
      <c r="D86" t="s">
        <v>4261</v>
      </c>
      <c r="E86" t="s">
        <v>4262</v>
      </c>
      <c r="I86" t="s">
        <v>536</v>
      </c>
      <c r="J86" t="s">
        <v>1</v>
      </c>
      <c r="K86" t="s">
        <v>4260</v>
      </c>
    </row>
    <row r="87" spans="1:11">
      <c r="A87" t="s">
        <v>2895</v>
      </c>
      <c r="B87" t="s">
        <v>1</v>
      </c>
      <c r="C87" t="s">
        <v>4257</v>
      </c>
      <c r="D87" t="s">
        <v>4261</v>
      </c>
      <c r="E87" t="s">
        <v>4262</v>
      </c>
      <c r="I87" t="s">
        <v>539</v>
      </c>
      <c r="J87" t="s">
        <v>1</v>
      </c>
      <c r="K87" t="s">
        <v>4260</v>
      </c>
    </row>
    <row r="88" spans="1:11">
      <c r="A88" t="s">
        <v>2898</v>
      </c>
      <c r="B88" t="s">
        <v>1</v>
      </c>
      <c r="C88" t="s">
        <v>4257</v>
      </c>
      <c r="D88" t="s">
        <v>4261</v>
      </c>
      <c r="E88" t="s">
        <v>4262</v>
      </c>
      <c r="I88" t="s">
        <v>542</v>
      </c>
      <c r="J88" t="s">
        <v>1</v>
      </c>
      <c r="K88" t="s">
        <v>4260</v>
      </c>
    </row>
    <row r="89" spans="1:11">
      <c r="A89" t="s">
        <v>2903</v>
      </c>
      <c r="B89" t="s">
        <v>1</v>
      </c>
      <c r="C89" t="s">
        <v>4257</v>
      </c>
      <c r="D89" t="s">
        <v>4261</v>
      </c>
      <c r="E89" t="s">
        <v>4262</v>
      </c>
      <c r="I89" t="s">
        <v>545</v>
      </c>
      <c r="J89" t="s">
        <v>1</v>
      </c>
      <c r="K89" t="s">
        <v>4260</v>
      </c>
    </row>
    <row r="90" spans="1:11">
      <c r="A90" t="s">
        <v>2906</v>
      </c>
      <c r="B90" t="s">
        <v>1</v>
      </c>
      <c r="C90" t="s">
        <v>4257</v>
      </c>
      <c r="D90" t="s">
        <v>4261</v>
      </c>
      <c r="E90" t="s">
        <v>4262</v>
      </c>
      <c r="I90" t="s">
        <v>550</v>
      </c>
      <c r="J90" t="s">
        <v>1</v>
      </c>
      <c r="K90" t="s">
        <v>4260</v>
      </c>
    </row>
    <row r="91" spans="1:11">
      <c r="A91" t="s">
        <v>2911</v>
      </c>
      <c r="B91" t="s">
        <v>1</v>
      </c>
      <c r="C91" t="s">
        <v>4257</v>
      </c>
      <c r="D91" t="s">
        <v>4261</v>
      </c>
      <c r="E91" t="s">
        <v>4262</v>
      </c>
      <c r="I91" t="s">
        <v>555</v>
      </c>
      <c r="J91" t="s">
        <v>1</v>
      </c>
      <c r="K91" t="s">
        <v>4260</v>
      </c>
    </row>
    <row r="92" spans="1:11">
      <c r="A92" t="s">
        <v>2914</v>
      </c>
      <c r="B92" t="s">
        <v>1</v>
      </c>
      <c r="C92" t="s">
        <v>4257</v>
      </c>
      <c r="D92" t="s">
        <v>4261</v>
      </c>
      <c r="E92" t="s">
        <v>4262</v>
      </c>
      <c r="I92" t="s">
        <v>560</v>
      </c>
      <c r="J92" t="s">
        <v>1</v>
      </c>
      <c r="K92" t="s">
        <v>4260</v>
      </c>
    </row>
    <row r="93" spans="1:11">
      <c r="A93" t="s">
        <v>2919</v>
      </c>
      <c r="B93" t="s">
        <v>1</v>
      </c>
      <c r="C93" t="s">
        <v>4257</v>
      </c>
      <c r="D93" t="s">
        <v>4261</v>
      </c>
      <c r="E93" t="s">
        <v>4262</v>
      </c>
      <c r="I93" t="s">
        <v>565</v>
      </c>
      <c r="J93" t="s">
        <v>1</v>
      </c>
      <c r="K93" t="s">
        <v>4260</v>
      </c>
    </row>
    <row r="94" spans="1:11">
      <c r="A94" t="s">
        <v>2924</v>
      </c>
      <c r="B94" t="s">
        <v>1</v>
      </c>
      <c r="C94" t="s">
        <v>4257</v>
      </c>
      <c r="D94" t="s">
        <v>4261</v>
      </c>
      <c r="E94" t="s">
        <v>4262</v>
      </c>
      <c r="I94" t="s">
        <v>570</v>
      </c>
      <c r="J94" t="s">
        <v>1</v>
      </c>
      <c r="K94" t="s">
        <v>4260</v>
      </c>
    </row>
    <row r="95" spans="1:11">
      <c r="A95" t="s">
        <v>2927</v>
      </c>
      <c r="B95" t="s">
        <v>1</v>
      </c>
      <c r="C95" t="s">
        <v>4257</v>
      </c>
      <c r="D95" t="s">
        <v>4261</v>
      </c>
      <c r="E95" t="s">
        <v>4262</v>
      </c>
      <c r="I95" t="s">
        <v>575</v>
      </c>
      <c r="J95" t="s">
        <v>1</v>
      </c>
      <c r="K95" t="s">
        <v>4260</v>
      </c>
    </row>
    <row r="96" spans="1:11">
      <c r="A96" t="s">
        <v>2931</v>
      </c>
      <c r="B96" t="s">
        <v>1</v>
      </c>
      <c r="C96" t="s">
        <v>4257</v>
      </c>
      <c r="D96" t="s">
        <v>4258</v>
      </c>
      <c r="E96" t="s">
        <v>4259</v>
      </c>
      <c r="I96" t="s">
        <v>580</v>
      </c>
      <c r="J96" t="s">
        <v>1</v>
      </c>
      <c r="K96" t="s">
        <v>4260</v>
      </c>
    </row>
    <row r="97" spans="1:11">
      <c r="A97" t="s">
        <v>2935</v>
      </c>
      <c r="B97" t="s">
        <v>1</v>
      </c>
      <c r="C97" t="s">
        <v>4257</v>
      </c>
      <c r="D97" t="s">
        <v>4258</v>
      </c>
      <c r="E97" t="s">
        <v>4259</v>
      </c>
      <c r="I97" t="s">
        <v>585</v>
      </c>
      <c r="J97" t="s">
        <v>1</v>
      </c>
      <c r="K97" t="s">
        <v>4260</v>
      </c>
    </row>
    <row r="98" spans="1:11">
      <c r="A98" t="s">
        <v>2938</v>
      </c>
      <c r="B98" t="s">
        <v>1</v>
      </c>
      <c r="C98" t="s">
        <v>4257</v>
      </c>
      <c r="D98" t="s">
        <v>4258</v>
      </c>
      <c r="E98" t="s">
        <v>4259</v>
      </c>
      <c r="I98" t="s">
        <v>588</v>
      </c>
      <c r="J98" t="s">
        <v>1</v>
      </c>
      <c r="K98" t="s">
        <v>4260</v>
      </c>
    </row>
    <row r="99" spans="1:11">
      <c r="A99" t="s">
        <v>2943</v>
      </c>
      <c r="B99" t="s">
        <v>1</v>
      </c>
      <c r="C99" t="s">
        <v>4257</v>
      </c>
      <c r="D99" t="s">
        <v>4258</v>
      </c>
      <c r="E99" t="s">
        <v>4259</v>
      </c>
      <c r="I99" t="s">
        <v>592</v>
      </c>
      <c r="J99" t="s">
        <v>1</v>
      </c>
      <c r="K99" t="s">
        <v>4260</v>
      </c>
    </row>
    <row r="100" spans="1:11">
      <c r="A100" t="s">
        <v>2948</v>
      </c>
      <c r="B100" t="s">
        <v>1</v>
      </c>
      <c r="C100" t="s">
        <v>4257</v>
      </c>
      <c r="D100" t="s">
        <v>4258</v>
      </c>
      <c r="E100" t="s">
        <v>4259</v>
      </c>
      <c r="I100" t="s">
        <v>597</v>
      </c>
      <c r="J100" t="s">
        <v>1</v>
      </c>
      <c r="K100" t="s">
        <v>4260</v>
      </c>
    </row>
    <row r="101" spans="1:11">
      <c r="A101" t="s">
        <v>2953</v>
      </c>
      <c r="B101" t="s">
        <v>1</v>
      </c>
      <c r="C101" t="s">
        <v>4257</v>
      </c>
      <c r="D101" t="s">
        <v>4258</v>
      </c>
      <c r="E101" t="s">
        <v>4259</v>
      </c>
      <c r="I101" t="s">
        <v>600</v>
      </c>
      <c r="J101" t="s">
        <v>1</v>
      </c>
      <c r="K101" t="s">
        <v>4260</v>
      </c>
    </row>
    <row r="102" spans="1:11">
      <c r="A102" t="s">
        <v>2958</v>
      </c>
      <c r="B102" t="s">
        <v>1</v>
      </c>
      <c r="C102" t="s">
        <v>4257</v>
      </c>
      <c r="D102" t="s">
        <v>4258</v>
      </c>
      <c r="E102" t="s">
        <v>4259</v>
      </c>
      <c r="I102" t="s">
        <v>606</v>
      </c>
      <c r="J102" t="s">
        <v>1</v>
      </c>
      <c r="K102" t="s">
        <v>4260</v>
      </c>
    </row>
    <row r="103" spans="1:11">
      <c r="A103" t="s">
        <v>2963</v>
      </c>
      <c r="B103" t="s">
        <v>1</v>
      </c>
      <c r="C103" t="s">
        <v>4257</v>
      </c>
      <c r="D103" t="s">
        <v>4258</v>
      </c>
      <c r="E103" t="s">
        <v>4259</v>
      </c>
      <c r="I103" t="s">
        <v>612</v>
      </c>
      <c r="J103" t="s">
        <v>1</v>
      </c>
      <c r="K103" t="s">
        <v>4260</v>
      </c>
    </row>
    <row r="104" spans="1:11">
      <c r="A104" t="s">
        <v>2969</v>
      </c>
      <c r="B104" t="s">
        <v>1</v>
      </c>
      <c r="C104" t="s">
        <v>4257</v>
      </c>
      <c r="D104" t="s">
        <v>4258</v>
      </c>
      <c r="E104" t="s">
        <v>4259</v>
      </c>
      <c r="I104" t="s">
        <v>615</v>
      </c>
      <c r="J104" t="s">
        <v>1</v>
      </c>
      <c r="K104" t="s">
        <v>4260</v>
      </c>
    </row>
    <row r="105" spans="1:11">
      <c r="A105" t="s">
        <v>2972</v>
      </c>
      <c r="B105" t="s">
        <v>1</v>
      </c>
      <c r="C105" t="s">
        <v>4257</v>
      </c>
      <c r="D105" t="s">
        <v>4258</v>
      </c>
      <c r="E105" t="s">
        <v>4259</v>
      </c>
      <c r="I105" t="s">
        <v>621</v>
      </c>
      <c r="J105" t="s">
        <v>1</v>
      </c>
      <c r="K105" t="s">
        <v>4260</v>
      </c>
    </row>
    <row r="106" spans="1:11">
      <c r="A106" t="s">
        <v>2977</v>
      </c>
      <c r="B106" t="s">
        <v>1</v>
      </c>
      <c r="C106" t="s">
        <v>4257</v>
      </c>
      <c r="D106" t="s">
        <v>4258</v>
      </c>
      <c r="E106" t="s">
        <v>4259</v>
      </c>
      <c r="I106" t="s">
        <v>624</v>
      </c>
      <c r="J106" t="s">
        <v>1</v>
      </c>
      <c r="K106" t="s">
        <v>4260</v>
      </c>
    </row>
    <row r="107" spans="1:11">
      <c r="A107" t="s">
        <v>2980</v>
      </c>
      <c r="B107" t="s">
        <v>1</v>
      </c>
      <c r="C107" t="s">
        <v>4257</v>
      </c>
      <c r="D107" t="s">
        <v>4258</v>
      </c>
      <c r="E107" t="s">
        <v>4259</v>
      </c>
      <c r="I107" t="s">
        <v>627</v>
      </c>
      <c r="J107" t="s">
        <v>1</v>
      </c>
      <c r="K107" t="s">
        <v>4260</v>
      </c>
    </row>
    <row r="108" spans="1:11">
      <c r="A108" t="s">
        <v>2985</v>
      </c>
      <c r="B108" t="s">
        <v>1</v>
      </c>
      <c r="C108" t="s">
        <v>4257</v>
      </c>
      <c r="D108" t="s">
        <v>4258</v>
      </c>
      <c r="E108" t="s">
        <v>4259</v>
      </c>
      <c r="I108" t="s">
        <v>630</v>
      </c>
      <c r="J108" t="s">
        <v>1</v>
      </c>
      <c r="K108" t="s">
        <v>4260</v>
      </c>
    </row>
    <row r="109" spans="1:11">
      <c r="A109" t="s">
        <v>2991</v>
      </c>
      <c r="B109" t="s">
        <v>1</v>
      </c>
      <c r="C109" t="s">
        <v>4257</v>
      </c>
      <c r="D109" t="s">
        <v>4258</v>
      </c>
      <c r="E109" t="s">
        <v>4259</v>
      </c>
      <c r="I109" t="s">
        <v>635</v>
      </c>
      <c r="J109" t="s">
        <v>1</v>
      </c>
      <c r="K109" t="s">
        <v>4260</v>
      </c>
    </row>
    <row r="110" spans="1:11">
      <c r="A110" t="s">
        <v>2995</v>
      </c>
      <c r="B110" t="s">
        <v>1</v>
      </c>
      <c r="C110" t="s">
        <v>4257</v>
      </c>
      <c r="D110" t="s">
        <v>4258</v>
      </c>
      <c r="E110" t="s">
        <v>4259</v>
      </c>
      <c r="I110" t="s">
        <v>638</v>
      </c>
      <c r="J110" t="s">
        <v>1</v>
      </c>
      <c r="K110" t="s">
        <v>4260</v>
      </c>
    </row>
    <row r="111" spans="1:11">
      <c r="A111" t="s">
        <v>2998</v>
      </c>
      <c r="B111" t="s">
        <v>1</v>
      </c>
      <c r="C111" t="s">
        <v>4257</v>
      </c>
      <c r="D111" t="s">
        <v>4258</v>
      </c>
      <c r="E111" t="s">
        <v>4259</v>
      </c>
      <c r="I111" t="s">
        <v>641</v>
      </c>
      <c r="J111" t="s">
        <v>1</v>
      </c>
      <c r="K111" t="s">
        <v>4260</v>
      </c>
    </row>
    <row r="112" spans="1:11">
      <c r="A112" t="s">
        <v>3001</v>
      </c>
      <c r="B112" t="s">
        <v>1</v>
      </c>
      <c r="C112" t="s">
        <v>4257</v>
      </c>
      <c r="D112" t="s">
        <v>4258</v>
      </c>
      <c r="E112" t="s">
        <v>4259</v>
      </c>
      <c r="I112" t="s">
        <v>644</v>
      </c>
      <c r="J112" t="s">
        <v>1</v>
      </c>
      <c r="K112" t="s">
        <v>4260</v>
      </c>
    </row>
    <row r="113" spans="1:11">
      <c r="A113" t="s">
        <v>3004</v>
      </c>
      <c r="B113" t="s">
        <v>1</v>
      </c>
      <c r="C113" t="s">
        <v>4257</v>
      </c>
      <c r="D113" t="s">
        <v>4258</v>
      </c>
      <c r="E113" t="s">
        <v>4259</v>
      </c>
      <c r="I113" t="s">
        <v>647</v>
      </c>
      <c r="J113" t="s">
        <v>1</v>
      </c>
      <c r="K113" t="s">
        <v>4260</v>
      </c>
    </row>
    <row r="114" spans="1:11">
      <c r="A114" t="s">
        <v>3007</v>
      </c>
      <c r="B114" t="s">
        <v>1</v>
      </c>
      <c r="C114" t="s">
        <v>4257</v>
      </c>
      <c r="D114" t="s">
        <v>4258</v>
      </c>
      <c r="E114" t="s">
        <v>4259</v>
      </c>
      <c r="I114" t="s">
        <v>650</v>
      </c>
      <c r="J114" t="s">
        <v>1</v>
      </c>
      <c r="K114" t="s">
        <v>4260</v>
      </c>
    </row>
    <row r="115" spans="1:11">
      <c r="A115" t="s">
        <v>3012</v>
      </c>
      <c r="B115" t="s">
        <v>1</v>
      </c>
      <c r="C115" t="s">
        <v>4257</v>
      </c>
      <c r="D115" t="s">
        <v>4258</v>
      </c>
      <c r="E115" t="s">
        <v>4259</v>
      </c>
      <c r="I115" t="s">
        <v>653</v>
      </c>
      <c r="J115" t="s">
        <v>1</v>
      </c>
      <c r="K115" t="s">
        <v>4260</v>
      </c>
    </row>
    <row r="116" spans="1:11">
      <c r="A116" t="s">
        <v>3015</v>
      </c>
      <c r="B116" t="s">
        <v>1</v>
      </c>
      <c r="C116" t="s">
        <v>4257</v>
      </c>
      <c r="D116" t="s">
        <v>4258</v>
      </c>
      <c r="E116" t="s">
        <v>4259</v>
      </c>
      <c r="I116" t="s">
        <v>659</v>
      </c>
      <c r="J116" t="s">
        <v>1</v>
      </c>
      <c r="K116" t="s">
        <v>4260</v>
      </c>
    </row>
    <row r="117" spans="1:11">
      <c r="A117" t="s">
        <v>3018</v>
      </c>
      <c r="B117" t="s">
        <v>1</v>
      </c>
      <c r="C117" t="s">
        <v>4257</v>
      </c>
      <c r="D117" t="s">
        <v>4258</v>
      </c>
      <c r="E117" t="s">
        <v>4259</v>
      </c>
      <c r="I117" t="s">
        <v>664</v>
      </c>
      <c r="J117" t="s">
        <v>1</v>
      </c>
      <c r="K117" t="s">
        <v>4260</v>
      </c>
    </row>
    <row r="118" spans="1:11">
      <c r="A118" t="s">
        <v>3021</v>
      </c>
      <c r="B118" t="s">
        <v>1</v>
      </c>
      <c r="C118" t="s">
        <v>4257</v>
      </c>
      <c r="D118" t="s">
        <v>4258</v>
      </c>
      <c r="E118" t="s">
        <v>4259</v>
      </c>
      <c r="I118" t="s">
        <v>669</v>
      </c>
      <c r="J118" t="s">
        <v>1</v>
      </c>
      <c r="K118" t="s">
        <v>4260</v>
      </c>
    </row>
    <row r="119" spans="1:11">
      <c r="A119" t="s">
        <v>3026</v>
      </c>
      <c r="B119" t="s">
        <v>1</v>
      </c>
      <c r="C119" t="s">
        <v>4257</v>
      </c>
      <c r="D119" t="s">
        <v>4258</v>
      </c>
      <c r="E119" t="s">
        <v>4259</v>
      </c>
      <c r="I119" t="s">
        <v>674</v>
      </c>
      <c r="J119" t="s">
        <v>1</v>
      </c>
      <c r="K119" t="s">
        <v>4260</v>
      </c>
    </row>
    <row r="120" spans="1:11">
      <c r="A120" t="s">
        <v>3030</v>
      </c>
      <c r="B120" t="s">
        <v>1</v>
      </c>
      <c r="C120" t="s">
        <v>4257</v>
      </c>
      <c r="D120" t="s">
        <v>4261</v>
      </c>
      <c r="E120" t="s">
        <v>4262</v>
      </c>
      <c r="I120" t="s">
        <v>678</v>
      </c>
      <c r="J120" t="s">
        <v>1</v>
      </c>
      <c r="K120" t="s">
        <v>4260</v>
      </c>
    </row>
    <row r="121" spans="1:11">
      <c r="A121" t="s">
        <v>3036</v>
      </c>
      <c r="B121" t="s">
        <v>1</v>
      </c>
      <c r="C121" t="s">
        <v>4257</v>
      </c>
      <c r="D121" t="s">
        <v>4261</v>
      </c>
      <c r="E121" t="s">
        <v>4262</v>
      </c>
      <c r="I121" t="s">
        <v>682</v>
      </c>
      <c r="J121" t="s">
        <v>1</v>
      </c>
      <c r="K121" t="s">
        <v>4260</v>
      </c>
    </row>
    <row r="122" spans="1:11">
      <c r="A122" t="s">
        <v>3039</v>
      </c>
      <c r="B122" t="s">
        <v>1</v>
      </c>
      <c r="C122" t="s">
        <v>4257</v>
      </c>
      <c r="D122" t="s">
        <v>4261</v>
      </c>
      <c r="E122" t="s">
        <v>4262</v>
      </c>
      <c r="I122" t="s">
        <v>687</v>
      </c>
      <c r="J122" t="s">
        <v>1</v>
      </c>
      <c r="K122" t="s">
        <v>4260</v>
      </c>
    </row>
    <row r="123" spans="1:11">
      <c r="A123" t="s">
        <v>3043</v>
      </c>
      <c r="B123" t="s">
        <v>1</v>
      </c>
      <c r="C123" t="s">
        <v>4257</v>
      </c>
      <c r="D123" t="s">
        <v>4261</v>
      </c>
      <c r="E123" t="s">
        <v>4262</v>
      </c>
      <c r="I123" t="s">
        <v>690</v>
      </c>
      <c r="J123" t="s">
        <v>1</v>
      </c>
      <c r="K123" t="s">
        <v>4260</v>
      </c>
    </row>
    <row r="124" spans="1:11">
      <c r="A124" t="s">
        <v>3046</v>
      </c>
      <c r="B124" t="s">
        <v>1</v>
      </c>
      <c r="C124" t="s">
        <v>4257</v>
      </c>
      <c r="D124" t="s">
        <v>4261</v>
      </c>
      <c r="E124" t="s">
        <v>4262</v>
      </c>
      <c r="I124" t="s">
        <v>693</v>
      </c>
      <c r="J124" t="s">
        <v>1</v>
      </c>
      <c r="K124" t="s">
        <v>4260</v>
      </c>
    </row>
    <row r="125" spans="1:11">
      <c r="A125" t="s">
        <v>3049</v>
      </c>
      <c r="B125" t="s">
        <v>1</v>
      </c>
      <c r="C125" t="s">
        <v>4257</v>
      </c>
      <c r="D125" t="s">
        <v>4261</v>
      </c>
      <c r="E125" t="s">
        <v>4262</v>
      </c>
      <c r="I125" t="s">
        <v>696</v>
      </c>
      <c r="J125" t="s">
        <v>1</v>
      </c>
      <c r="K125" t="s">
        <v>4260</v>
      </c>
    </row>
    <row r="126" spans="1:11">
      <c r="A126" t="s">
        <v>3054</v>
      </c>
      <c r="B126" t="s">
        <v>1</v>
      </c>
      <c r="C126" t="s">
        <v>4257</v>
      </c>
      <c r="D126" t="s">
        <v>4261</v>
      </c>
      <c r="E126" t="s">
        <v>4262</v>
      </c>
      <c r="I126" t="s">
        <v>699</v>
      </c>
      <c r="J126" t="s">
        <v>1</v>
      </c>
      <c r="K126" t="s">
        <v>4260</v>
      </c>
    </row>
    <row r="127" spans="1:11">
      <c r="A127" t="s">
        <v>3057</v>
      </c>
      <c r="B127" t="s">
        <v>1</v>
      </c>
      <c r="C127" t="s">
        <v>4257</v>
      </c>
      <c r="D127" t="s">
        <v>4261</v>
      </c>
      <c r="E127" t="s">
        <v>4262</v>
      </c>
      <c r="I127" t="s">
        <v>704</v>
      </c>
      <c r="J127" t="s">
        <v>1</v>
      </c>
      <c r="K127" t="s">
        <v>4260</v>
      </c>
    </row>
    <row r="128" spans="1:11">
      <c r="A128" t="s">
        <v>3060</v>
      </c>
      <c r="B128" t="s">
        <v>1</v>
      </c>
      <c r="C128" t="s">
        <v>4257</v>
      </c>
      <c r="D128" t="s">
        <v>4261</v>
      </c>
      <c r="E128" t="s">
        <v>4262</v>
      </c>
      <c r="I128" t="s">
        <v>707</v>
      </c>
      <c r="J128" t="s">
        <v>1</v>
      </c>
      <c r="K128" t="s">
        <v>4260</v>
      </c>
    </row>
    <row r="129" spans="1:11">
      <c r="A129" t="s">
        <v>3063</v>
      </c>
      <c r="B129" t="s">
        <v>1</v>
      </c>
      <c r="C129" t="s">
        <v>4257</v>
      </c>
      <c r="D129" t="s">
        <v>4261</v>
      </c>
      <c r="E129" t="s">
        <v>4262</v>
      </c>
      <c r="I129" t="s">
        <v>710</v>
      </c>
      <c r="J129" t="s">
        <v>1</v>
      </c>
      <c r="K129" t="s">
        <v>4260</v>
      </c>
    </row>
    <row r="130" spans="1:11">
      <c r="A130" t="s">
        <v>3069</v>
      </c>
      <c r="B130" t="s">
        <v>1</v>
      </c>
      <c r="C130" t="s">
        <v>4257</v>
      </c>
      <c r="D130" t="s">
        <v>4261</v>
      </c>
      <c r="E130" t="s">
        <v>4262</v>
      </c>
      <c r="I130" t="s">
        <v>713</v>
      </c>
      <c r="J130" t="s">
        <v>1</v>
      </c>
      <c r="K130" t="s">
        <v>4260</v>
      </c>
    </row>
    <row r="131" spans="1:11">
      <c r="A131" t="s">
        <v>3072</v>
      </c>
      <c r="B131" t="s">
        <v>1</v>
      </c>
      <c r="C131" t="s">
        <v>4257</v>
      </c>
      <c r="D131" t="s">
        <v>4261</v>
      </c>
      <c r="E131" t="s">
        <v>4262</v>
      </c>
      <c r="I131" t="s">
        <v>716</v>
      </c>
      <c r="J131" t="s">
        <v>1</v>
      </c>
      <c r="K131" t="s">
        <v>4260</v>
      </c>
    </row>
    <row r="132" spans="1:11">
      <c r="A132" t="s">
        <v>3075</v>
      </c>
      <c r="B132" t="s">
        <v>1</v>
      </c>
      <c r="C132" t="s">
        <v>4257</v>
      </c>
      <c r="D132" t="s">
        <v>4261</v>
      </c>
      <c r="E132" t="s">
        <v>4262</v>
      </c>
      <c r="I132" t="s">
        <v>719</v>
      </c>
      <c r="J132" t="s">
        <v>1</v>
      </c>
      <c r="K132" t="s">
        <v>4260</v>
      </c>
    </row>
    <row r="133" spans="1:11">
      <c r="A133" t="s">
        <v>3078</v>
      </c>
      <c r="B133" t="s">
        <v>1</v>
      </c>
      <c r="C133" t="s">
        <v>4257</v>
      </c>
      <c r="D133" t="s">
        <v>4261</v>
      </c>
      <c r="E133" t="s">
        <v>4262</v>
      </c>
      <c r="I133" t="s">
        <v>722</v>
      </c>
      <c r="J133" t="s">
        <v>1</v>
      </c>
      <c r="K133" t="s">
        <v>4260</v>
      </c>
    </row>
    <row r="134" spans="1:11">
      <c r="A134" t="s">
        <v>3081</v>
      </c>
      <c r="B134" t="s">
        <v>1</v>
      </c>
      <c r="C134" t="s">
        <v>4257</v>
      </c>
      <c r="D134" t="s">
        <v>4261</v>
      </c>
      <c r="E134" t="s">
        <v>4262</v>
      </c>
      <c r="I134" t="s">
        <v>727</v>
      </c>
      <c r="J134" t="s">
        <v>1</v>
      </c>
      <c r="K134" t="s">
        <v>4260</v>
      </c>
    </row>
    <row r="135" spans="1:11">
      <c r="A135" t="s">
        <v>3084</v>
      </c>
      <c r="B135" t="s">
        <v>1</v>
      </c>
      <c r="C135" t="s">
        <v>4257</v>
      </c>
      <c r="D135" t="s">
        <v>4261</v>
      </c>
      <c r="E135" t="s">
        <v>4262</v>
      </c>
      <c r="I135" t="s">
        <v>732</v>
      </c>
      <c r="J135" t="s">
        <v>1</v>
      </c>
      <c r="K135" t="s">
        <v>4260</v>
      </c>
    </row>
    <row r="136" spans="1:11">
      <c r="A136" t="s">
        <v>3087</v>
      </c>
      <c r="B136" t="s">
        <v>1</v>
      </c>
      <c r="C136" t="s">
        <v>4257</v>
      </c>
      <c r="D136" t="s">
        <v>4261</v>
      </c>
      <c r="E136" t="s">
        <v>4262</v>
      </c>
      <c r="I136" t="s">
        <v>735</v>
      </c>
      <c r="J136" t="s">
        <v>1</v>
      </c>
      <c r="K136" t="s">
        <v>4260</v>
      </c>
    </row>
    <row r="137" spans="1:11">
      <c r="A137" t="s">
        <v>3090</v>
      </c>
      <c r="B137" t="s">
        <v>1</v>
      </c>
      <c r="C137" t="s">
        <v>4257</v>
      </c>
      <c r="D137" t="s">
        <v>4261</v>
      </c>
      <c r="E137" t="s">
        <v>4262</v>
      </c>
      <c r="I137" t="s">
        <v>738</v>
      </c>
      <c r="J137" t="s">
        <v>1</v>
      </c>
      <c r="K137" t="s">
        <v>4260</v>
      </c>
    </row>
    <row r="138" spans="1:11">
      <c r="A138" t="s">
        <v>3093</v>
      </c>
      <c r="B138" t="s">
        <v>1</v>
      </c>
      <c r="C138" t="s">
        <v>4257</v>
      </c>
      <c r="D138" t="s">
        <v>4261</v>
      </c>
      <c r="E138" t="s">
        <v>4262</v>
      </c>
      <c r="I138" t="s">
        <v>743</v>
      </c>
      <c r="J138" t="s">
        <v>1</v>
      </c>
      <c r="K138" t="s">
        <v>4260</v>
      </c>
    </row>
    <row r="139" spans="1:11">
      <c r="A139" t="s">
        <v>3096</v>
      </c>
      <c r="B139" t="s">
        <v>1</v>
      </c>
      <c r="C139" t="s">
        <v>4257</v>
      </c>
      <c r="D139" t="s">
        <v>4261</v>
      </c>
      <c r="E139" t="s">
        <v>4262</v>
      </c>
      <c r="I139" t="s">
        <v>746</v>
      </c>
      <c r="J139" t="s">
        <v>1</v>
      </c>
      <c r="K139" t="s">
        <v>4260</v>
      </c>
    </row>
    <row r="140" spans="1:11">
      <c r="A140" t="s">
        <v>3099</v>
      </c>
      <c r="B140" t="s">
        <v>1</v>
      </c>
      <c r="C140" t="s">
        <v>4257</v>
      </c>
      <c r="D140" t="s">
        <v>4261</v>
      </c>
      <c r="E140" t="s">
        <v>4262</v>
      </c>
      <c r="I140" t="s">
        <v>749</v>
      </c>
      <c r="J140" t="s">
        <v>1</v>
      </c>
      <c r="K140" t="s">
        <v>4260</v>
      </c>
    </row>
    <row r="141" spans="1:11">
      <c r="A141" t="s">
        <v>3102</v>
      </c>
      <c r="B141" t="s">
        <v>1</v>
      </c>
      <c r="C141" t="s">
        <v>4257</v>
      </c>
      <c r="D141" t="s">
        <v>4261</v>
      </c>
      <c r="E141" t="s">
        <v>4262</v>
      </c>
      <c r="I141" t="s">
        <v>752</v>
      </c>
      <c r="J141" t="s">
        <v>1</v>
      </c>
      <c r="K141" t="s">
        <v>4260</v>
      </c>
    </row>
    <row r="142" spans="1:11">
      <c r="A142" t="s">
        <v>3105</v>
      </c>
      <c r="B142" t="s">
        <v>1</v>
      </c>
      <c r="C142" t="s">
        <v>4257</v>
      </c>
      <c r="D142" t="s">
        <v>4261</v>
      </c>
      <c r="E142" t="s">
        <v>4262</v>
      </c>
      <c r="I142" t="s">
        <v>757</v>
      </c>
      <c r="J142" t="s">
        <v>1</v>
      </c>
      <c r="K142" t="s">
        <v>4260</v>
      </c>
    </row>
    <row r="143" spans="1:11">
      <c r="A143" t="s">
        <v>3108</v>
      </c>
      <c r="B143" t="s">
        <v>1</v>
      </c>
      <c r="C143" t="s">
        <v>4257</v>
      </c>
      <c r="D143" t="s">
        <v>4261</v>
      </c>
      <c r="E143" t="s">
        <v>4262</v>
      </c>
      <c r="I143" t="s">
        <v>761</v>
      </c>
      <c r="J143" t="s">
        <v>1</v>
      </c>
      <c r="K143" t="s">
        <v>4260</v>
      </c>
    </row>
    <row r="144" spans="1:11">
      <c r="A144" t="s">
        <v>3111</v>
      </c>
      <c r="B144" t="s">
        <v>1</v>
      </c>
      <c r="C144" t="s">
        <v>4257</v>
      </c>
      <c r="D144" t="s">
        <v>4261</v>
      </c>
      <c r="E144" t="s">
        <v>4262</v>
      </c>
      <c r="I144" t="s">
        <v>765</v>
      </c>
      <c r="J144" t="s">
        <v>1</v>
      </c>
      <c r="K144" t="s">
        <v>4260</v>
      </c>
    </row>
    <row r="145" spans="1:11">
      <c r="A145" t="s">
        <v>3114</v>
      </c>
      <c r="B145" t="s">
        <v>1</v>
      </c>
      <c r="C145" t="s">
        <v>4257</v>
      </c>
      <c r="D145" t="s">
        <v>4261</v>
      </c>
      <c r="E145" t="s">
        <v>4262</v>
      </c>
      <c r="I145" t="s">
        <v>768</v>
      </c>
      <c r="J145" t="s">
        <v>1</v>
      </c>
      <c r="K145" t="s">
        <v>4260</v>
      </c>
    </row>
    <row r="146" spans="1:11">
      <c r="A146" t="s">
        <v>3117</v>
      </c>
      <c r="B146" t="s">
        <v>1</v>
      </c>
      <c r="C146" t="s">
        <v>4257</v>
      </c>
      <c r="D146" t="s">
        <v>4261</v>
      </c>
      <c r="E146" t="s">
        <v>4262</v>
      </c>
      <c r="I146" t="s">
        <v>771</v>
      </c>
      <c r="J146" t="s">
        <v>1</v>
      </c>
      <c r="K146" t="s">
        <v>4260</v>
      </c>
    </row>
    <row r="147" spans="1:11">
      <c r="A147" t="s">
        <v>3120</v>
      </c>
      <c r="B147" t="s">
        <v>1</v>
      </c>
      <c r="C147" t="s">
        <v>4257</v>
      </c>
      <c r="D147" t="s">
        <v>4261</v>
      </c>
      <c r="E147" t="s">
        <v>4262</v>
      </c>
      <c r="I147" t="s">
        <v>774</v>
      </c>
      <c r="J147" t="s">
        <v>1</v>
      </c>
      <c r="K147" t="s">
        <v>4260</v>
      </c>
    </row>
    <row r="148" spans="1:11">
      <c r="A148" t="s">
        <v>3125</v>
      </c>
      <c r="B148" t="s">
        <v>1</v>
      </c>
      <c r="C148" t="s">
        <v>4257</v>
      </c>
      <c r="D148" t="s">
        <v>4261</v>
      </c>
      <c r="E148" t="s">
        <v>4262</v>
      </c>
      <c r="I148" t="s">
        <v>777</v>
      </c>
      <c r="J148" t="s">
        <v>1</v>
      </c>
      <c r="K148" t="s">
        <v>4260</v>
      </c>
    </row>
    <row r="149" spans="1:11">
      <c r="A149" t="s">
        <v>3130</v>
      </c>
      <c r="B149" t="s">
        <v>1</v>
      </c>
      <c r="C149" t="s">
        <v>4257</v>
      </c>
      <c r="D149" t="s">
        <v>4261</v>
      </c>
      <c r="E149" t="s">
        <v>4262</v>
      </c>
      <c r="I149" t="s">
        <v>780</v>
      </c>
      <c r="J149" t="s">
        <v>1</v>
      </c>
      <c r="K149" t="s">
        <v>4260</v>
      </c>
    </row>
    <row r="150" spans="1:11">
      <c r="A150" t="s">
        <v>3135</v>
      </c>
      <c r="B150" t="s">
        <v>1</v>
      </c>
      <c r="C150" t="s">
        <v>4257</v>
      </c>
      <c r="D150" t="s">
        <v>4261</v>
      </c>
      <c r="E150" t="s">
        <v>4262</v>
      </c>
      <c r="I150" t="s">
        <v>783</v>
      </c>
      <c r="J150" t="s">
        <v>1</v>
      </c>
      <c r="K150" t="s">
        <v>4260</v>
      </c>
    </row>
    <row r="151" spans="1:11">
      <c r="A151" t="s">
        <v>3139</v>
      </c>
      <c r="B151" t="s">
        <v>1</v>
      </c>
      <c r="C151" t="s">
        <v>4257</v>
      </c>
      <c r="D151" t="s">
        <v>4261</v>
      </c>
      <c r="E151" t="s">
        <v>4262</v>
      </c>
      <c r="I151" t="s">
        <v>786</v>
      </c>
      <c r="J151" t="s">
        <v>1</v>
      </c>
      <c r="K151" t="s">
        <v>4260</v>
      </c>
    </row>
    <row r="152" spans="1:11">
      <c r="A152" t="s">
        <v>3143</v>
      </c>
      <c r="B152" t="s">
        <v>1</v>
      </c>
      <c r="C152" t="s">
        <v>4257</v>
      </c>
      <c r="D152" t="s">
        <v>4261</v>
      </c>
      <c r="E152" t="s">
        <v>4262</v>
      </c>
      <c r="I152" t="s">
        <v>789</v>
      </c>
      <c r="J152" t="s">
        <v>1</v>
      </c>
      <c r="K152" t="s">
        <v>4260</v>
      </c>
    </row>
    <row r="153" spans="1:11">
      <c r="A153" t="s">
        <v>3146</v>
      </c>
      <c r="B153" t="s">
        <v>1</v>
      </c>
      <c r="C153" t="s">
        <v>4257</v>
      </c>
      <c r="D153" t="s">
        <v>4261</v>
      </c>
      <c r="E153" t="s">
        <v>4262</v>
      </c>
      <c r="I153" t="s">
        <v>792</v>
      </c>
      <c r="J153" t="s">
        <v>1</v>
      </c>
      <c r="K153" t="s">
        <v>4260</v>
      </c>
    </row>
    <row r="154" spans="1:11">
      <c r="A154" t="s">
        <v>3149</v>
      </c>
      <c r="B154" t="s">
        <v>1</v>
      </c>
      <c r="C154" t="s">
        <v>4257</v>
      </c>
      <c r="D154" t="s">
        <v>4261</v>
      </c>
      <c r="E154" t="s">
        <v>4262</v>
      </c>
      <c r="I154" t="s">
        <v>795</v>
      </c>
      <c r="J154" t="s">
        <v>1</v>
      </c>
      <c r="K154" t="s">
        <v>4260</v>
      </c>
    </row>
    <row r="155" spans="1:11">
      <c r="A155" t="s">
        <v>3152</v>
      </c>
      <c r="B155" t="s">
        <v>1</v>
      </c>
      <c r="C155" t="s">
        <v>4257</v>
      </c>
      <c r="D155" t="s">
        <v>4261</v>
      </c>
      <c r="E155" t="s">
        <v>4262</v>
      </c>
      <c r="I155" t="s">
        <v>798</v>
      </c>
      <c r="J155" t="s">
        <v>1</v>
      </c>
      <c r="K155" t="s">
        <v>4260</v>
      </c>
    </row>
    <row r="156" spans="1:11">
      <c r="A156" t="s">
        <v>3155</v>
      </c>
      <c r="B156" t="s">
        <v>1</v>
      </c>
      <c r="C156" t="s">
        <v>4257</v>
      </c>
      <c r="D156" t="s">
        <v>4261</v>
      </c>
      <c r="E156" t="s">
        <v>4262</v>
      </c>
      <c r="I156" t="s">
        <v>801</v>
      </c>
      <c r="J156" t="s">
        <v>1</v>
      </c>
      <c r="K156" t="s">
        <v>4260</v>
      </c>
    </row>
    <row r="157" spans="1:11">
      <c r="A157" t="s">
        <v>3158</v>
      </c>
      <c r="B157" t="s">
        <v>1</v>
      </c>
      <c r="C157" t="s">
        <v>4257</v>
      </c>
      <c r="D157" t="s">
        <v>4261</v>
      </c>
      <c r="E157" t="s">
        <v>4262</v>
      </c>
      <c r="I157" t="s">
        <v>804</v>
      </c>
      <c r="J157" t="s">
        <v>1</v>
      </c>
      <c r="K157" t="s">
        <v>4260</v>
      </c>
    </row>
    <row r="158" spans="1:11">
      <c r="A158" t="s">
        <v>3161</v>
      </c>
      <c r="B158" t="s">
        <v>1</v>
      </c>
      <c r="C158" t="s">
        <v>4257</v>
      </c>
      <c r="D158" t="s">
        <v>4261</v>
      </c>
      <c r="E158" t="s">
        <v>4262</v>
      </c>
      <c r="I158" t="s">
        <v>807</v>
      </c>
      <c r="J158" t="s">
        <v>1</v>
      </c>
      <c r="K158" t="s">
        <v>4260</v>
      </c>
    </row>
    <row r="159" spans="1:11">
      <c r="A159" t="s">
        <v>3164</v>
      </c>
      <c r="B159" t="s">
        <v>1</v>
      </c>
      <c r="C159" t="s">
        <v>4257</v>
      </c>
      <c r="D159" t="s">
        <v>4261</v>
      </c>
      <c r="E159" t="s">
        <v>4262</v>
      </c>
      <c r="I159" t="s">
        <v>812</v>
      </c>
      <c r="J159" t="s">
        <v>1</v>
      </c>
      <c r="K159" t="s">
        <v>4260</v>
      </c>
    </row>
    <row r="160" spans="1:11">
      <c r="A160" t="s">
        <v>3167</v>
      </c>
      <c r="B160" t="s">
        <v>1</v>
      </c>
      <c r="C160" t="s">
        <v>4257</v>
      </c>
      <c r="D160" t="s">
        <v>4261</v>
      </c>
      <c r="E160" t="s">
        <v>4262</v>
      </c>
      <c r="I160" t="s">
        <v>817</v>
      </c>
      <c r="J160" t="s">
        <v>1</v>
      </c>
      <c r="K160" t="s">
        <v>4260</v>
      </c>
    </row>
    <row r="161" spans="1:11">
      <c r="A161" t="s">
        <v>3170</v>
      </c>
      <c r="B161" t="s">
        <v>1</v>
      </c>
      <c r="C161" t="s">
        <v>4257</v>
      </c>
      <c r="D161" t="s">
        <v>4261</v>
      </c>
      <c r="E161" t="s">
        <v>4262</v>
      </c>
      <c r="I161" t="s">
        <v>820</v>
      </c>
      <c r="J161" t="s">
        <v>1</v>
      </c>
      <c r="K161" t="s">
        <v>4260</v>
      </c>
    </row>
    <row r="162" spans="1:11">
      <c r="A162" t="s">
        <v>3173</v>
      </c>
      <c r="B162" t="s">
        <v>1</v>
      </c>
      <c r="C162" t="s">
        <v>4257</v>
      </c>
      <c r="D162" t="s">
        <v>4261</v>
      </c>
      <c r="E162" t="s">
        <v>4262</v>
      </c>
      <c r="I162" t="s">
        <v>825</v>
      </c>
      <c r="J162" t="s">
        <v>1</v>
      </c>
      <c r="K162" t="s">
        <v>4260</v>
      </c>
    </row>
    <row r="163" spans="1:11">
      <c r="A163" t="s">
        <v>3178</v>
      </c>
      <c r="B163" t="s">
        <v>1</v>
      </c>
      <c r="C163" t="s">
        <v>4257</v>
      </c>
      <c r="D163" t="s">
        <v>4261</v>
      </c>
      <c r="E163" t="s">
        <v>4262</v>
      </c>
      <c r="I163" t="s">
        <v>830</v>
      </c>
      <c r="J163" t="s">
        <v>1</v>
      </c>
      <c r="K163" t="s">
        <v>4260</v>
      </c>
    </row>
    <row r="164" spans="1:11">
      <c r="A164" t="s">
        <v>3181</v>
      </c>
      <c r="B164" t="s">
        <v>1</v>
      </c>
      <c r="C164" t="s">
        <v>4257</v>
      </c>
      <c r="D164" t="s">
        <v>4261</v>
      </c>
      <c r="E164" t="s">
        <v>4262</v>
      </c>
      <c r="I164" t="s">
        <v>833</v>
      </c>
      <c r="J164" t="s">
        <v>1</v>
      </c>
      <c r="K164" t="s">
        <v>4260</v>
      </c>
    </row>
    <row r="165" spans="1:11">
      <c r="A165" t="s">
        <v>3185</v>
      </c>
      <c r="B165" t="s">
        <v>1</v>
      </c>
      <c r="C165" t="s">
        <v>4257</v>
      </c>
      <c r="D165" t="s">
        <v>4258</v>
      </c>
      <c r="E165" t="s">
        <v>4259</v>
      </c>
      <c r="I165" t="s">
        <v>839</v>
      </c>
      <c r="J165" t="s">
        <v>1</v>
      </c>
      <c r="K165" t="s">
        <v>4260</v>
      </c>
    </row>
    <row r="166" spans="1:11">
      <c r="A166" t="s">
        <v>3189</v>
      </c>
      <c r="B166" t="s">
        <v>1</v>
      </c>
      <c r="C166" t="s">
        <v>4257</v>
      </c>
      <c r="D166" t="s">
        <v>4258</v>
      </c>
      <c r="E166" t="s">
        <v>4259</v>
      </c>
      <c r="I166" t="s">
        <v>846</v>
      </c>
      <c r="J166" t="s">
        <v>1</v>
      </c>
      <c r="K166" t="s">
        <v>4260</v>
      </c>
    </row>
    <row r="167" spans="1:11">
      <c r="A167" t="s">
        <v>3192</v>
      </c>
      <c r="B167" t="s">
        <v>1</v>
      </c>
      <c r="C167" t="s">
        <v>4257</v>
      </c>
      <c r="D167" t="s">
        <v>4258</v>
      </c>
      <c r="E167" t="s">
        <v>4259</v>
      </c>
      <c r="I167" t="s">
        <v>849</v>
      </c>
      <c r="J167" t="s">
        <v>1</v>
      </c>
      <c r="K167" t="s">
        <v>4260</v>
      </c>
    </row>
    <row r="168" spans="1:11">
      <c r="A168" t="s">
        <v>3195</v>
      </c>
      <c r="B168" t="s">
        <v>1</v>
      </c>
      <c r="C168" t="s">
        <v>4257</v>
      </c>
      <c r="D168" t="s">
        <v>4258</v>
      </c>
      <c r="E168" t="s">
        <v>4259</v>
      </c>
      <c r="I168" t="s">
        <v>852</v>
      </c>
      <c r="J168" t="s">
        <v>1</v>
      </c>
      <c r="K168" t="s">
        <v>4260</v>
      </c>
    </row>
    <row r="169" spans="1:11">
      <c r="A169" t="s">
        <v>3198</v>
      </c>
      <c r="B169" t="s">
        <v>1</v>
      </c>
      <c r="C169" t="s">
        <v>4257</v>
      </c>
      <c r="D169" t="s">
        <v>4258</v>
      </c>
      <c r="E169" t="s">
        <v>4259</v>
      </c>
      <c r="I169" t="s">
        <v>855</v>
      </c>
      <c r="J169" t="s">
        <v>1</v>
      </c>
      <c r="K169" t="s">
        <v>4260</v>
      </c>
    </row>
    <row r="170" spans="1:11">
      <c r="A170" t="s">
        <v>3201</v>
      </c>
      <c r="B170" t="s">
        <v>1</v>
      </c>
      <c r="C170" t="s">
        <v>4257</v>
      </c>
      <c r="D170" t="s">
        <v>4258</v>
      </c>
      <c r="E170" t="s">
        <v>4259</v>
      </c>
      <c r="I170" t="s">
        <v>858</v>
      </c>
      <c r="J170" t="s">
        <v>1</v>
      </c>
      <c r="K170" t="s">
        <v>4260</v>
      </c>
    </row>
    <row r="171" spans="1:11">
      <c r="A171" t="s">
        <v>3204</v>
      </c>
      <c r="B171" t="s">
        <v>1</v>
      </c>
      <c r="C171" t="s">
        <v>4257</v>
      </c>
      <c r="D171" t="s">
        <v>4258</v>
      </c>
      <c r="E171" t="s">
        <v>4259</v>
      </c>
      <c r="I171" t="s">
        <v>864</v>
      </c>
      <c r="J171" t="s">
        <v>1</v>
      </c>
      <c r="K171" t="s">
        <v>4260</v>
      </c>
    </row>
    <row r="172" spans="1:11">
      <c r="A172" t="s">
        <v>3207</v>
      </c>
      <c r="B172" t="s">
        <v>1</v>
      </c>
      <c r="C172" t="s">
        <v>4257</v>
      </c>
      <c r="D172" t="s">
        <v>4258</v>
      </c>
      <c r="E172" t="s">
        <v>4259</v>
      </c>
      <c r="I172" t="s">
        <v>868</v>
      </c>
      <c r="J172" t="s">
        <v>1</v>
      </c>
      <c r="K172" t="s">
        <v>4260</v>
      </c>
    </row>
    <row r="173" spans="1:11">
      <c r="A173" t="s">
        <v>3210</v>
      </c>
      <c r="B173" t="s">
        <v>1</v>
      </c>
      <c r="C173" t="s">
        <v>4257</v>
      </c>
      <c r="D173" t="s">
        <v>4258</v>
      </c>
      <c r="E173" t="s">
        <v>4259</v>
      </c>
      <c r="I173" t="s">
        <v>871</v>
      </c>
      <c r="J173" t="s">
        <v>1</v>
      </c>
      <c r="K173" t="s">
        <v>4260</v>
      </c>
    </row>
    <row r="174" spans="1:11">
      <c r="A174" t="s">
        <v>3213</v>
      </c>
      <c r="B174" t="s">
        <v>1</v>
      </c>
      <c r="C174" t="s">
        <v>4257</v>
      </c>
      <c r="D174" t="s">
        <v>4258</v>
      </c>
      <c r="E174" t="s">
        <v>4259</v>
      </c>
      <c r="I174" t="s">
        <v>876</v>
      </c>
      <c r="J174" t="s">
        <v>1</v>
      </c>
      <c r="K174" t="s">
        <v>4260</v>
      </c>
    </row>
    <row r="175" spans="1:11">
      <c r="A175" t="s">
        <v>3216</v>
      </c>
      <c r="B175" t="s">
        <v>1</v>
      </c>
      <c r="C175" t="s">
        <v>4257</v>
      </c>
      <c r="D175" t="s">
        <v>4258</v>
      </c>
      <c r="E175" t="s">
        <v>4259</v>
      </c>
      <c r="I175" t="s">
        <v>881</v>
      </c>
      <c r="J175" t="s">
        <v>1</v>
      </c>
      <c r="K175" t="s">
        <v>4260</v>
      </c>
    </row>
    <row r="176" spans="1:11">
      <c r="A176" t="s">
        <v>3219</v>
      </c>
      <c r="B176" t="s">
        <v>1</v>
      </c>
      <c r="C176" t="s">
        <v>4257</v>
      </c>
      <c r="D176" t="s">
        <v>4258</v>
      </c>
      <c r="E176" t="s">
        <v>4259</v>
      </c>
      <c r="I176" t="s">
        <v>886</v>
      </c>
      <c r="J176" t="s">
        <v>1</v>
      </c>
      <c r="K176" t="s">
        <v>4260</v>
      </c>
    </row>
    <row r="177" spans="1:11">
      <c r="A177" t="s">
        <v>3222</v>
      </c>
      <c r="B177" t="s">
        <v>1</v>
      </c>
      <c r="C177" t="s">
        <v>4257</v>
      </c>
      <c r="D177" t="s">
        <v>4258</v>
      </c>
      <c r="E177" t="s">
        <v>4259</v>
      </c>
      <c r="I177" t="s">
        <v>891</v>
      </c>
      <c r="J177" t="s">
        <v>1</v>
      </c>
      <c r="K177" t="s">
        <v>4260</v>
      </c>
    </row>
    <row r="178" spans="1:11">
      <c r="A178" t="s">
        <v>3225</v>
      </c>
      <c r="B178" t="s">
        <v>1</v>
      </c>
      <c r="C178" t="s">
        <v>4257</v>
      </c>
      <c r="D178" t="s">
        <v>4258</v>
      </c>
      <c r="E178" t="s">
        <v>4259</v>
      </c>
      <c r="I178" t="s">
        <v>894</v>
      </c>
      <c r="J178" t="s">
        <v>1</v>
      </c>
      <c r="K178" t="s">
        <v>4260</v>
      </c>
    </row>
    <row r="179" spans="1:11">
      <c r="A179" t="s">
        <v>3228</v>
      </c>
      <c r="B179" t="s">
        <v>1</v>
      </c>
      <c r="C179" t="s">
        <v>4257</v>
      </c>
      <c r="D179" t="s">
        <v>4258</v>
      </c>
      <c r="E179" t="s">
        <v>4259</v>
      </c>
      <c r="I179" t="s">
        <v>897</v>
      </c>
      <c r="J179" t="s">
        <v>1</v>
      </c>
      <c r="K179" t="s">
        <v>4260</v>
      </c>
    </row>
    <row r="180" spans="1:11">
      <c r="A180" t="s">
        <v>3232</v>
      </c>
      <c r="B180" t="s">
        <v>1</v>
      </c>
      <c r="C180" t="s">
        <v>4257</v>
      </c>
      <c r="D180" t="s">
        <v>4261</v>
      </c>
      <c r="E180" t="s">
        <v>4262</v>
      </c>
      <c r="I180" t="s">
        <v>900</v>
      </c>
      <c r="J180" t="s">
        <v>1</v>
      </c>
      <c r="K180" t="s">
        <v>4260</v>
      </c>
    </row>
    <row r="181" spans="1:11">
      <c r="A181" t="s">
        <v>3238</v>
      </c>
      <c r="B181" t="s">
        <v>1</v>
      </c>
      <c r="C181" t="s">
        <v>4257</v>
      </c>
      <c r="D181" t="s">
        <v>4261</v>
      </c>
      <c r="E181" t="s">
        <v>4262</v>
      </c>
      <c r="I181" t="s">
        <v>903</v>
      </c>
      <c r="J181" t="s">
        <v>1</v>
      </c>
      <c r="K181" t="s">
        <v>4260</v>
      </c>
    </row>
    <row r="182" spans="1:11">
      <c r="I182" t="s">
        <v>907</v>
      </c>
      <c r="J182" t="s">
        <v>1</v>
      </c>
      <c r="K182" t="s">
        <v>4260</v>
      </c>
    </row>
    <row r="183" spans="1:11">
      <c r="I183" t="s">
        <v>910</v>
      </c>
      <c r="J183" t="s">
        <v>1</v>
      </c>
      <c r="K183" t="s">
        <v>4260</v>
      </c>
    </row>
    <row r="184" spans="1:11">
      <c r="I184" t="s">
        <v>916</v>
      </c>
      <c r="J184" t="s">
        <v>1</v>
      </c>
      <c r="K184" t="s">
        <v>4260</v>
      </c>
    </row>
    <row r="185" spans="1:11">
      <c r="I185" t="s">
        <v>919</v>
      </c>
      <c r="J185" t="s">
        <v>1</v>
      </c>
      <c r="K185" t="s">
        <v>4260</v>
      </c>
    </row>
    <row r="186" spans="1:11">
      <c r="I186" t="s">
        <v>925</v>
      </c>
      <c r="J186" t="s">
        <v>1</v>
      </c>
      <c r="K186" t="s">
        <v>4260</v>
      </c>
    </row>
    <row r="187" spans="1:11">
      <c r="I187" t="s">
        <v>928</v>
      </c>
      <c r="J187" t="s">
        <v>1</v>
      </c>
      <c r="K187" t="s">
        <v>4260</v>
      </c>
    </row>
    <row r="188" spans="1:11">
      <c r="I188" t="s">
        <v>931</v>
      </c>
      <c r="J188" t="s">
        <v>1</v>
      </c>
      <c r="K188" t="s">
        <v>4260</v>
      </c>
    </row>
    <row r="189" spans="1:11">
      <c r="I189" t="s">
        <v>936</v>
      </c>
      <c r="J189" t="s">
        <v>1</v>
      </c>
      <c r="K189" t="s">
        <v>4260</v>
      </c>
    </row>
    <row r="190" spans="1:11">
      <c r="I190" t="s">
        <v>939</v>
      </c>
      <c r="J190" t="s">
        <v>1</v>
      </c>
      <c r="K190" t="s">
        <v>4260</v>
      </c>
    </row>
    <row r="191" spans="1:11">
      <c r="I191" t="s">
        <v>944</v>
      </c>
      <c r="J191" t="s">
        <v>1</v>
      </c>
      <c r="K191" t="s">
        <v>4260</v>
      </c>
    </row>
    <row r="192" spans="1:11">
      <c r="I192" t="s">
        <v>949</v>
      </c>
      <c r="J192" t="s">
        <v>1</v>
      </c>
      <c r="K192" t="s">
        <v>4260</v>
      </c>
    </row>
    <row r="193" spans="9:11">
      <c r="I193" t="s">
        <v>953</v>
      </c>
      <c r="J193" t="s">
        <v>1</v>
      </c>
      <c r="K193" t="s">
        <v>4260</v>
      </c>
    </row>
    <row r="194" spans="9:11">
      <c r="I194" t="s">
        <v>958</v>
      </c>
      <c r="J194" t="s">
        <v>1</v>
      </c>
      <c r="K194" t="s">
        <v>4260</v>
      </c>
    </row>
    <row r="195" spans="9:11">
      <c r="I195" t="s">
        <v>961</v>
      </c>
      <c r="J195" t="s">
        <v>1</v>
      </c>
      <c r="K195" t="s">
        <v>4260</v>
      </c>
    </row>
    <row r="196" spans="9:11">
      <c r="I196" t="s">
        <v>964</v>
      </c>
      <c r="J196" t="s">
        <v>1</v>
      </c>
      <c r="K196" t="s">
        <v>4260</v>
      </c>
    </row>
    <row r="197" spans="9:11">
      <c r="I197" t="s">
        <v>967</v>
      </c>
      <c r="J197" t="s">
        <v>1</v>
      </c>
      <c r="K197" t="s">
        <v>4260</v>
      </c>
    </row>
    <row r="198" spans="9:11">
      <c r="I198" t="s">
        <v>972</v>
      </c>
      <c r="J198" t="s">
        <v>1</v>
      </c>
      <c r="K198" t="s">
        <v>4260</v>
      </c>
    </row>
    <row r="199" spans="9:11">
      <c r="I199" t="s">
        <v>975</v>
      </c>
      <c r="J199" t="s">
        <v>1</v>
      </c>
      <c r="K199" t="s">
        <v>4260</v>
      </c>
    </row>
    <row r="200" spans="9:11">
      <c r="I200" t="s">
        <v>981</v>
      </c>
      <c r="J200" t="s">
        <v>1</v>
      </c>
      <c r="K200" t="s">
        <v>4260</v>
      </c>
    </row>
    <row r="201" spans="9:11">
      <c r="I201" t="s">
        <v>985</v>
      </c>
      <c r="J201" t="s">
        <v>1</v>
      </c>
      <c r="K201" t="s">
        <v>4260</v>
      </c>
    </row>
    <row r="202" spans="9:11">
      <c r="I202" t="s">
        <v>988</v>
      </c>
      <c r="J202" t="s">
        <v>1</v>
      </c>
      <c r="K202" t="s">
        <v>4260</v>
      </c>
    </row>
    <row r="203" spans="9:11">
      <c r="I203" t="s">
        <v>992</v>
      </c>
      <c r="J203" t="s">
        <v>1</v>
      </c>
      <c r="K203" t="s">
        <v>4260</v>
      </c>
    </row>
    <row r="204" spans="9:11">
      <c r="I204" t="s">
        <v>995</v>
      </c>
      <c r="J204" t="s">
        <v>1</v>
      </c>
      <c r="K204" t="s">
        <v>4260</v>
      </c>
    </row>
    <row r="205" spans="9:11">
      <c r="I205" t="s">
        <v>1000</v>
      </c>
      <c r="J205" t="s">
        <v>1</v>
      </c>
      <c r="K205" t="s">
        <v>4260</v>
      </c>
    </row>
    <row r="206" spans="9:11">
      <c r="I206" t="s">
        <v>1003</v>
      </c>
      <c r="J206" t="s">
        <v>1</v>
      </c>
      <c r="K206" t="s">
        <v>4260</v>
      </c>
    </row>
    <row r="207" spans="9:11">
      <c r="I207" t="s">
        <v>1006</v>
      </c>
      <c r="J207" t="s">
        <v>1</v>
      </c>
      <c r="K207" t="s">
        <v>4260</v>
      </c>
    </row>
    <row r="208" spans="9:11">
      <c r="I208" t="s">
        <v>1009</v>
      </c>
      <c r="J208" t="s">
        <v>1</v>
      </c>
      <c r="K208" t="s">
        <v>4260</v>
      </c>
    </row>
    <row r="209" spans="9:11">
      <c r="I209" t="s">
        <v>1012</v>
      </c>
      <c r="J209" t="s">
        <v>1</v>
      </c>
      <c r="K209" t="s">
        <v>4260</v>
      </c>
    </row>
    <row r="210" spans="9:11">
      <c r="I210" t="s">
        <v>1015</v>
      </c>
      <c r="J210" t="s">
        <v>1</v>
      </c>
      <c r="K210" t="s">
        <v>4260</v>
      </c>
    </row>
    <row r="211" spans="9:11">
      <c r="I211" t="s">
        <v>1018</v>
      </c>
      <c r="J211" t="s">
        <v>1</v>
      </c>
      <c r="K211" t="s">
        <v>4260</v>
      </c>
    </row>
    <row r="212" spans="9:11">
      <c r="I212" t="s">
        <v>1021</v>
      </c>
      <c r="J212" t="s">
        <v>1</v>
      </c>
      <c r="K212" t="s">
        <v>4260</v>
      </c>
    </row>
    <row r="213" spans="9:11">
      <c r="I213" t="s">
        <v>1024</v>
      </c>
      <c r="J213" t="s">
        <v>1</v>
      </c>
      <c r="K213" t="s">
        <v>4260</v>
      </c>
    </row>
    <row r="214" spans="9:11">
      <c r="I214" t="s">
        <v>1027</v>
      </c>
      <c r="J214" t="s">
        <v>1</v>
      </c>
      <c r="K214" t="s">
        <v>4260</v>
      </c>
    </row>
    <row r="215" spans="9:11">
      <c r="I215" t="s">
        <v>1030</v>
      </c>
      <c r="J215" t="s">
        <v>1</v>
      </c>
      <c r="K215" t="s">
        <v>4260</v>
      </c>
    </row>
    <row r="216" spans="9:11">
      <c r="I216" t="s">
        <v>1033</v>
      </c>
      <c r="J216" t="s">
        <v>1</v>
      </c>
      <c r="K216" t="s">
        <v>4260</v>
      </c>
    </row>
    <row r="217" spans="9:11">
      <c r="I217" t="s">
        <v>1036</v>
      </c>
      <c r="J217" t="s">
        <v>1</v>
      </c>
      <c r="K217" t="s">
        <v>4260</v>
      </c>
    </row>
    <row r="218" spans="9:11">
      <c r="I218" t="s">
        <v>1041</v>
      </c>
      <c r="J218" t="s">
        <v>1</v>
      </c>
      <c r="K218" t="s">
        <v>4260</v>
      </c>
    </row>
    <row r="219" spans="9:11">
      <c r="I219" t="s">
        <v>1044</v>
      </c>
      <c r="J219" t="s">
        <v>1</v>
      </c>
      <c r="K219" t="s">
        <v>4260</v>
      </c>
    </row>
    <row r="220" spans="9:11">
      <c r="I220" t="s">
        <v>1047</v>
      </c>
      <c r="J220" t="s">
        <v>1</v>
      </c>
      <c r="K220" t="s">
        <v>4260</v>
      </c>
    </row>
    <row r="221" spans="9:11">
      <c r="I221" t="s">
        <v>1053</v>
      </c>
      <c r="J221" t="s">
        <v>1</v>
      </c>
      <c r="K221" t="s">
        <v>4260</v>
      </c>
    </row>
    <row r="222" spans="9:11">
      <c r="I222" t="s">
        <v>1057</v>
      </c>
      <c r="J222" t="s">
        <v>1</v>
      </c>
      <c r="K222" t="s">
        <v>4260</v>
      </c>
    </row>
    <row r="223" spans="9:11">
      <c r="I223" t="s">
        <v>1060</v>
      </c>
      <c r="J223" t="s">
        <v>1</v>
      </c>
      <c r="K223" t="s">
        <v>4260</v>
      </c>
    </row>
    <row r="224" spans="9:11">
      <c r="I224" t="s">
        <v>1063</v>
      </c>
      <c r="J224" t="s">
        <v>1</v>
      </c>
      <c r="K224" t="s">
        <v>4260</v>
      </c>
    </row>
    <row r="225" spans="9:11">
      <c r="I225" t="s">
        <v>1066</v>
      </c>
      <c r="J225" t="s">
        <v>1</v>
      </c>
      <c r="K225" t="s">
        <v>4260</v>
      </c>
    </row>
    <row r="226" spans="9:11">
      <c r="I226" t="s">
        <v>1069</v>
      </c>
      <c r="J226" t="s">
        <v>1</v>
      </c>
      <c r="K226" t="s">
        <v>4260</v>
      </c>
    </row>
    <row r="227" spans="9:11">
      <c r="I227" t="s">
        <v>1072</v>
      </c>
      <c r="J227" t="s">
        <v>1</v>
      </c>
      <c r="K227" t="s">
        <v>4260</v>
      </c>
    </row>
    <row r="228" spans="9:11">
      <c r="I228" t="s">
        <v>1075</v>
      </c>
      <c r="J228" t="s">
        <v>1</v>
      </c>
      <c r="K228" t="s">
        <v>4260</v>
      </c>
    </row>
    <row r="229" spans="9:11">
      <c r="I229" t="s">
        <v>1078</v>
      </c>
      <c r="J229" t="s">
        <v>1</v>
      </c>
      <c r="K229" t="s">
        <v>4260</v>
      </c>
    </row>
    <row r="230" spans="9:11">
      <c r="I230" t="s">
        <v>1081</v>
      </c>
      <c r="J230" t="s">
        <v>1</v>
      </c>
      <c r="K230" t="s">
        <v>4260</v>
      </c>
    </row>
    <row r="231" spans="9:11">
      <c r="I231" t="s">
        <v>1084</v>
      </c>
      <c r="J231" t="s">
        <v>1</v>
      </c>
      <c r="K231" t="s">
        <v>4260</v>
      </c>
    </row>
    <row r="232" spans="9:11">
      <c r="I232" t="s">
        <v>1089</v>
      </c>
      <c r="J232" t="s">
        <v>1</v>
      </c>
      <c r="K232" t="s">
        <v>4260</v>
      </c>
    </row>
    <row r="233" spans="9:11">
      <c r="I233" t="s">
        <v>1094</v>
      </c>
      <c r="J233" t="s">
        <v>1</v>
      </c>
      <c r="K233" t="s">
        <v>4260</v>
      </c>
    </row>
    <row r="234" spans="9:11">
      <c r="I234" t="s">
        <v>1099</v>
      </c>
      <c r="J234" t="s">
        <v>1</v>
      </c>
      <c r="K234" t="s">
        <v>4260</v>
      </c>
    </row>
    <row r="235" spans="9:11">
      <c r="I235" t="s">
        <v>1102</v>
      </c>
      <c r="J235" t="s">
        <v>1</v>
      </c>
      <c r="K235" t="s">
        <v>4260</v>
      </c>
    </row>
    <row r="236" spans="9:11">
      <c r="I236" t="s">
        <v>1105</v>
      </c>
      <c r="J236" t="s">
        <v>1</v>
      </c>
      <c r="K236" t="s">
        <v>4260</v>
      </c>
    </row>
    <row r="237" spans="9:11">
      <c r="I237" t="s">
        <v>1108</v>
      </c>
      <c r="J237" t="s">
        <v>1</v>
      </c>
      <c r="K237" t="s">
        <v>4260</v>
      </c>
    </row>
    <row r="238" spans="9:11">
      <c r="I238" t="s">
        <v>1111</v>
      </c>
      <c r="J238" t="s">
        <v>1</v>
      </c>
      <c r="K238" t="s">
        <v>4260</v>
      </c>
    </row>
    <row r="239" spans="9:11">
      <c r="I239" t="s">
        <v>1114</v>
      </c>
      <c r="J239" t="s">
        <v>1</v>
      </c>
      <c r="K239" t="s">
        <v>4260</v>
      </c>
    </row>
    <row r="240" spans="9:11">
      <c r="I240" t="s">
        <v>1117</v>
      </c>
      <c r="J240" t="s">
        <v>1</v>
      </c>
      <c r="K240" t="s">
        <v>4260</v>
      </c>
    </row>
    <row r="241" spans="9:11">
      <c r="I241" t="s">
        <v>1120</v>
      </c>
      <c r="J241" t="s">
        <v>1</v>
      </c>
      <c r="K241" t="s">
        <v>4260</v>
      </c>
    </row>
    <row r="242" spans="9:11">
      <c r="I242" t="s">
        <v>1123</v>
      </c>
      <c r="J242" t="s">
        <v>1</v>
      </c>
      <c r="K242" t="s">
        <v>4260</v>
      </c>
    </row>
    <row r="243" spans="9:11">
      <c r="I243" t="s">
        <v>1128</v>
      </c>
      <c r="J243" t="s">
        <v>1</v>
      </c>
      <c r="K243" t="s">
        <v>4260</v>
      </c>
    </row>
    <row r="244" spans="9:11">
      <c r="I244" t="s">
        <v>1131</v>
      </c>
      <c r="J244" t="s">
        <v>1</v>
      </c>
      <c r="K244" t="s">
        <v>4260</v>
      </c>
    </row>
    <row r="245" spans="9:11">
      <c r="I245" t="s">
        <v>1135</v>
      </c>
      <c r="J245" t="s">
        <v>1</v>
      </c>
      <c r="K245" t="s">
        <v>4260</v>
      </c>
    </row>
    <row r="246" spans="9:11">
      <c r="I246" t="s">
        <v>1138</v>
      </c>
      <c r="J246" t="s">
        <v>1</v>
      </c>
      <c r="K246" t="s">
        <v>4260</v>
      </c>
    </row>
    <row r="247" spans="9:11">
      <c r="I247" t="s">
        <v>1141</v>
      </c>
      <c r="J247" t="s">
        <v>1</v>
      </c>
      <c r="K247" t="s">
        <v>4260</v>
      </c>
    </row>
    <row r="248" spans="9:11">
      <c r="I248" t="s">
        <v>1144</v>
      </c>
      <c r="J248" t="s">
        <v>1</v>
      </c>
      <c r="K248" t="s">
        <v>4260</v>
      </c>
    </row>
    <row r="249" spans="9:11">
      <c r="I249" t="s">
        <v>1149</v>
      </c>
      <c r="J249" t="s">
        <v>1</v>
      </c>
      <c r="K249" t="s">
        <v>4260</v>
      </c>
    </row>
    <row r="250" spans="9:11">
      <c r="I250" t="s">
        <v>1152</v>
      </c>
      <c r="J250" t="s">
        <v>1</v>
      </c>
      <c r="K250" t="s">
        <v>4260</v>
      </c>
    </row>
    <row r="251" spans="9:11">
      <c r="I251" t="s">
        <v>1159</v>
      </c>
      <c r="J251" t="s">
        <v>1</v>
      </c>
      <c r="K251" t="s">
        <v>4260</v>
      </c>
    </row>
    <row r="252" spans="9:11">
      <c r="I252" t="s">
        <v>1165</v>
      </c>
      <c r="J252" t="s">
        <v>1</v>
      </c>
      <c r="K252" t="s">
        <v>4260</v>
      </c>
    </row>
    <row r="253" spans="9:11">
      <c r="I253" t="s">
        <v>1168</v>
      </c>
      <c r="J253" t="s">
        <v>1</v>
      </c>
      <c r="K253" t="s">
        <v>4260</v>
      </c>
    </row>
    <row r="254" spans="9:11">
      <c r="I254" t="s">
        <v>1171</v>
      </c>
      <c r="J254" t="s">
        <v>1</v>
      </c>
      <c r="K254" t="s">
        <v>4260</v>
      </c>
    </row>
    <row r="255" spans="9:11">
      <c r="I255" t="s">
        <v>1174</v>
      </c>
      <c r="J255" t="s">
        <v>1</v>
      </c>
      <c r="K255" t="s">
        <v>4260</v>
      </c>
    </row>
    <row r="256" spans="9:11">
      <c r="I256" t="s">
        <v>1177</v>
      </c>
      <c r="J256" t="s">
        <v>1</v>
      </c>
      <c r="K256" t="s">
        <v>4260</v>
      </c>
    </row>
    <row r="257" spans="9:11">
      <c r="I257" t="s">
        <v>1180</v>
      </c>
      <c r="J257" t="s">
        <v>1</v>
      </c>
      <c r="K257" t="s">
        <v>4260</v>
      </c>
    </row>
    <row r="258" spans="9:11">
      <c r="I258" t="s">
        <v>1183</v>
      </c>
      <c r="J258" t="s">
        <v>1</v>
      </c>
      <c r="K258" t="s">
        <v>4260</v>
      </c>
    </row>
    <row r="259" spans="9:11">
      <c r="I259" t="s">
        <v>1186</v>
      </c>
      <c r="J259" t="s">
        <v>1</v>
      </c>
      <c r="K259" t="s">
        <v>4260</v>
      </c>
    </row>
    <row r="260" spans="9:11">
      <c r="I260" t="s">
        <v>1189</v>
      </c>
      <c r="J260" t="s">
        <v>1</v>
      </c>
      <c r="K260" t="s">
        <v>4260</v>
      </c>
    </row>
    <row r="261" spans="9:11">
      <c r="I261" t="s">
        <v>1196</v>
      </c>
      <c r="J261" t="s">
        <v>1</v>
      </c>
      <c r="K261" t="s">
        <v>4260</v>
      </c>
    </row>
    <row r="262" spans="9:11">
      <c r="I262" t="s">
        <v>1201</v>
      </c>
      <c r="J262" t="s">
        <v>1</v>
      </c>
      <c r="K262" t="s">
        <v>4260</v>
      </c>
    </row>
    <row r="263" spans="9:11">
      <c r="I263" t="s">
        <v>1204</v>
      </c>
      <c r="J263" t="s">
        <v>1</v>
      </c>
      <c r="K263" t="s">
        <v>4260</v>
      </c>
    </row>
    <row r="264" spans="9:11">
      <c r="I264" t="s">
        <v>1209</v>
      </c>
      <c r="J264" t="s">
        <v>1</v>
      </c>
      <c r="K264" t="s">
        <v>4260</v>
      </c>
    </row>
    <row r="265" spans="9:11">
      <c r="I265" t="s">
        <v>1214</v>
      </c>
      <c r="J265" t="s">
        <v>1</v>
      </c>
      <c r="K265" t="s">
        <v>4260</v>
      </c>
    </row>
    <row r="266" spans="9:11">
      <c r="I266" t="s">
        <v>1219</v>
      </c>
      <c r="J266" t="s">
        <v>1</v>
      </c>
      <c r="K266" t="s">
        <v>4260</v>
      </c>
    </row>
    <row r="267" spans="9:11">
      <c r="I267" t="s">
        <v>1224</v>
      </c>
      <c r="J267" t="s">
        <v>1</v>
      </c>
      <c r="K267" t="s">
        <v>4260</v>
      </c>
    </row>
    <row r="268" spans="9:11">
      <c r="I268" t="s">
        <v>1229</v>
      </c>
      <c r="J268" t="s">
        <v>1</v>
      </c>
      <c r="K268" t="s">
        <v>4260</v>
      </c>
    </row>
    <row r="269" spans="9:11">
      <c r="I269" t="s">
        <v>1235</v>
      </c>
      <c r="J269" t="s">
        <v>1</v>
      </c>
      <c r="K269" t="s">
        <v>4260</v>
      </c>
    </row>
    <row r="270" spans="9:11">
      <c r="I270" t="s">
        <v>1239</v>
      </c>
      <c r="J270" t="s">
        <v>1</v>
      </c>
      <c r="K270" t="s">
        <v>4260</v>
      </c>
    </row>
    <row r="271" spans="9:11">
      <c r="I271" t="s">
        <v>1242</v>
      </c>
      <c r="J271" t="s">
        <v>1</v>
      </c>
      <c r="K271" t="s">
        <v>4260</v>
      </c>
    </row>
    <row r="272" spans="9:11">
      <c r="I272" t="s">
        <v>1245</v>
      </c>
      <c r="J272" t="s">
        <v>1</v>
      </c>
      <c r="K272" t="s">
        <v>4260</v>
      </c>
    </row>
    <row r="273" spans="9:11">
      <c r="I273" t="s">
        <v>1248</v>
      </c>
      <c r="J273" t="s">
        <v>1</v>
      </c>
      <c r="K273" t="s">
        <v>4260</v>
      </c>
    </row>
    <row r="274" spans="9:11">
      <c r="I274" t="s">
        <v>1251</v>
      </c>
      <c r="J274" t="s">
        <v>1</v>
      </c>
      <c r="K274" t="s">
        <v>4260</v>
      </c>
    </row>
    <row r="275" spans="9:11">
      <c r="I275" t="s">
        <v>1254</v>
      </c>
      <c r="J275" t="s">
        <v>1</v>
      </c>
      <c r="K275" t="s">
        <v>4260</v>
      </c>
    </row>
    <row r="276" spans="9:11">
      <c r="I276" t="s">
        <v>1257</v>
      </c>
      <c r="J276" t="s">
        <v>1</v>
      </c>
      <c r="K276" t="s">
        <v>4260</v>
      </c>
    </row>
    <row r="277" spans="9:11">
      <c r="I277" t="s">
        <v>1260</v>
      </c>
      <c r="J277" t="s">
        <v>1</v>
      </c>
      <c r="K277" t="s">
        <v>4260</v>
      </c>
    </row>
    <row r="278" spans="9:11">
      <c r="I278" t="s">
        <v>1265</v>
      </c>
      <c r="J278" t="s">
        <v>1</v>
      </c>
      <c r="K278" t="s">
        <v>4260</v>
      </c>
    </row>
    <row r="279" spans="9:11">
      <c r="I279" t="s">
        <v>1268</v>
      </c>
      <c r="J279" t="s">
        <v>1</v>
      </c>
      <c r="K279" t="s">
        <v>4260</v>
      </c>
    </row>
    <row r="280" spans="9:11">
      <c r="I280" t="s">
        <v>1273</v>
      </c>
      <c r="J280" t="s">
        <v>1</v>
      </c>
      <c r="K280" t="s">
        <v>4260</v>
      </c>
    </row>
    <row r="281" spans="9:11">
      <c r="I281" t="s">
        <v>1276</v>
      </c>
      <c r="J281" t="s">
        <v>1</v>
      </c>
      <c r="K281" t="s">
        <v>4260</v>
      </c>
    </row>
    <row r="282" spans="9:11">
      <c r="I282" t="s">
        <v>1279</v>
      </c>
      <c r="J282" t="s">
        <v>1</v>
      </c>
      <c r="K282" t="s">
        <v>4260</v>
      </c>
    </row>
    <row r="283" spans="9:11">
      <c r="I283" t="s">
        <v>1282</v>
      </c>
      <c r="J283" t="s">
        <v>1</v>
      </c>
      <c r="K283" t="s">
        <v>4260</v>
      </c>
    </row>
    <row r="284" spans="9:11">
      <c r="I284" t="s">
        <v>1287</v>
      </c>
      <c r="J284" t="s">
        <v>1</v>
      </c>
      <c r="K284" t="s">
        <v>4260</v>
      </c>
    </row>
    <row r="285" spans="9:11">
      <c r="I285" t="s">
        <v>1290</v>
      </c>
      <c r="J285" t="s">
        <v>1</v>
      </c>
      <c r="K285" t="s">
        <v>4260</v>
      </c>
    </row>
    <row r="286" spans="9:11">
      <c r="I286" t="s">
        <v>1293</v>
      </c>
      <c r="J286" t="s">
        <v>1</v>
      </c>
      <c r="K286" t="s">
        <v>4260</v>
      </c>
    </row>
    <row r="287" spans="9:11">
      <c r="I287" t="s">
        <v>1296</v>
      </c>
      <c r="J287" t="s">
        <v>1</v>
      </c>
      <c r="K287" t="s">
        <v>4260</v>
      </c>
    </row>
    <row r="288" spans="9:11">
      <c r="I288" t="s">
        <v>1299</v>
      </c>
      <c r="J288" t="s">
        <v>1</v>
      </c>
      <c r="K288" t="s">
        <v>4260</v>
      </c>
    </row>
    <row r="289" spans="9:11">
      <c r="I289" t="s">
        <v>1303</v>
      </c>
      <c r="J289" t="s">
        <v>1</v>
      </c>
      <c r="K289" t="s">
        <v>4260</v>
      </c>
    </row>
    <row r="290" spans="9:11">
      <c r="I290" t="s">
        <v>1309</v>
      </c>
      <c r="J290" t="s">
        <v>1</v>
      </c>
      <c r="K290" t="s">
        <v>4260</v>
      </c>
    </row>
    <row r="291" spans="9:11">
      <c r="I291" t="s">
        <v>1312</v>
      </c>
      <c r="J291" t="s">
        <v>1</v>
      </c>
      <c r="K291" t="s">
        <v>4260</v>
      </c>
    </row>
    <row r="292" spans="9:11">
      <c r="I292" t="s">
        <v>1318</v>
      </c>
      <c r="J292" t="s">
        <v>1</v>
      </c>
      <c r="K292" t="s">
        <v>4260</v>
      </c>
    </row>
    <row r="293" spans="9:11">
      <c r="I293" t="s">
        <v>1321</v>
      </c>
      <c r="J293" t="s">
        <v>1</v>
      </c>
      <c r="K293" t="s">
        <v>4260</v>
      </c>
    </row>
    <row r="294" spans="9:11">
      <c r="I294" t="s">
        <v>1324</v>
      </c>
      <c r="J294" t="s">
        <v>1</v>
      </c>
      <c r="K294" t="s">
        <v>4260</v>
      </c>
    </row>
    <row r="295" spans="9:11">
      <c r="I295" t="s">
        <v>1327</v>
      </c>
      <c r="J295" t="s">
        <v>1</v>
      </c>
      <c r="K295" t="s">
        <v>4260</v>
      </c>
    </row>
    <row r="296" spans="9:11">
      <c r="I296" t="s">
        <v>1330</v>
      </c>
      <c r="J296" t="s">
        <v>1</v>
      </c>
      <c r="K296" t="s">
        <v>4260</v>
      </c>
    </row>
    <row r="297" spans="9:11">
      <c r="I297" t="s">
        <v>1333</v>
      </c>
      <c r="J297" t="s">
        <v>1</v>
      </c>
      <c r="K297" t="s">
        <v>4260</v>
      </c>
    </row>
    <row r="298" spans="9:11">
      <c r="I298" t="s">
        <v>1336</v>
      </c>
      <c r="J298" t="s">
        <v>1</v>
      </c>
      <c r="K298" t="s">
        <v>4260</v>
      </c>
    </row>
    <row r="299" spans="9:11">
      <c r="I299" t="s">
        <v>1339</v>
      </c>
      <c r="J299" t="s">
        <v>1</v>
      </c>
      <c r="K299" t="s">
        <v>4260</v>
      </c>
    </row>
    <row r="300" spans="9:11">
      <c r="I300" t="s">
        <v>1342</v>
      </c>
      <c r="J300" t="s">
        <v>1</v>
      </c>
      <c r="K300" t="s">
        <v>4260</v>
      </c>
    </row>
    <row r="301" spans="9:11">
      <c r="I301" t="s">
        <v>1345</v>
      </c>
      <c r="J301" t="s">
        <v>1</v>
      </c>
      <c r="K301" t="s">
        <v>4260</v>
      </c>
    </row>
    <row r="302" spans="9:11">
      <c r="I302" t="s">
        <v>1348</v>
      </c>
      <c r="J302" t="s">
        <v>1</v>
      </c>
      <c r="K302" t="s">
        <v>4260</v>
      </c>
    </row>
    <row r="303" spans="9:11">
      <c r="I303" t="s">
        <v>1351</v>
      </c>
      <c r="J303" t="s">
        <v>1</v>
      </c>
      <c r="K303" t="s">
        <v>4260</v>
      </c>
    </row>
    <row r="304" spans="9:11">
      <c r="I304" t="s">
        <v>1354</v>
      </c>
      <c r="J304" t="s">
        <v>1</v>
      </c>
      <c r="K304" t="s">
        <v>4260</v>
      </c>
    </row>
    <row r="305" spans="9:11">
      <c r="I305" t="s">
        <v>1359</v>
      </c>
      <c r="J305" t="s">
        <v>1</v>
      </c>
      <c r="K305" t="s">
        <v>4260</v>
      </c>
    </row>
    <row r="306" spans="9:11">
      <c r="I306" t="s">
        <v>1362</v>
      </c>
      <c r="J306" t="s">
        <v>1</v>
      </c>
      <c r="K306" t="s">
        <v>4260</v>
      </c>
    </row>
    <row r="307" spans="9:11">
      <c r="I307" t="s">
        <v>1365</v>
      </c>
      <c r="J307" t="s">
        <v>1</v>
      </c>
      <c r="K307" t="s">
        <v>4260</v>
      </c>
    </row>
    <row r="308" spans="9:11">
      <c r="I308" t="s">
        <v>1370</v>
      </c>
      <c r="J308" t="s">
        <v>1</v>
      </c>
      <c r="K308" t="s">
        <v>4260</v>
      </c>
    </row>
    <row r="309" spans="9:11">
      <c r="I309" t="s">
        <v>1375</v>
      </c>
      <c r="J309" t="s">
        <v>1</v>
      </c>
      <c r="K309" t="s">
        <v>4260</v>
      </c>
    </row>
    <row r="310" spans="9:11">
      <c r="I310" t="s">
        <v>1378</v>
      </c>
      <c r="J310" t="s">
        <v>1</v>
      </c>
      <c r="K310" t="s">
        <v>4260</v>
      </c>
    </row>
    <row r="311" spans="9:11">
      <c r="I311" t="s">
        <v>1383</v>
      </c>
      <c r="J311" t="s">
        <v>1</v>
      </c>
      <c r="K311" t="s">
        <v>4260</v>
      </c>
    </row>
    <row r="312" spans="9:11">
      <c r="I312" t="s">
        <v>1389</v>
      </c>
      <c r="J312" t="s">
        <v>1</v>
      </c>
      <c r="K312" t="s">
        <v>4260</v>
      </c>
    </row>
    <row r="313" spans="9:11">
      <c r="I313" t="s">
        <v>1393</v>
      </c>
      <c r="J313" t="s">
        <v>1</v>
      </c>
      <c r="K313" t="s">
        <v>4260</v>
      </c>
    </row>
    <row r="314" spans="9:11">
      <c r="I314" t="s">
        <v>1396</v>
      </c>
      <c r="J314" t="s">
        <v>1</v>
      </c>
      <c r="K314" t="s">
        <v>4260</v>
      </c>
    </row>
    <row r="315" spans="9:11">
      <c r="I315" t="s">
        <v>1401</v>
      </c>
      <c r="J315" t="s">
        <v>1</v>
      </c>
      <c r="K315" t="s">
        <v>4260</v>
      </c>
    </row>
    <row r="316" spans="9:11">
      <c r="I316" t="s">
        <v>1404</v>
      </c>
      <c r="J316" t="s">
        <v>1</v>
      </c>
      <c r="K316" t="s">
        <v>4260</v>
      </c>
    </row>
    <row r="317" spans="9:11">
      <c r="I317" t="s">
        <v>1407</v>
      </c>
      <c r="J317" t="s">
        <v>1</v>
      </c>
      <c r="K317" t="s">
        <v>4260</v>
      </c>
    </row>
    <row r="318" spans="9:11">
      <c r="I318" t="s">
        <v>1412</v>
      </c>
      <c r="J318" t="s">
        <v>1</v>
      </c>
      <c r="K318" t="s">
        <v>4260</v>
      </c>
    </row>
    <row r="319" spans="9:11">
      <c r="I319" t="s">
        <v>1417</v>
      </c>
      <c r="J319" t="s">
        <v>1</v>
      </c>
      <c r="K319" t="s">
        <v>4260</v>
      </c>
    </row>
    <row r="320" spans="9:11">
      <c r="I320" t="s">
        <v>1422</v>
      </c>
      <c r="J320" t="s">
        <v>1</v>
      </c>
      <c r="K320" t="s">
        <v>4260</v>
      </c>
    </row>
    <row r="321" spans="9:11">
      <c r="I321" t="s">
        <v>1427</v>
      </c>
      <c r="J321" t="s">
        <v>1</v>
      </c>
      <c r="K321" t="s">
        <v>4260</v>
      </c>
    </row>
    <row r="322" spans="9:11">
      <c r="I322" t="s">
        <v>1432</v>
      </c>
      <c r="J322" t="s">
        <v>1</v>
      </c>
      <c r="K322" t="s">
        <v>4260</v>
      </c>
    </row>
    <row r="323" spans="9:11">
      <c r="I323" t="s">
        <v>1435</v>
      </c>
      <c r="J323" t="s">
        <v>1</v>
      </c>
      <c r="K323" t="s">
        <v>4260</v>
      </c>
    </row>
    <row r="324" spans="9:11">
      <c r="I324" t="s">
        <v>1438</v>
      </c>
      <c r="J324" t="s">
        <v>1</v>
      </c>
      <c r="K324" t="s">
        <v>4260</v>
      </c>
    </row>
    <row r="325" spans="9:11">
      <c r="I325" t="s">
        <v>1444</v>
      </c>
      <c r="J325" t="s">
        <v>1</v>
      </c>
      <c r="K325" t="s">
        <v>4260</v>
      </c>
    </row>
    <row r="326" spans="9:11">
      <c r="I326" t="s">
        <v>1448</v>
      </c>
      <c r="J326" t="s">
        <v>1</v>
      </c>
      <c r="K326" t="s">
        <v>4260</v>
      </c>
    </row>
    <row r="327" spans="9:11">
      <c r="I327" t="s">
        <v>1451</v>
      </c>
      <c r="J327" t="s">
        <v>1</v>
      </c>
      <c r="K327" t="s">
        <v>4260</v>
      </c>
    </row>
    <row r="328" spans="9:11">
      <c r="I328" t="s">
        <v>1454</v>
      </c>
      <c r="J328" t="s">
        <v>1</v>
      </c>
      <c r="K328" t="s">
        <v>4260</v>
      </c>
    </row>
    <row r="329" spans="9:11">
      <c r="I329" t="s">
        <v>1457</v>
      </c>
      <c r="J329" t="s">
        <v>1</v>
      </c>
      <c r="K329" t="s">
        <v>4260</v>
      </c>
    </row>
    <row r="330" spans="9:11">
      <c r="I330" t="s">
        <v>1462</v>
      </c>
      <c r="J330" t="s">
        <v>1</v>
      </c>
      <c r="K330" t="s">
        <v>4260</v>
      </c>
    </row>
    <row r="331" spans="9:11">
      <c r="I331" t="s">
        <v>1467</v>
      </c>
      <c r="J331" t="s">
        <v>1</v>
      </c>
      <c r="K331" t="s">
        <v>4260</v>
      </c>
    </row>
    <row r="332" spans="9:11">
      <c r="I332" t="s">
        <v>1470</v>
      </c>
      <c r="J332" t="s">
        <v>1</v>
      </c>
      <c r="K332" t="s">
        <v>4260</v>
      </c>
    </row>
    <row r="333" spans="9:11">
      <c r="I333" t="s">
        <v>1473</v>
      </c>
      <c r="J333" t="s">
        <v>1</v>
      </c>
      <c r="K333" t="s">
        <v>4260</v>
      </c>
    </row>
    <row r="334" spans="9:11">
      <c r="I334" t="s">
        <v>1476</v>
      </c>
      <c r="J334" t="s">
        <v>1</v>
      </c>
      <c r="K334" t="s">
        <v>4260</v>
      </c>
    </row>
    <row r="335" spans="9:11">
      <c r="I335" t="s">
        <v>1481</v>
      </c>
      <c r="J335" t="s">
        <v>1</v>
      </c>
      <c r="K335" t="s">
        <v>4260</v>
      </c>
    </row>
    <row r="336" spans="9:11">
      <c r="I336" t="s">
        <v>1484</v>
      </c>
      <c r="J336" t="s">
        <v>1</v>
      </c>
      <c r="K336" t="s">
        <v>4260</v>
      </c>
    </row>
    <row r="337" spans="9:11">
      <c r="I337" t="s">
        <v>1487</v>
      </c>
      <c r="J337" t="s">
        <v>1</v>
      </c>
      <c r="K337" t="s">
        <v>4260</v>
      </c>
    </row>
    <row r="338" spans="9:11">
      <c r="I338" t="s">
        <v>1493</v>
      </c>
      <c r="J338" t="s">
        <v>1</v>
      </c>
      <c r="K338" t="s">
        <v>4260</v>
      </c>
    </row>
    <row r="339" spans="9:11">
      <c r="I339" t="s">
        <v>1496</v>
      </c>
      <c r="J339" t="s">
        <v>1</v>
      </c>
      <c r="K339" t="s">
        <v>4260</v>
      </c>
    </row>
    <row r="340" spans="9:11">
      <c r="I340" t="s">
        <v>1499</v>
      </c>
      <c r="J340" t="s">
        <v>1</v>
      </c>
      <c r="K340" t="s">
        <v>4260</v>
      </c>
    </row>
    <row r="341" spans="9:11">
      <c r="I341" t="s">
        <v>1504</v>
      </c>
      <c r="J341" t="s">
        <v>1</v>
      </c>
      <c r="K341" t="s">
        <v>4260</v>
      </c>
    </row>
    <row r="342" spans="9:11">
      <c r="I342" t="s">
        <v>1509</v>
      </c>
      <c r="J342" t="s">
        <v>1</v>
      </c>
      <c r="K342" t="s">
        <v>4260</v>
      </c>
    </row>
    <row r="343" spans="9:11">
      <c r="I343" t="s">
        <v>1512</v>
      </c>
      <c r="J343" t="s">
        <v>1</v>
      </c>
      <c r="K343" t="s">
        <v>4260</v>
      </c>
    </row>
    <row r="344" spans="9:11">
      <c r="I344" t="s">
        <v>1517</v>
      </c>
      <c r="J344" t="s">
        <v>1</v>
      </c>
      <c r="K344" t="s">
        <v>4260</v>
      </c>
    </row>
    <row r="345" spans="9:11">
      <c r="I345" t="s">
        <v>1520</v>
      </c>
      <c r="J345" t="s">
        <v>1</v>
      </c>
      <c r="K345" t="s">
        <v>4260</v>
      </c>
    </row>
    <row r="346" spans="9:11">
      <c r="I346" t="s">
        <v>1523</v>
      </c>
      <c r="J346" t="s">
        <v>1</v>
      </c>
      <c r="K346" t="s">
        <v>4260</v>
      </c>
    </row>
    <row r="347" spans="9:11">
      <c r="I347" t="s">
        <v>1527</v>
      </c>
      <c r="J347" t="s">
        <v>1</v>
      </c>
      <c r="K347" t="s">
        <v>4260</v>
      </c>
    </row>
    <row r="348" spans="9:11">
      <c r="I348" t="s">
        <v>1533</v>
      </c>
      <c r="J348" t="s">
        <v>1</v>
      </c>
      <c r="K348" t="s">
        <v>4260</v>
      </c>
    </row>
    <row r="349" spans="9:11">
      <c r="I349" t="s">
        <v>1536</v>
      </c>
      <c r="J349" t="s">
        <v>1</v>
      </c>
      <c r="K349" t="s">
        <v>4260</v>
      </c>
    </row>
    <row r="350" spans="9:11">
      <c r="I350" t="s">
        <v>1539</v>
      </c>
      <c r="J350" t="s">
        <v>1</v>
      </c>
      <c r="K350" t="s">
        <v>4260</v>
      </c>
    </row>
    <row r="351" spans="9:11">
      <c r="I351" t="s">
        <v>1544</v>
      </c>
      <c r="J351" t="s">
        <v>1</v>
      </c>
      <c r="K351" t="s">
        <v>4260</v>
      </c>
    </row>
    <row r="352" spans="9:11">
      <c r="I352" t="s">
        <v>1547</v>
      </c>
      <c r="J352" t="s">
        <v>1</v>
      </c>
      <c r="K352" t="s">
        <v>4260</v>
      </c>
    </row>
    <row r="353" spans="9:11">
      <c r="I353" t="s">
        <v>1550</v>
      </c>
      <c r="J353" t="s">
        <v>1</v>
      </c>
      <c r="K353" t="s">
        <v>4260</v>
      </c>
    </row>
    <row r="354" spans="9:11">
      <c r="I354" t="s">
        <v>1553</v>
      </c>
      <c r="J354" t="s">
        <v>1</v>
      </c>
      <c r="K354" t="s">
        <v>4260</v>
      </c>
    </row>
    <row r="355" spans="9:11">
      <c r="I355" t="s">
        <v>1556</v>
      </c>
      <c r="J355" t="s">
        <v>1</v>
      </c>
      <c r="K355" t="s">
        <v>4260</v>
      </c>
    </row>
    <row r="356" spans="9:11">
      <c r="I356" t="s">
        <v>1561</v>
      </c>
      <c r="J356" t="s">
        <v>1</v>
      </c>
      <c r="K356" t="s">
        <v>4260</v>
      </c>
    </row>
    <row r="357" spans="9:11">
      <c r="I357" t="s">
        <v>1564</v>
      </c>
      <c r="J357" t="s">
        <v>1</v>
      </c>
      <c r="K357" t="s">
        <v>4260</v>
      </c>
    </row>
    <row r="358" spans="9:11">
      <c r="I358" t="s">
        <v>1569</v>
      </c>
      <c r="J358" t="s">
        <v>1</v>
      </c>
      <c r="K358" t="s">
        <v>4260</v>
      </c>
    </row>
    <row r="359" spans="9:11">
      <c r="I359" t="s">
        <v>1572</v>
      </c>
      <c r="J359" t="s">
        <v>1</v>
      </c>
      <c r="K359" t="s">
        <v>4260</v>
      </c>
    </row>
    <row r="360" spans="9:11">
      <c r="I360" t="s">
        <v>1575</v>
      </c>
      <c r="J360" t="s">
        <v>1</v>
      </c>
      <c r="K360" t="s">
        <v>4260</v>
      </c>
    </row>
    <row r="361" spans="9:11">
      <c r="I361" t="s">
        <v>1578</v>
      </c>
      <c r="J361" t="s">
        <v>1</v>
      </c>
      <c r="K361" t="s">
        <v>4260</v>
      </c>
    </row>
    <row r="362" spans="9:11">
      <c r="I362" t="s">
        <v>1581</v>
      </c>
      <c r="J362" t="s">
        <v>1</v>
      </c>
      <c r="K362" t="s">
        <v>4260</v>
      </c>
    </row>
    <row r="363" spans="9:11">
      <c r="I363" t="s">
        <v>1584</v>
      </c>
      <c r="J363" t="s">
        <v>1</v>
      </c>
      <c r="K363" t="s">
        <v>4260</v>
      </c>
    </row>
    <row r="364" spans="9:11">
      <c r="I364" t="s">
        <v>1589</v>
      </c>
      <c r="J364" t="s">
        <v>1</v>
      </c>
      <c r="K364" t="s">
        <v>4260</v>
      </c>
    </row>
    <row r="365" spans="9:11">
      <c r="I365" t="s">
        <v>1592</v>
      </c>
      <c r="J365" t="s">
        <v>1</v>
      </c>
      <c r="K365" t="s">
        <v>4260</v>
      </c>
    </row>
    <row r="366" spans="9:11">
      <c r="I366" t="s">
        <v>1595</v>
      </c>
      <c r="J366" t="s">
        <v>1</v>
      </c>
      <c r="K366" t="s">
        <v>4260</v>
      </c>
    </row>
    <row r="367" spans="9:11">
      <c r="I367" t="s">
        <v>1598</v>
      </c>
      <c r="J367" t="s">
        <v>1</v>
      </c>
      <c r="K367" t="s">
        <v>4260</v>
      </c>
    </row>
    <row r="368" spans="9:11">
      <c r="I368" t="s">
        <v>1601</v>
      </c>
      <c r="J368" t="s">
        <v>1</v>
      </c>
      <c r="K368" t="s">
        <v>4260</v>
      </c>
    </row>
    <row r="369" spans="9:11">
      <c r="I369" t="s">
        <v>1606</v>
      </c>
      <c r="J369" t="s">
        <v>1</v>
      </c>
      <c r="K369" t="s">
        <v>4260</v>
      </c>
    </row>
    <row r="370" spans="9:11">
      <c r="I370" t="s">
        <v>1609</v>
      </c>
      <c r="J370" t="s">
        <v>1</v>
      </c>
      <c r="K370" t="s">
        <v>4260</v>
      </c>
    </row>
    <row r="371" spans="9:11">
      <c r="I371" t="s">
        <v>1615</v>
      </c>
      <c r="J371" t="s">
        <v>1</v>
      </c>
      <c r="K371" t="s">
        <v>4260</v>
      </c>
    </row>
    <row r="372" spans="9:11">
      <c r="I372" t="s">
        <v>1618</v>
      </c>
      <c r="J372" t="s">
        <v>1</v>
      </c>
      <c r="K372" t="s">
        <v>4260</v>
      </c>
    </row>
    <row r="373" spans="9:11">
      <c r="I373" t="s">
        <v>1621</v>
      </c>
      <c r="J373" t="s">
        <v>1</v>
      </c>
      <c r="K373" t="s">
        <v>4260</v>
      </c>
    </row>
    <row r="374" spans="9:11">
      <c r="I374" t="s">
        <v>1624</v>
      </c>
      <c r="J374" t="s">
        <v>1</v>
      </c>
      <c r="K374" t="s">
        <v>4260</v>
      </c>
    </row>
    <row r="375" spans="9:11">
      <c r="I375" t="s">
        <v>1627</v>
      </c>
      <c r="J375" t="s">
        <v>1</v>
      </c>
      <c r="K375" t="s">
        <v>4260</v>
      </c>
    </row>
    <row r="376" spans="9:11">
      <c r="I376" t="s">
        <v>1630</v>
      </c>
      <c r="J376" t="s">
        <v>1</v>
      </c>
      <c r="K376" t="s">
        <v>4260</v>
      </c>
    </row>
    <row r="377" spans="9:11">
      <c r="I377" t="s">
        <v>1633</v>
      </c>
      <c r="J377" t="s">
        <v>1</v>
      </c>
      <c r="K377" t="s">
        <v>4260</v>
      </c>
    </row>
    <row r="378" spans="9:11">
      <c r="I378" t="s">
        <v>1636</v>
      </c>
      <c r="J378" t="s">
        <v>1</v>
      </c>
      <c r="K378" t="s">
        <v>4260</v>
      </c>
    </row>
    <row r="379" spans="9:11">
      <c r="I379" t="s">
        <v>1639</v>
      </c>
      <c r="J379" t="s">
        <v>1</v>
      </c>
      <c r="K379" t="s">
        <v>4260</v>
      </c>
    </row>
    <row r="380" spans="9:11">
      <c r="I380" t="s">
        <v>1642</v>
      </c>
      <c r="J380" t="s">
        <v>1</v>
      </c>
      <c r="K380" t="s">
        <v>4260</v>
      </c>
    </row>
    <row r="381" spans="9:11">
      <c r="I381" t="s">
        <v>1645</v>
      </c>
      <c r="J381" t="s">
        <v>1</v>
      </c>
      <c r="K381" t="s">
        <v>4260</v>
      </c>
    </row>
    <row r="382" spans="9:11">
      <c r="I382" t="s">
        <v>1648</v>
      </c>
      <c r="J382" t="s">
        <v>1</v>
      </c>
      <c r="K382" t="s">
        <v>4260</v>
      </c>
    </row>
    <row r="383" spans="9:11">
      <c r="I383" t="s">
        <v>1651</v>
      </c>
      <c r="J383" t="s">
        <v>1</v>
      </c>
      <c r="K383" t="s">
        <v>4260</v>
      </c>
    </row>
    <row r="384" spans="9:11">
      <c r="I384" t="s">
        <v>1654</v>
      </c>
      <c r="J384" t="s">
        <v>1</v>
      </c>
      <c r="K384" t="s">
        <v>4260</v>
      </c>
    </row>
    <row r="385" spans="9:11">
      <c r="I385" t="s">
        <v>1657</v>
      </c>
      <c r="J385" t="s">
        <v>1</v>
      </c>
      <c r="K385" t="s">
        <v>4260</v>
      </c>
    </row>
    <row r="386" spans="9:11">
      <c r="I386" t="s">
        <v>1662</v>
      </c>
      <c r="J386" t="s">
        <v>1</v>
      </c>
      <c r="K386" t="s">
        <v>4260</v>
      </c>
    </row>
    <row r="387" spans="9:11">
      <c r="I387" t="s">
        <v>1667</v>
      </c>
      <c r="J387" t="s">
        <v>1</v>
      </c>
      <c r="K387" t="s">
        <v>4260</v>
      </c>
    </row>
    <row r="388" spans="9:11">
      <c r="I388" t="s">
        <v>1672</v>
      </c>
      <c r="J388" t="s">
        <v>1</v>
      </c>
      <c r="K388" t="s">
        <v>4260</v>
      </c>
    </row>
    <row r="389" spans="9:11">
      <c r="I389" t="s">
        <v>1675</v>
      </c>
      <c r="J389" t="s">
        <v>1</v>
      </c>
      <c r="K389" t="s">
        <v>4260</v>
      </c>
    </row>
    <row r="390" spans="9:11">
      <c r="I390" t="s">
        <v>1678</v>
      </c>
      <c r="J390" t="s">
        <v>1</v>
      </c>
      <c r="K390" t="s">
        <v>4260</v>
      </c>
    </row>
    <row r="391" spans="9:11">
      <c r="I391" t="s">
        <v>1681</v>
      </c>
      <c r="J391" t="s">
        <v>1</v>
      </c>
      <c r="K391" t="s">
        <v>4260</v>
      </c>
    </row>
    <row r="392" spans="9:11">
      <c r="I392" t="s">
        <v>1684</v>
      </c>
      <c r="J392" t="s">
        <v>1</v>
      </c>
      <c r="K392" t="s">
        <v>4260</v>
      </c>
    </row>
    <row r="393" spans="9:11">
      <c r="I393" t="s">
        <v>1687</v>
      </c>
      <c r="J393" t="s">
        <v>1</v>
      </c>
      <c r="K393" t="s">
        <v>4260</v>
      </c>
    </row>
    <row r="394" spans="9:11">
      <c r="I394" t="s">
        <v>1692</v>
      </c>
      <c r="J394" t="s">
        <v>1</v>
      </c>
      <c r="K394" t="s">
        <v>4260</v>
      </c>
    </row>
    <row r="395" spans="9:11">
      <c r="I395" t="s">
        <v>1698</v>
      </c>
      <c r="J395" t="s">
        <v>1</v>
      </c>
      <c r="K395" t="s">
        <v>4260</v>
      </c>
    </row>
    <row r="396" spans="9:11">
      <c r="I396" t="s">
        <v>1704</v>
      </c>
      <c r="J396" t="s">
        <v>1</v>
      </c>
      <c r="K396" t="s">
        <v>4260</v>
      </c>
    </row>
    <row r="397" spans="9:11">
      <c r="I397" t="s">
        <v>1707</v>
      </c>
      <c r="J397" t="s">
        <v>1</v>
      </c>
      <c r="K397" t="s">
        <v>4260</v>
      </c>
    </row>
    <row r="398" spans="9:11">
      <c r="I398" t="s">
        <v>1712</v>
      </c>
      <c r="J398" t="s">
        <v>1</v>
      </c>
      <c r="K398" t="s">
        <v>4260</v>
      </c>
    </row>
    <row r="399" spans="9:11">
      <c r="I399" t="s">
        <v>1715</v>
      </c>
      <c r="J399" t="s">
        <v>1</v>
      </c>
      <c r="K399" t="s">
        <v>4260</v>
      </c>
    </row>
    <row r="400" spans="9:11">
      <c r="I400" t="s">
        <v>1719</v>
      </c>
      <c r="J400" t="s">
        <v>1</v>
      </c>
      <c r="K400" t="s">
        <v>4260</v>
      </c>
    </row>
    <row r="401" spans="9:11">
      <c r="I401" t="s">
        <v>1722</v>
      </c>
      <c r="J401" t="s">
        <v>1</v>
      </c>
      <c r="K401" t="s">
        <v>4260</v>
      </c>
    </row>
    <row r="402" spans="9:11">
      <c r="I402" t="s">
        <v>1727</v>
      </c>
      <c r="J402" t="s">
        <v>1</v>
      </c>
      <c r="K402" t="s">
        <v>4260</v>
      </c>
    </row>
    <row r="403" spans="9:11">
      <c r="I403" t="s">
        <v>1730</v>
      </c>
      <c r="J403" t="s">
        <v>1</v>
      </c>
      <c r="K403" t="s">
        <v>4260</v>
      </c>
    </row>
    <row r="404" spans="9:11">
      <c r="I404" t="s">
        <v>1733</v>
      </c>
      <c r="J404" t="s">
        <v>1</v>
      </c>
      <c r="K404" t="s">
        <v>4260</v>
      </c>
    </row>
    <row r="405" spans="9:11">
      <c r="I405" t="s">
        <v>1736</v>
      </c>
      <c r="J405" t="s">
        <v>1</v>
      </c>
      <c r="K405" t="s">
        <v>4260</v>
      </c>
    </row>
    <row r="406" spans="9:11">
      <c r="I406" t="s">
        <v>1741</v>
      </c>
      <c r="J406" t="s">
        <v>1</v>
      </c>
      <c r="K406" t="s">
        <v>4260</v>
      </c>
    </row>
    <row r="407" spans="9:11">
      <c r="I407" t="s">
        <v>1747</v>
      </c>
      <c r="J407" t="s">
        <v>1</v>
      </c>
      <c r="K407" t="s">
        <v>4260</v>
      </c>
    </row>
    <row r="408" spans="9:11">
      <c r="I408" t="s">
        <v>1751</v>
      </c>
      <c r="J408" t="s">
        <v>1</v>
      </c>
      <c r="K408" t="s">
        <v>4260</v>
      </c>
    </row>
    <row r="409" spans="9:11">
      <c r="I409" t="s">
        <v>1754</v>
      </c>
      <c r="J409" t="s">
        <v>1</v>
      </c>
      <c r="K409" t="s">
        <v>4260</v>
      </c>
    </row>
    <row r="410" spans="9:11">
      <c r="I410" t="s">
        <v>1757</v>
      </c>
      <c r="J410" t="s">
        <v>1</v>
      </c>
      <c r="K410" t="s">
        <v>4260</v>
      </c>
    </row>
    <row r="411" spans="9:11">
      <c r="I411" t="s">
        <v>1762</v>
      </c>
      <c r="J411" t="s">
        <v>1</v>
      </c>
      <c r="K411" t="s">
        <v>4260</v>
      </c>
    </row>
    <row r="412" spans="9:11">
      <c r="I412" t="s">
        <v>1767</v>
      </c>
      <c r="J412" t="s">
        <v>1</v>
      </c>
      <c r="K412" t="s">
        <v>4260</v>
      </c>
    </row>
    <row r="413" spans="9:11">
      <c r="I413" t="s">
        <v>1770</v>
      </c>
      <c r="J413" t="s">
        <v>1</v>
      </c>
      <c r="K413" t="s">
        <v>4260</v>
      </c>
    </row>
    <row r="414" spans="9:11">
      <c r="I414" t="s">
        <v>1775</v>
      </c>
      <c r="J414" t="s">
        <v>1</v>
      </c>
      <c r="K414" t="s">
        <v>4260</v>
      </c>
    </row>
    <row r="415" spans="9:11">
      <c r="I415" t="s">
        <v>1778</v>
      </c>
      <c r="J415" t="s">
        <v>1</v>
      </c>
      <c r="K415" t="s">
        <v>4260</v>
      </c>
    </row>
    <row r="416" spans="9:11">
      <c r="I416" t="s">
        <v>1781</v>
      </c>
      <c r="J416" t="s">
        <v>1</v>
      </c>
      <c r="K416" t="s">
        <v>4260</v>
      </c>
    </row>
    <row r="417" spans="9:11">
      <c r="I417" t="s">
        <v>1787</v>
      </c>
      <c r="J417" t="s">
        <v>1</v>
      </c>
      <c r="K417" t="s">
        <v>4260</v>
      </c>
    </row>
    <row r="418" spans="9:11">
      <c r="I418" t="s">
        <v>1791</v>
      </c>
      <c r="J418" t="s">
        <v>1</v>
      </c>
      <c r="K418" t="s">
        <v>4260</v>
      </c>
    </row>
    <row r="419" spans="9:11">
      <c r="I419" t="s">
        <v>1794</v>
      </c>
      <c r="J419" t="s">
        <v>1</v>
      </c>
      <c r="K419" t="s">
        <v>4260</v>
      </c>
    </row>
    <row r="420" spans="9:11">
      <c r="I420" t="s">
        <v>1797</v>
      </c>
      <c r="J420" t="s">
        <v>1</v>
      </c>
      <c r="K420" t="s">
        <v>4260</v>
      </c>
    </row>
    <row r="421" spans="9:11">
      <c r="I421" t="s">
        <v>1800</v>
      </c>
      <c r="J421" t="s">
        <v>1</v>
      </c>
      <c r="K421" t="s">
        <v>4260</v>
      </c>
    </row>
    <row r="422" spans="9:11">
      <c r="I422" t="s">
        <v>1803</v>
      </c>
      <c r="J422" t="s">
        <v>1</v>
      </c>
      <c r="K422" t="s">
        <v>4260</v>
      </c>
    </row>
    <row r="423" spans="9:11">
      <c r="I423" t="s">
        <v>1808</v>
      </c>
      <c r="J423" t="s">
        <v>1</v>
      </c>
      <c r="K423" t="s">
        <v>4260</v>
      </c>
    </row>
    <row r="424" spans="9:11">
      <c r="I424" t="s">
        <v>1811</v>
      </c>
      <c r="J424" t="s">
        <v>1</v>
      </c>
      <c r="K424" t="s">
        <v>4260</v>
      </c>
    </row>
    <row r="425" spans="9:11">
      <c r="I425" t="s">
        <v>1814</v>
      </c>
      <c r="J425" t="s">
        <v>1</v>
      </c>
      <c r="K425" t="s">
        <v>4260</v>
      </c>
    </row>
    <row r="426" spans="9:11">
      <c r="I426" t="s">
        <v>1819</v>
      </c>
      <c r="J426" t="s">
        <v>1</v>
      </c>
      <c r="K426" t="s">
        <v>4260</v>
      </c>
    </row>
    <row r="427" spans="9:11">
      <c r="I427" t="s">
        <v>1824</v>
      </c>
      <c r="J427" t="s">
        <v>1</v>
      </c>
      <c r="K427" t="s">
        <v>4260</v>
      </c>
    </row>
    <row r="428" spans="9:11">
      <c r="I428" t="s">
        <v>1827</v>
      </c>
      <c r="J428" t="s">
        <v>1</v>
      </c>
      <c r="K428" t="s">
        <v>4260</v>
      </c>
    </row>
    <row r="429" spans="9:11">
      <c r="I429" t="s">
        <v>1830</v>
      </c>
      <c r="J429" t="s">
        <v>1</v>
      </c>
      <c r="K429" t="s">
        <v>4260</v>
      </c>
    </row>
    <row r="430" spans="9:11">
      <c r="I430" t="s">
        <v>1833</v>
      </c>
      <c r="J430" t="s">
        <v>1</v>
      </c>
      <c r="K430" t="s">
        <v>4260</v>
      </c>
    </row>
    <row r="431" spans="9:11">
      <c r="I431" t="s">
        <v>1836</v>
      </c>
      <c r="J431" t="s">
        <v>1</v>
      </c>
      <c r="K431" t="s">
        <v>4260</v>
      </c>
    </row>
    <row r="432" spans="9:11">
      <c r="I432" t="s">
        <v>1842</v>
      </c>
      <c r="J432" t="s">
        <v>1</v>
      </c>
      <c r="K432" t="s">
        <v>4260</v>
      </c>
    </row>
    <row r="433" spans="9:11">
      <c r="I433" t="s">
        <v>1847</v>
      </c>
      <c r="J433" t="s">
        <v>1</v>
      </c>
      <c r="K433" t="s">
        <v>4260</v>
      </c>
    </row>
    <row r="434" spans="9:11">
      <c r="I434" t="s">
        <v>1852</v>
      </c>
      <c r="J434" t="s">
        <v>1</v>
      </c>
      <c r="K434" t="s">
        <v>4260</v>
      </c>
    </row>
    <row r="435" spans="9:11">
      <c r="I435" t="s">
        <v>1855</v>
      </c>
      <c r="J435" t="s">
        <v>1</v>
      </c>
      <c r="K435" t="s">
        <v>4260</v>
      </c>
    </row>
    <row r="436" spans="9:11">
      <c r="I436" t="s">
        <v>1858</v>
      </c>
      <c r="J436" t="s">
        <v>1</v>
      </c>
      <c r="K436" t="s">
        <v>4260</v>
      </c>
    </row>
    <row r="437" spans="9:11">
      <c r="I437" t="s">
        <v>1861</v>
      </c>
      <c r="J437" t="s">
        <v>1</v>
      </c>
      <c r="K437" t="s">
        <v>4260</v>
      </c>
    </row>
    <row r="438" spans="9:11">
      <c r="I438" t="s">
        <v>1866</v>
      </c>
      <c r="J438" t="s">
        <v>1</v>
      </c>
      <c r="K438" t="s">
        <v>4260</v>
      </c>
    </row>
    <row r="439" spans="9:11">
      <c r="I439" t="s">
        <v>1872</v>
      </c>
      <c r="J439" t="s">
        <v>1</v>
      </c>
      <c r="K439" t="s">
        <v>4260</v>
      </c>
    </row>
    <row r="440" spans="9:11">
      <c r="I440" t="s">
        <v>1876</v>
      </c>
      <c r="J440" t="s">
        <v>1</v>
      </c>
      <c r="K440" t="s">
        <v>4260</v>
      </c>
    </row>
    <row r="441" spans="9:11">
      <c r="I441" t="s">
        <v>1879</v>
      </c>
      <c r="J441" t="s">
        <v>1</v>
      </c>
      <c r="K441" t="s">
        <v>4260</v>
      </c>
    </row>
    <row r="442" spans="9:11">
      <c r="I442" t="s">
        <v>1882</v>
      </c>
      <c r="J442" t="s">
        <v>1</v>
      </c>
      <c r="K442" t="s">
        <v>4260</v>
      </c>
    </row>
    <row r="443" spans="9:11">
      <c r="I443" t="s">
        <v>1885</v>
      </c>
      <c r="J443" t="s">
        <v>1</v>
      </c>
      <c r="K443" t="s">
        <v>4260</v>
      </c>
    </row>
    <row r="444" spans="9:11">
      <c r="I444" t="s">
        <v>1888</v>
      </c>
      <c r="J444" t="s">
        <v>1</v>
      </c>
      <c r="K444" t="s">
        <v>4260</v>
      </c>
    </row>
    <row r="445" spans="9:11">
      <c r="I445" t="s">
        <v>1891</v>
      </c>
      <c r="J445" t="s">
        <v>1</v>
      </c>
      <c r="K445" t="s">
        <v>4260</v>
      </c>
    </row>
    <row r="446" spans="9:11">
      <c r="I446" t="s">
        <v>1894</v>
      </c>
      <c r="J446" t="s">
        <v>1</v>
      </c>
      <c r="K446" t="s">
        <v>4260</v>
      </c>
    </row>
    <row r="447" spans="9:11">
      <c r="I447" t="s">
        <v>1897</v>
      </c>
      <c r="J447" t="s">
        <v>1</v>
      </c>
      <c r="K447" t="s">
        <v>4260</v>
      </c>
    </row>
    <row r="448" spans="9:11">
      <c r="I448" t="s">
        <v>1900</v>
      </c>
      <c r="J448" t="s">
        <v>1</v>
      </c>
      <c r="K448" t="s">
        <v>4260</v>
      </c>
    </row>
    <row r="449" spans="9:11">
      <c r="I449" t="s">
        <v>1903</v>
      </c>
      <c r="J449" t="s">
        <v>1</v>
      </c>
      <c r="K449" t="s">
        <v>4260</v>
      </c>
    </row>
    <row r="450" spans="9:11">
      <c r="I450" t="s">
        <v>1906</v>
      </c>
      <c r="J450" t="s">
        <v>1</v>
      </c>
      <c r="K450" t="s">
        <v>4260</v>
      </c>
    </row>
    <row r="451" spans="9:11">
      <c r="I451" t="s">
        <v>1909</v>
      </c>
      <c r="J451" t="s">
        <v>1</v>
      </c>
      <c r="K451" t="s">
        <v>4260</v>
      </c>
    </row>
    <row r="452" spans="9:11">
      <c r="I452" t="s">
        <v>1912</v>
      </c>
      <c r="J452" t="s">
        <v>1</v>
      </c>
      <c r="K452" t="s">
        <v>4260</v>
      </c>
    </row>
    <row r="453" spans="9:11">
      <c r="I453" t="s">
        <v>1915</v>
      </c>
      <c r="J453" t="s">
        <v>1</v>
      </c>
      <c r="K453" t="s">
        <v>4260</v>
      </c>
    </row>
    <row r="454" spans="9:11">
      <c r="I454" t="s">
        <v>1918</v>
      </c>
      <c r="J454" t="s">
        <v>1</v>
      </c>
      <c r="K454" t="s">
        <v>4260</v>
      </c>
    </row>
    <row r="455" spans="9:11">
      <c r="I455" t="s">
        <v>1921</v>
      </c>
      <c r="J455" t="s">
        <v>1</v>
      </c>
      <c r="K455" t="s">
        <v>4260</v>
      </c>
    </row>
    <row r="456" spans="9:11">
      <c r="I456" t="s">
        <v>1926</v>
      </c>
      <c r="J456" t="s">
        <v>1</v>
      </c>
      <c r="K456" t="s">
        <v>4260</v>
      </c>
    </row>
    <row r="457" spans="9:11">
      <c r="I457" t="s">
        <v>1931</v>
      </c>
      <c r="J457" t="s">
        <v>1</v>
      </c>
      <c r="K457" t="s">
        <v>4260</v>
      </c>
    </row>
    <row r="458" spans="9:11">
      <c r="I458" t="s">
        <v>1934</v>
      </c>
      <c r="J458" t="s">
        <v>1</v>
      </c>
      <c r="K458" t="s">
        <v>4260</v>
      </c>
    </row>
    <row r="459" spans="9:11">
      <c r="I459" t="s">
        <v>1937</v>
      </c>
      <c r="J459" t="s">
        <v>1</v>
      </c>
      <c r="K459" t="s">
        <v>4260</v>
      </c>
    </row>
    <row r="460" spans="9:11">
      <c r="I460" t="s">
        <v>1942</v>
      </c>
      <c r="J460" t="s">
        <v>1</v>
      </c>
      <c r="K460" t="s">
        <v>4260</v>
      </c>
    </row>
    <row r="461" spans="9:11">
      <c r="I461" t="s">
        <v>1946</v>
      </c>
      <c r="J461" t="s">
        <v>1</v>
      </c>
      <c r="K461" t="s">
        <v>4260</v>
      </c>
    </row>
    <row r="462" spans="9:11">
      <c r="I462" t="s">
        <v>1953</v>
      </c>
      <c r="J462" t="s">
        <v>1</v>
      </c>
      <c r="K462" t="s">
        <v>4260</v>
      </c>
    </row>
    <row r="463" spans="9:11">
      <c r="I463" t="s">
        <v>1958</v>
      </c>
      <c r="J463" t="s">
        <v>1</v>
      </c>
      <c r="K463" t="s">
        <v>4260</v>
      </c>
    </row>
    <row r="464" spans="9:11">
      <c r="I464" t="s">
        <v>1961</v>
      </c>
      <c r="J464" t="s">
        <v>1</v>
      </c>
      <c r="K464" t="s">
        <v>4260</v>
      </c>
    </row>
    <row r="465" spans="9:11">
      <c r="I465" t="s">
        <v>1966</v>
      </c>
      <c r="J465" t="s">
        <v>1</v>
      </c>
      <c r="K465" t="s">
        <v>4260</v>
      </c>
    </row>
    <row r="466" spans="9:11">
      <c r="I466" t="s">
        <v>1969</v>
      </c>
      <c r="J466" t="s">
        <v>1</v>
      </c>
      <c r="K466" t="s">
        <v>4260</v>
      </c>
    </row>
    <row r="467" spans="9:11">
      <c r="I467" t="s">
        <v>1975</v>
      </c>
      <c r="J467" t="s">
        <v>1</v>
      </c>
      <c r="K467" t="s">
        <v>4260</v>
      </c>
    </row>
    <row r="468" spans="9:11">
      <c r="I468" t="s">
        <v>1980</v>
      </c>
      <c r="J468" t="s">
        <v>1</v>
      </c>
      <c r="K468" t="s">
        <v>4260</v>
      </c>
    </row>
    <row r="469" spans="9:11">
      <c r="I469" t="s">
        <v>1986</v>
      </c>
      <c r="J469" t="s">
        <v>1</v>
      </c>
      <c r="K469" t="s">
        <v>4260</v>
      </c>
    </row>
    <row r="470" spans="9:11">
      <c r="I470" t="s">
        <v>1989</v>
      </c>
      <c r="J470" t="s">
        <v>1</v>
      </c>
      <c r="K470" t="s">
        <v>4260</v>
      </c>
    </row>
    <row r="471" spans="9:11">
      <c r="I471" t="s">
        <v>1992</v>
      </c>
      <c r="J471" t="s">
        <v>1</v>
      </c>
      <c r="K471" t="s">
        <v>4260</v>
      </c>
    </row>
    <row r="472" spans="9:11">
      <c r="I472" t="s">
        <v>1995</v>
      </c>
      <c r="J472" t="s">
        <v>1</v>
      </c>
      <c r="K472" t="s">
        <v>4260</v>
      </c>
    </row>
    <row r="473" spans="9:11">
      <c r="I473" t="s">
        <v>1998</v>
      </c>
      <c r="J473" t="s">
        <v>1</v>
      </c>
      <c r="K473" t="s">
        <v>4260</v>
      </c>
    </row>
    <row r="474" spans="9:11">
      <c r="I474" t="s">
        <v>2001</v>
      </c>
      <c r="J474" t="s">
        <v>1</v>
      </c>
      <c r="K474" t="s">
        <v>4260</v>
      </c>
    </row>
    <row r="475" spans="9:11">
      <c r="I475" t="s">
        <v>2004</v>
      </c>
      <c r="J475" t="s">
        <v>1</v>
      </c>
      <c r="K475" t="s">
        <v>4260</v>
      </c>
    </row>
    <row r="476" spans="9:11">
      <c r="I476" t="s">
        <v>2007</v>
      </c>
      <c r="J476" t="s">
        <v>1</v>
      </c>
      <c r="K476" t="s">
        <v>4260</v>
      </c>
    </row>
    <row r="477" spans="9:11">
      <c r="I477" t="s">
        <v>2010</v>
      </c>
      <c r="J477" t="s">
        <v>1</v>
      </c>
      <c r="K477" t="s">
        <v>4260</v>
      </c>
    </row>
    <row r="478" spans="9:11">
      <c r="I478" t="s">
        <v>2013</v>
      </c>
      <c r="J478" t="s">
        <v>1</v>
      </c>
      <c r="K478" t="s">
        <v>4260</v>
      </c>
    </row>
    <row r="479" spans="9:11">
      <c r="I479" t="s">
        <v>2018</v>
      </c>
      <c r="J479" t="s">
        <v>1</v>
      </c>
      <c r="K479" t="s">
        <v>4260</v>
      </c>
    </row>
    <row r="480" spans="9:11">
      <c r="I480" t="s">
        <v>2023</v>
      </c>
      <c r="J480" t="s">
        <v>1</v>
      </c>
      <c r="K480" t="s">
        <v>4260</v>
      </c>
    </row>
    <row r="481" spans="9:11">
      <c r="I481" t="s">
        <v>2026</v>
      </c>
      <c r="J481" t="s">
        <v>1</v>
      </c>
      <c r="K481" t="s">
        <v>4260</v>
      </c>
    </row>
    <row r="482" spans="9:11">
      <c r="I482" t="s">
        <v>2029</v>
      </c>
      <c r="J482" t="s">
        <v>1</v>
      </c>
      <c r="K482" t="s">
        <v>4260</v>
      </c>
    </row>
    <row r="483" spans="9:11">
      <c r="I483" t="s">
        <v>2034</v>
      </c>
      <c r="J483" t="s">
        <v>1</v>
      </c>
      <c r="K483" t="s">
        <v>4260</v>
      </c>
    </row>
    <row r="484" spans="9:11">
      <c r="I484" t="s">
        <v>2039</v>
      </c>
      <c r="J484" t="s">
        <v>1</v>
      </c>
      <c r="K484" t="s">
        <v>4260</v>
      </c>
    </row>
    <row r="485" spans="9:11">
      <c r="I485" t="s">
        <v>2044</v>
      </c>
      <c r="J485" t="s">
        <v>1</v>
      </c>
      <c r="K485" t="s">
        <v>4260</v>
      </c>
    </row>
    <row r="486" spans="9:11">
      <c r="I486" t="s">
        <v>2047</v>
      </c>
      <c r="J486" t="s">
        <v>1</v>
      </c>
      <c r="K486" t="s">
        <v>4260</v>
      </c>
    </row>
    <row r="487" spans="9:11">
      <c r="I487" t="s">
        <v>2053</v>
      </c>
      <c r="J487" t="s">
        <v>1</v>
      </c>
      <c r="K487" t="s">
        <v>4260</v>
      </c>
    </row>
    <row r="488" spans="9:11">
      <c r="I488" t="s">
        <v>2057</v>
      </c>
      <c r="J488" t="s">
        <v>1</v>
      </c>
      <c r="K488" t="s">
        <v>4260</v>
      </c>
    </row>
    <row r="489" spans="9:11">
      <c r="I489" t="s">
        <v>2060</v>
      </c>
      <c r="J489" t="s">
        <v>1</v>
      </c>
      <c r="K489" t="s">
        <v>4260</v>
      </c>
    </row>
    <row r="490" spans="9:11">
      <c r="I490" t="s">
        <v>2063</v>
      </c>
      <c r="J490" t="s">
        <v>1</v>
      </c>
      <c r="K490" t="s">
        <v>4260</v>
      </c>
    </row>
    <row r="491" spans="9:11">
      <c r="I491" t="s">
        <v>2066</v>
      </c>
      <c r="J491" t="s">
        <v>1</v>
      </c>
      <c r="K491" t="s">
        <v>4260</v>
      </c>
    </row>
    <row r="492" spans="9:11">
      <c r="I492" t="s">
        <v>2069</v>
      </c>
      <c r="J492" t="s">
        <v>1</v>
      </c>
      <c r="K492" t="s">
        <v>4260</v>
      </c>
    </row>
    <row r="493" spans="9:11">
      <c r="I493" t="s">
        <v>2072</v>
      </c>
      <c r="J493" t="s">
        <v>1</v>
      </c>
      <c r="K493" t="s">
        <v>4260</v>
      </c>
    </row>
    <row r="494" spans="9:11">
      <c r="I494" t="s">
        <v>2075</v>
      </c>
      <c r="J494" t="s">
        <v>1</v>
      </c>
      <c r="K494" t="s">
        <v>4260</v>
      </c>
    </row>
    <row r="495" spans="9:11">
      <c r="I495" t="s">
        <v>2078</v>
      </c>
      <c r="J495" t="s">
        <v>1</v>
      </c>
      <c r="K495" t="s">
        <v>4260</v>
      </c>
    </row>
    <row r="496" spans="9:11">
      <c r="I496" t="s">
        <v>2081</v>
      </c>
      <c r="J496" t="s">
        <v>1</v>
      </c>
      <c r="K496" t="s">
        <v>4260</v>
      </c>
    </row>
    <row r="497" spans="9:11">
      <c r="I497" t="s">
        <v>2084</v>
      </c>
      <c r="J497" t="s">
        <v>1</v>
      </c>
      <c r="K497" t="s">
        <v>4260</v>
      </c>
    </row>
    <row r="498" spans="9:11">
      <c r="I498" t="s">
        <v>2087</v>
      </c>
      <c r="J498" t="s">
        <v>1</v>
      </c>
      <c r="K498" t="s">
        <v>4260</v>
      </c>
    </row>
    <row r="499" spans="9:11">
      <c r="I499" t="s">
        <v>2090</v>
      </c>
      <c r="J499" t="s">
        <v>1</v>
      </c>
      <c r="K499" t="s">
        <v>4260</v>
      </c>
    </row>
    <row r="500" spans="9:11">
      <c r="I500" t="s">
        <v>2093</v>
      </c>
      <c r="J500" t="s">
        <v>1</v>
      </c>
      <c r="K500" t="s">
        <v>4260</v>
      </c>
    </row>
    <row r="501" spans="9:11">
      <c r="I501" t="s">
        <v>2096</v>
      </c>
      <c r="J501" t="s">
        <v>1</v>
      </c>
      <c r="K501" t="s">
        <v>4260</v>
      </c>
    </row>
    <row r="502" spans="9:11">
      <c r="I502" t="s">
        <v>2099</v>
      </c>
      <c r="J502" t="s">
        <v>1</v>
      </c>
      <c r="K502" t="s">
        <v>4260</v>
      </c>
    </row>
    <row r="503" spans="9:11">
      <c r="I503" t="s">
        <v>2102</v>
      </c>
      <c r="J503" t="s">
        <v>1</v>
      </c>
      <c r="K503" t="s">
        <v>4260</v>
      </c>
    </row>
    <row r="504" spans="9:11">
      <c r="I504" t="s">
        <v>2106</v>
      </c>
      <c r="J504" t="s">
        <v>1</v>
      </c>
      <c r="K504" t="s">
        <v>4260</v>
      </c>
    </row>
    <row r="505" spans="9:11">
      <c r="I505" t="s">
        <v>2112</v>
      </c>
      <c r="J505" t="s">
        <v>1</v>
      </c>
      <c r="K505" t="s">
        <v>4260</v>
      </c>
    </row>
    <row r="506" spans="9:11">
      <c r="I506" t="s">
        <v>2116</v>
      </c>
      <c r="J506" t="s">
        <v>1</v>
      </c>
      <c r="K506" t="s">
        <v>4260</v>
      </c>
    </row>
    <row r="507" spans="9:11">
      <c r="I507" t="s">
        <v>2120</v>
      </c>
      <c r="J507" t="s">
        <v>1</v>
      </c>
      <c r="K507" t="s">
        <v>4260</v>
      </c>
    </row>
    <row r="508" spans="9:11">
      <c r="I508" t="s">
        <v>2123</v>
      </c>
      <c r="J508" t="s">
        <v>1</v>
      </c>
      <c r="K508" t="s">
        <v>4260</v>
      </c>
    </row>
    <row r="509" spans="9:11">
      <c r="I509" t="s">
        <v>2126</v>
      </c>
      <c r="J509" t="s">
        <v>1</v>
      </c>
      <c r="K509" t="s">
        <v>4260</v>
      </c>
    </row>
    <row r="510" spans="9:11">
      <c r="I510" t="s">
        <v>2129</v>
      </c>
      <c r="J510" t="s">
        <v>1</v>
      </c>
      <c r="K510" t="s">
        <v>4260</v>
      </c>
    </row>
    <row r="511" spans="9:11">
      <c r="I511" t="s">
        <v>2132</v>
      </c>
      <c r="J511" t="s">
        <v>1</v>
      </c>
      <c r="K511" t="s">
        <v>4260</v>
      </c>
    </row>
    <row r="512" spans="9:11">
      <c r="I512" t="s">
        <v>2135</v>
      </c>
      <c r="J512" t="s">
        <v>1</v>
      </c>
      <c r="K512" t="s">
        <v>4260</v>
      </c>
    </row>
    <row r="513" spans="9:11">
      <c r="I513" t="s">
        <v>2138</v>
      </c>
      <c r="J513" t="s">
        <v>1</v>
      </c>
      <c r="K513" t="s">
        <v>4260</v>
      </c>
    </row>
    <row r="514" spans="9:11">
      <c r="I514" t="s">
        <v>2141</v>
      </c>
      <c r="J514" t="s">
        <v>1</v>
      </c>
      <c r="K514" t="s">
        <v>4260</v>
      </c>
    </row>
    <row r="515" spans="9:11">
      <c r="I515" t="s">
        <v>2144</v>
      </c>
      <c r="J515" t="s">
        <v>1</v>
      </c>
      <c r="K515" t="s">
        <v>4260</v>
      </c>
    </row>
    <row r="516" spans="9:11">
      <c r="I516" t="s">
        <v>2147</v>
      </c>
      <c r="J516" t="s">
        <v>1</v>
      </c>
      <c r="K516" t="s">
        <v>4260</v>
      </c>
    </row>
    <row r="517" spans="9:11">
      <c r="I517" t="s">
        <v>2150</v>
      </c>
      <c r="J517" t="s">
        <v>1</v>
      </c>
      <c r="K517" t="s">
        <v>4260</v>
      </c>
    </row>
    <row r="518" spans="9:11">
      <c r="I518" t="s">
        <v>2153</v>
      </c>
      <c r="J518" t="s">
        <v>1</v>
      </c>
      <c r="K518" t="s">
        <v>4260</v>
      </c>
    </row>
    <row r="519" spans="9:11">
      <c r="I519" t="s">
        <v>2156</v>
      </c>
      <c r="J519" t="s">
        <v>1</v>
      </c>
      <c r="K519" t="s">
        <v>4260</v>
      </c>
    </row>
    <row r="520" spans="9:11">
      <c r="I520" t="s">
        <v>2159</v>
      </c>
      <c r="J520" t="s">
        <v>1</v>
      </c>
      <c r="K520" t="s">
        <v>4260</v>
      </c>
    </row>
    <row r="521" spans="9:11">
      <c r="I521" t="s">
        <v>2163</v>
      </c>
      <c r="J521" t="s">
        <v>1</v>
      </c>
      <c r="K521" t="s">
        <v>4260</v>
      </c>
    </row>
    <row r="522" spans="9:11">
      <c r="I522" t="s">
        <v>2168</v>
      </c>
      <c r="J522" t="s">
        <v>1</v>
      </c>
      <c r="K522" t="s">
        <v>4260</v>
      </c>
    </row>
    <row r="523" spans="9:11">
      <c r="I523" t="s">
        <v>2173</v>
      </c>
      <c r="J523" t="s">
        <v>1</v>
      </c>
      <c r="K523" t="s">
        <v>4260</v>
      </c>
    </row>
    <row r="524" spans="9:11">
      <c r="I524" t="s">
        <v>2176</v>
      </c>
      <c r="J524" t="s">
        <v>1</v>
      </c>
      <c r="K524" t="s">
        <v>4260</v>
      </c>
    </row>
    <row r="525" spans="9:11">
      <c r="I525" t="s">
        <v>2179</v>
      </c>
      <c r="J525" t="s">
        <v>1</v>
      </c>
      <c r="K525" t="s">
        <v>4260</v>
      </c>
    </row>
    <row r="526" spans="9:11">
      <c r="I526" t="s">
        <v>2182</v>
      </c>
      <c r="J526" t="s">
        <v>1</v>
      </c>
      <c r="K526" t="s">
        <v>4260</v>
      </c>
    </row>
    <row r="527" spans="9:11">
      <c r="I527" t="s">
        <v>2185</v>
      </c>
      <c r="J527" t="s">
        <v>1</v>
      </c>
      <c r="K527" t="s">
        <v>4260</v>
      </c>
    </row>
    <row r="528" spans="9:11">
      <c r="I528" t="s">
        <v>2189</v>
      </c>
      <c r="J528" t="s">
        <v>1</v>
      </c>
      <c r="K528" t="s">
        <v>4260</v>
      </c>
    </row>
    <row r="529" spans="9:11">
      <c r="I529" t="s">
        <v>2192</v>
      </c>
      <c r="J529" t="s">
        <v>1</v>
      </c>
      <c r="K529" t="s">
        <v>4260</v>
      </c>
    </row>
    <row r="530" spans="9:11">
      <c r="I530" t="s">
        <v>2195</v>
      </c>
      <c r="J530" t="s">
        <v>1</v>
      </c>
      <c r="K530" t="s">
        <v>4260</v>
      </c>
    </row>
    <row r="531" spans="9:11">
      <c r="I531" t="s">
        <v>2198</v>
      </c>
      <c r="J531" t="s">
        <v>1</v>
      </c>
      <c r="K531" t="s">
        <v>4260</v>
      </c>
    </row>
    <row r="532" spans="9:11">
      <c r="I532" t="s">
        <v>2201</v>
      </c>
      <c r="J532" t="s">
        <v>1</v>
      </c>
      <c r="K532" t="s">
        <v>4260</v>
      </c>
    </row>
    <row r="533" spans="9:11">
      <c r="I533" t="s">
        <v>2204</v>
      </c>
      <c r="J533" t="s">
        <v>1</v>
      </c>
      <c r="K533" t="s">
        <v>4260</v>
      </c>
    </row>
    <row r="534" spans="9:11">
      <c r="I534" t="s">
        <v>2207</v>
      </c>
      <c r="J534" t="s">
        <v>1</v>
      </c>
      <c r="K534" t="s">
        <v>4260</v>
      </c>
    </row>
    <row r="535" spans="9:11">
      <c r="I535" t="s">
        <v>2210</v>
      </c>
      <c r="J535" t="s">
        <v>1</v>
      </c>
      <c r="K535" t="s">
        <v>4260</v>
      </c>
    </row>
    <row r="536" spans="9:11">
      <c r="I536" t="s">
        <v>2213</v>
      </c>
      <c r="J536" t="s">
        <v>1</v>
      </c>
      <c r="K536" t="s">
        <v>4260</v>
      </c>
    </row>
    <row r="537" spans="9:11">
      <c r="I537" t="s">
        <v>2218</v>
      </c>
      <c r="J537" t="s">
        <v>1</v>
      </c>
      <c r="K537" t="s">
        <v>4260</v>
      </c>
    </row>
    <row r="538" spans="9:11">
      <c r="I538" t="s">
        <v>2221</v>
      </c>
      <c r="J538" t="s">
        <v>1</v>
      </c>
      <c r="K538" t="s">
        <v>4260</v>
      </c>
    </row>
    <row r="539" spans="9:11">
      <c r="I539" t="s">
        <v>2224</v>
      </c>
      <c r="J539" t="s">
        <v>1</v>
      </c>
      <c r="K539" t="s">
        <v>4260</v>
      </c>
    </row>
    <row r="540" spans="9:11">
      <c r="I540" t="s">
        <v>2227</v>
      </c>
      <c r="J540" t="s">
        <v>1</v>
      </c>
      <c r="K540" t="s">
        <v>4260</v>
      </c>
    </row>
    <row r="541" spans="9:11">
      <c r="I541" t="s">
        <v>2232</v>
      </c>
      <c r="J541" t="s">
        <v>1</v>
      </c>
      <c r="K541" t="s">
        <v>4260</v>
      </c>
    </row>
    <row r="542" spans="9:11">
      <c r="I542" t="s">
        <v>2237</v>
      </c>
      <c r="J542" t="s">
        <v>1</v>
      </c>
      <c r="K542" t="s">
        <v>4260</v>
      </c>
    </row>
    <row r="543" spans="9:11">
      <c r="I543" t="s">
        <v>2240</v>
      </c>
      <c r="J543" t="s">
        <v>1</v>
      </c>
      <c r="K543" t="s">
        <v>4260</v>
      </c>
    </row>
    <row r="544" spans="9:11">
      <c r="I544" t="s">
        <v>2245</v>
      </c>
      <c r="J544" t="s">
        <v>1</v>
      </c>
      <c r="K544" t="s">
        <v>4260</v>
      </c>
    </row>
    <row r="545" spans="9:11">
      <c r="I545" t="s">
        <v>2250</v>
      </c>
      <c r="J545" t="s">
        <v>1</v>
      </c>
      <c r="K545" t="s">
        <v>4260</v>
      </c>
    </row>
    <row r="546" spans="9:11">
      <c r="I546" t="s">
        <v>2255</v>
      </c>
      <c r="J546" t="s">
        <v>1</v>
      </c>
      <c r="K546" t="s">
        <v>4260</v>
      </c>
    </row>
    <row r="547" spans="9:11">
      <c r="I547" t="s">
        <v>2261</v>
      </c>
      <c r="J547" t="s">
        <v>1</v>
      </c>
      <c r="K547" t="s">
        <v>4260</v>
      </c>
    </row>
    <row r="548" spans="9:11">
      <c r="I548" t="s">
        <v>2265</v>
      </c>
      <c r="J548" t="s">
        <v>1</v>
      </c>
      <c r="K548" t="s">
        <v>4260</v>
      </c>
    </row>
    <row r="549" spans="9:11">
      <c r="I549" t="s">
        <v>2268</v>
      </c>
      <c r="J549" t="s">
        <v>1</v>
      </c>
      <c r="K549" t="s">
        <v>4260</v>
      </c>
    </row>
    <row r="550" spans="9:11">
      <c r="I550" t="s">
        <v>2273</v>
      </c>
      <c r="J550" t="s">
        <v>1</v>
      </c>
      <c r="K550" t="s">
        <v>4260</v>
      </c>
    </row>
    <row r="551" spans="9:11">
      <c r="I551" t="s">
        <v>2276</v>
      </c>
      <c r="J551" t="s">
        <v>1</v>
      </c>
      <c r="K551" t="s">
        <v>4260</v>
      </c>
    </row>
    <row r="552" spans="9:11">
      <c r="I552" t="s">
        <v>2282</v>
      </c>
      <c r="J552" t="s">
        <v>1</v>
      </c>
      <c r="K552" t="s">
        <v>4260</v>
      </c>
    </row>
    <row r="553" spans="9:11">
      <c r="I553" t="s">
        <v>2286</v>
      </c>
      <c r="J553" t="s">
        <v>1</v>
      </c>
      <c r="K553" t="s">
        <v>4260</v>
      </c>
    </row>
    <row r="554" spans="9:11">
      <c r="I554" t="s">
        <v>2289</v>
      </c>
      <c r="J554" t="s">
        <v>1</v>
      </c>
      <c r="K554" t="s">
        <v>4260</v>
      </c>
    </row>
    <row r="555" spans="9:11">
      <c r="I555" t="s">
        <v>2294</v>
      </c>
      <c r="J555" t="s">
        <v>1</v>
      </c>
      <c r="K555" t="s">
        <v>4260</v>
      </c>
    </row>
    <row r="556" spans="9:11">
      <c r="I556" t="s">
        <v>2299</v>
      </c>
      <c r="J556" t="s">
        <v>1</v>
      </c>
      <c r="K556" t="s">
        <v>4260</v>
      </c>
    </row>
    <row r="557" spans="9:11">
      <c r="I557" t="s">
        <v>2302</v>
      </c>
      <c r="J557" t="s">
        <v>1</v>
      </c>
      <c r="K557" t="s">
        <v>4260</v>
      </c>
    </row>
    <row r="558" spans="9:11">
      <c r="I558" t="s">
        <v>2307</v>
      </c>
      <c r="J558" t="s">
        <v>1</v>
      </c>
      <c r="K558" t="s">
        <v>4260</v>
      </c>
    </row>
    <row r="559" spans="9:11">
      <c r="I559" t="s">
        <v>2312</v>
      </c>
      <c r="J559" t="s">
        <v>1</v>
      </c>
      <c r="K559" t="s">
        <v>4260</v>
      </c>
    </row>
    <row r="560" spans="9:11">
      <c r="I560" t="s">
        <v>2317</v>
      </c>
      <c r="J560" t="s">
        <v>1</v>
      </c>
      <c r="K560" t="s">
        <v>4260</v>
      </c>
    </row>
    <row r="561" spans="9:11">
      <c r="I561" t="s">
        <v>2322</v>
      </c>
      <c r="J561" t="s">
        <v>1</v>
      </c>
      <c r="K561" t="s">
        <v>4260</v>
      </c>
    </row>
    <row r="562" spans="9:11">
      <c r="I562" t="s">
        <v>2328</v>
      </c>
      <c r="J562" t="s">
        <v>1</v>
      </c>
      <c r="K562" t="s">
        <v>4260</v>
      </c>
    </row>
    <row r="563" spans="9:11">
      <c r="I563" t="s">
        <v>2332</v>
      </c>
      <c r="J563" t="s">
        <v>1</v>
      </c>
      <c r="K563" t="s">
        <v>4260</v>
      </c>
    </row>
    <row r="564" spans="9:11">
      <c r="I564" t="s">
        <v>2335</v>
      </c>
      <c r="J564" t="s">
        <v>1</v>
      </c>
      <c r="K564" t="s">
        <v>4260</v>
      </c>
    </row>
    <row r="565" spans="9:11">
      <c r="I565" t="s">
        <v>2338</v>
      </c>
      <c r="J565" t="s">
        <v>1</v>
      </c>
      <c r="K565" t="s">
        <v>4260</v>
      </c>
    </row>
    <row r="566" spans="9:11">
      <c r="I566" t="s">
        <v>2341</v>
      </c>
      <c r="J566" t="s">
        <v>1</v>
      </c>
      <c r="K566" t="s">
        <v>4260</v>
      </c>
    </row>
    <row r="567" spans="9:11">
      <c r="I567" t="s">
        <v>2344</v>
      </c>
      <c r="J567" t="s">
        <v>1</v>
      </c>
      <c r="K567" t="s">
        <v>4260</v>
      </c>
    </row>
    <row r="568" spans="9:11">
      <c r="I568" t="s">
        <v>2347</v>
      </c>
      <c r="J568" t="s">
        <v>1</v>
      </c>
      <c r="K568" t="s">
        <v>4260</v>
      </c>
    </row>
    <row r="569" spans="9:11">
      <c r="I569" t="s">
        <v>2352</v>
      </c>
      <c r="J569" t="s">
        <v>1</v>
      </c>
      <c r="K569" t="s">
        <v>4260</v>
      </c>
    </row>
    <row r="570" spans="9:11">
      <c r="I570" t="s">
        <v>2357</v>
      </c>
      <c r="J570" t="s">
        <v>1</v>
      </c>
      <c r="K570" t="s">
        <v>4260</v>
      </c>
    </row>
    <row r="571" spans="9:11">
      <c r="I571" t="s">
        <v>2360</v>
      </c>
      <c r="J571" t="s">
        <v>1</v>
      </c>
      <c r="K571" t="s">
        <v>4260</v>
      </c>
    </row>
    <row r="572" spans="9:11">
      <c r="I572" t="s">
        <v>2366</v>
      </c>
      <c r="J572" t="s">
        <v>1</v>
      </c>
      <c r="K572" t="s">
        <v>4260</v>
      </c>
    </row>
    <row r="573" spans="9:11">
      <c r="I573" t="s">
        <v>2370</v>
      </c>
      <c r="J573" t="s">
        <v>1</v>
      </c>
      <c r="K573" t="s">
        <v>4260</v>
      </c>
    </row>
    <row r="574" spans="9:11">
      <c r="I574" t="s">
        <v>2373</v>
      </c>
      <c r="J574" t="s">
        <v>1</v>
      </c>
      <c r="K574" t="s">
        <v>4260</v>
      </c>
    </row>
    <row r="575" spans="9:11">
      <c r="I575" t="s">
        <v>2376</v>
      </c>
      <c r="J575" t="s">
        <v>1</v>
      </c>
      <c r="K575" t="s">
        <v>4260</v>
      </c>
    </row>
    <row r="576" spans="9:11">
      <c r="I576" t="s">
        <v>2379</v>
      </c>
      <c r="J576" t="s">
        <v>1</v>
      </c>
      <c r="K576" t="s">
        <v>4260</v>
      </c>
    </row>
    <row r="577" spans="9:11">
      <c r="I577" t="s">
        <v>2382</v>
      </c>
      <c r="J577" t="s">
        <v>1</v>
      </c>
      <c r="K577" t="s">
        <v>4260</v>
      </c>
    </row>
    <row r="578" spans="9:11">
      <c r="I578" t="s">
        <v>2385</v>
      </c>
      <c r="J578" t="s">
        <v>1</v>
      </c>
      <c r="K578" t="s">
        <v>4260</v>
      </c>
    </row>
    <row r="579" spans="9:11">
      <c r="I579" t="s">
        <v>2390</v>
      </c>
      <c r="J579" t="s">
        <v>1</v>
      </c>
      <c r="K579" t="s">
        <v>4260</v>
      </c>
    </row>
    <row r="580" spans="9:11">
      <c r="I580" t="s">
        <v>2395</v>
      </c>
      <c r="J580" t="s">
        <v>1</v>
      </c>
      <c r="K580" t="s">
        <v>4260</v>
      </c>
    </row>
    <row r="581" spans="9:11">
      <c r="I581" t="s">
        <v>2398</v>
      </c>
      <c r="J581" t="s">
        <v>1</v>
      </c>
      <c r="K581" t="s">
        <v>4260</v>
      </c>
    </row>
    <row r="582" spans="9:11">
      <c r="I582" t="s">
        <v>2401</v>
      </c>
      <c r="J582" t="s">
        <v>1</v>
      </c>
      <c r="K582" t="s">
        <v>4260</v>
      </c>
    </row>
    <row r="583" spans="9:11">
      <c r="I583" t="s">
        <v>2404</v>
      </c>
      <c r="J583" t="s">
        <v>1</v>
      </c>
      <c r="K583" t="s">
        <v>4260</v>
      </c>
    </row>
    <row r="584" spans="9:11">
      <c r="I584" t="s">
        <v>2407</v>
      </c>
      <c r="J584" t="s">
        <v>1</v>
      </c>
      <c r="K584" t="s">
        <v>4260</v>
      </c>
    </row>
    <row r="585" spans="9:11">
      <c r="I585" t="s">
        <v>2410</v>
      </c>
      <c r="J585" t="s">
        <v>1</v>
      </c>
      <c r="K585" t="s">
        <v>4260</v>
      </c>
    </row>
    <row r="586" spans="9:11">
      <c r="I586" t="s">
        <v>2413</v>
      </c>
      <c r="J586" t="s">
        <v>1</v>
      </c>
      <c r="K586" t="s">
        <v>4260</v>
      </c>
    </row>
    <row r="587" spans="9:11">
      <c r="I587" t="s">
        <v>2416</v>
      </c>
      <c r="J587" t="s">
        <v>1</v>
      </c>
      <c r="K587" t="s">
        <v>4260</v>
      </c>
    </row>
    <row r="588" spans="9:11">
      <c r="I588" t="s">
        <v>2419</v>
      </c>
      <c r="J588" t="s">
        <v>1</v>
      </c>
      <c r="K588" t="s">
        <v>4260</v>
      </c>
    </row>
    <row r="589" spans="9:11">
      <c r="I589" t="s">
        <v>2424</v>
      </c>
      <c r="J589" t="s">
        <v>1</v>
      </c>
      <c r="K589" t="s">
        <v>4260</v>
      </c>
    </row>
    <row r="590" spans="9:11">
      <c r="I590" t="s">
        <v>2429</v>
      </c>
      <c r="J590" t="s">
        <v>1</v>
      </c>
      <c r="K590" t="s">
        <v>4260</v>
      </c>
    </row>
    <row r="591" spans="9:11">
      <c r="I591" t="s">
        <v>2432</v>
      </c>
      <c r="J591" t="s">
        <v>1</v>
      </c>
      <c r="K591" t="s">
        <v>4260</v>
      </c>
    </row>
    <row r="592" spans="9:11">
      <c r="I592" t="s">
        <v>2435</v>
      </c>
      <c r="J592" t="s">
        <v>1</v>
      </c>
      <c r="K592" t="s">
        <v>4260</v>
      </c>
    </row>
    <row r="593" spans="9:11">
      <c r="I593" t="s">
        <v>2438</v>
      </c>
      <c r="J593" t="s">
        <v>1</v>
      </c>
      <c r="K593" t="s">
        <v>4260</v>
      </c>
    </row>
    <row r="594" spans="9:11">
      <c r="I594" t="s">
        <v>2441</v>
      </c>
      <c r="J594" t="s">
        <v>1</v>
      </c>
      <c r="K594" t="s">
        <v>4260</v>
      </c>
    </row>
    <row r="595" spans="9:11">
      <c r="I595" t="s">
        <v>2444</v>
      </c>
      <c r="J595" t="s">
        <v>1</v>
      </c>
      <c r="K595" t="s">
        <v>4260</v>
      </c>
    </row>
    <row r="596" spans="9:11">
      <c r="I596" t="s">
        <v>2447</v>
      </c>
      <c r="J596" t="s">
        <v>1</v>
      </c>
      <c r="K596" t="s">
        <v>4260</v>
      </c>
    </row>
    <row r="597" spans="9:11">
      <c r="I597" t="s">
        <v>2450</v>
      </c>
      <c r="J597" t="s">
        <v>1</v>
      </c>
      <c r="K597" t="s">
        <v>4260</v>
      </c>
    </row>
    <row r="598" spans="9:11">
      <c r="I598" t="s">
        <v>2453</v>
      </c>
      <c r="J598" t="s">
        <v>1</v>
      </c>
      <c r="K598" t="s">
        <v>4260</v>
      </c>
    </row>
    <row r="599" spans="9:11">
      <c r="I599" t="s">
        <v>2458</v>
      </c>
      <c r="J599" t="s">
        <v>1</v>
      </c>
      <c r="K599" t="s">
        <v>4260</v>
      </c>
    </row>
    <row r="600" spans="9:11">
      <c r="I600" t="s">
        <v>2461</v>
      </c>
      <c r="J600" t="s">
        <v>1</v>
      </c>
      <c r="K600" t="s">
        <v>4260</v>
      </c>
    </row>
    <row r="601" spans="9:11">
      <c r="I601" t="s">
        <v>2464</v>
      </c>
      <c r="J601" t="s">
        <v>1</v>
      </c>
      <c r="K601" t="s">
        <v>4260</v>
      </c>
    </row>
    <row r="602" spans="9:11">
      <c r="I602" t="s">
        <v>2467</v>
      </c>
      <c r="J602" t="s">
        <v>1</v>
      </c>
      <c r="K602" t="s">
        <v>4260</v>
      </c>
    </row>
    <row r="603" spans="9:11">
      <c r="I603" t="s">
        <v>2470</v>
      </c>
      <c r="J603" t="s">
        <v>1</v>
      </c>
      <c r="K603" t="s">
        <v>4260</v>
      </c>
    </row>
    <row r="604" spans="9:11">
      <c r="I604" t="s">
        <v>2475</v>
      </c>
      <c r="J604" t="s">
        <v>1</v>
      </c>
      <c r="K604" t="s">
        <v>4260</v>
      </c>
    </row>
    <row r="605" spans="9:11">
      <c r="I605" t="s">
        <v>2478</v>
      </c>
      <c r="J605" t="s">
        <v>1</v>
      </c>
      <c r="K605" t="s">
        <v>4260</v>
      </c>
    </row>
    <row r="606" spans="9:11">
      <c r="I606" t="s">
        <v>2481</v>
      </c>
      <c r="J606" t="s">
        <v>1</v>
      </c>
      <c r="K606" t="s">
        <v>4260</v>
      </c>
    </row>
    <row r="607" spans="9:11">
      <c r="I607" t="s">
        <v>2484</v>
      </c>
      <c r="J607" t="s">
        <v>1</v>
      </c>
      <c r="K607" t="s">
        <v>4260</v>
      </c>
    </row>
    <row r="608" spans="9:11">
      <c r="I608" t="s">
        <v>2487</v>
      </c>
      <c r="J608" t="s">
        <v>1</v>
      </c>
      <c r="K608" t="s">
        <v>4260</v>
      </c>
    </row>
    <row r="609" spans="9:11">
      <c r="I609" t="s">
        <v>2492</v>
      </c>
      <c r="J609" t="s">
        <v>1</v>
      </c>
      <c r="K609" t="s">
        <v>4260</v>
      </c>
    </row>
    <row r="610" spans="9:11">
      <c r="I610" t="s">
        <v>2495</v>
      </c>
      <c r="J610" t="s">
        <v>1</v>
      </c>
      <c r="K610" t="s">
        <v>4260</v>
      </c>
    </row>
    <row r="611" spans="9:11">
      <c r="I611" t="s">
        <v>2498</v>
      </c>
      <c r="J611" t="s">
        <v>1</v>
      </c>
      <c r="K611" t="s">
        <v>4260</v>
      </c>
    </row>
    <row r="612" spans="9:11">
      <c r="I612" t="s">
        <v>2501</v>
      </c>
      <c r="J612" t="s">
        <v>1</v>
      </c>
      <c r="K612" t="s">
        <v>4260</v>
      </c>
    </row>
    <row r="613" spans="9:11">
      <c r="I613" t="s">
        <v>2507</v>
      </c>
      <c r="J613" t="s">
        <v>1</v>
      </c>
      <c r="K613" t="s">
        <v>4260</v>
      </c>
    </row>
    <row r="614" spans="9:11">
      <c r="I614" t="s">
        <v>2511</v>
      </c>
      <c r="J614" t="s">
        <v>1</v>
      </c>
      <c r="K614" t="s">
        <v>4260</v>
      </c>
    </row>
    <row r="615" spans="9:11">
      <c r="I615" t="s">
        <v>2516</v>
      </c>
      <c r="J615" t="s">
        <v>1</v>
      </c>
      <c r="K615" t="s">
        <v>4260</v>
      </c>
    </row>
    <row r="616" spans="9:11">
      <c r="I616" t="s">
        <v>2521</v>
      </c>
      <c r="J616" t="s">
        <v>1</v>
      </c>
      <c r="K616" t="s">
        <v>4260</v>
      </c>
    </row>
    <row r="617" spans="9:11">
      <c r="I617" t="s">
        <v>2524</v>
      </c>
      <c r="J617" t="s">
        <v>1</v>
      </c>
      <c r="K617" t="s">
        <v>4260</v>
      </c>
    </row>
    <row r="618" spans="9:11">
      <c r="I618" t="s">
        <v>2530</v>
      </c>
      <c r="J618" t="s">
        <v>1</v>
      </c>
      <c r="K618" t="s">
        <v>4260</v>
      </c>
    </row>
    <row r="619" spans="9:11">
      <c r="I619" t="s">
        <v>2535</v>
      </c>
      <c r="J619" t="s">
        <v>1</v>
      </c>
      <c r="K619" t="s">
        <v>4260</v>
      </c>
    </row>
    <row r="620" spans="9:11">
      <c r="I620" t="s">
        <v>2540</v>
      </c>
      <c r="J620" t="s">
        <v>1</v>
      </c>
      <c r="K620" t="s">
        <v>4260</v>
      </c>
    </row>
    <row r="621" spans="9:11">
      <c r="I621" t="s">
        <v>2545</v>
      </c>
      <c r="J621" t="s">
        <v>1</v>
      </c>
      <c r="K621" t="s">
        <v>4260</v>
      </c>
    </row>
    <row r="622" spans="9:11">
      <c r="I622" t="s">
        <v>2548</v>
      </c>
      <c r="J622" t="s">
        <v>1</v>
      </c>
      <c r="K622" t="s">
        <v>4260</v>
      </c>
    </row>
    <row r="623" spans="9:11">
      <c r="I623" t="s">
        <v>2551</v>
      </c>
      <c r="J623" t="s">
        <v>1</v>
      </c>
      <c r="K623" t="s">
        <v>4260</v>
      </c>
    </row>
    <row r="624" spans="9:11">
      <c r="I624" t="s">
        <v>2556</v>
      </c>
      <c r="J624" t="s">
        <v>1</v>
      </c>
      <c r="K624" t="s">
        <v>4260</v>
      </c>
    </row>
    <row r="625" spans="9:11">
      <c r="I625" t="s">
        <v>2561</v>
      </c>
      <c r="J625" t="s">
        <v>1</v>
      </c>
      <c r="K625" t="s">
        <v>4260</v>
      </c>
    </row>
    <row r="626" spans="9:11">
      <c r="I626" t="s">
        <v>2566</v>
      </c>
      <c r="J626" t="s">
        <v>1</v>
      </c>
      <c r="K626" t="s">
        <v>4260</v>
      </c>
    </row>
    <row r="627" spans="9:11">
      <c r="I627" t="s">
        <v>2571</v>
      </c>
      <c r="J627" t="s">
        <v>1</v>
      </c>
      <c r="K627" t="s">
        <v>4260</v>
      </c>
    </row>
    <row r="628" spans="9:11">
      <c r="I628" t="s">
        <v>2574</v>
      </c>
      <c r="J628" t="s">
        <v>1</v>
      </c>
      <c r="K628" t="s">
        <v>4260</v>
      </c>
    </row>
    <row r="629" spans="9:11">
      <c r="I629" t="s">
        <v>2579</v>
      </c>
      <c r="J629" t="s">
        <v>1</v>
      </c>
      <c r="K629" t="s">
        <v>4260</v>
      </c>
    </row>
    <row r="630" spans="9:11">
      <c r="I630" t="s">
        <v>2584</v>
      </c>
      <c r="J630" t="s">
        <v>1</v>
      </c>
      <c r="K630" t="s">
        <v>4260</v>
      </c>
    </row>
    <row r="631" spans="9:11">
      <c r="I631" t="s">
        <v>3242</v>
      </c>
      <c r="J631" t="s">
        <v>1</v>
      </c>
      <c r="K631" t="s">
        <v>4260</v>
      </c>
    </row>
    <row r="632" spans="9:11">
      <c r="I632" t="s">
        <v>3246</v>
      </c>
      <c r="J632" t="s">
        <v>1</v>
      </c>
      <c r="K632" t="s">
        <v>4260</v>
      </c>
    </row>
    <row r="633" spans="9:11">
      <c r="I633" t="s">
        <v>3249</v>
      </c>
      <c r="J633" t="s">
        <v>1</v>
      </c>
      <c r="K633" t="s">
        <v>4260</v>
      </c>
    </row>
    <row r="634" spans="9:11">
      <c r="I634" t="s">
        <v>3252</v>
      </c>
      <c r="J634" t="s">
        <v>1</v>
      </c>
      <c r="K634" t="s">
        <v>4260</v>
      </c>
    </row>
    <row r="635" spans="9:11">
      <c r="I635" t="s">
        <v>3255</v>
      </c>
      <c r="J635" t="s">
        <v>1</v>
      </c>
      <c r="K635" t="s">
        <v>4260</v>
      </c>
    </row>
    <row r="636" spans="9:11">
      <c r="I636" t="s">
        <v>3258</v>
      </c>
      <c r="J636" t="s">
        <v>1</v>
      </c>
      <c r="K636" t="s">
        <v>4260</v>
      </c>
    </row>
    <row r="637" spans="9:11">
      <c r="I637" t="s">
        <v>3261</v>
      </c>
      <c r="J637" t="s">
        <v>1</v>
      </c>
      <c r="K637" t="s">
        <v>4260</v>
      </c>
    </row>
    <row r="638" spans="9:11">
      <c r="I638" t="s">
        <v>3264</v>
      </c>
      <c r="J638" t="s">
        <v>1</v>
      </c>
      <c r="K638" t="s">
        <v>4260</v>
      </c>
    </row>
    <row r="639" spans="9:11">
      <c r="I639" t="s">
        <v>3267</v>
      </c>
      <c r="J639" t="s">
        <v>1</v>
      </c>
      <c r="K639" t="s">
        <v>4260</v>
      </c>
    </row>
    <row r="640" spans="9:11">
      <c r="I640" t="s">
        <v>3270</v>
      </c>
      <c r="J640" t="s">
        <v>1</v>
      </c>
      <c r="K640" t="s">
        <v>4260</v>
      </c>
    </row>
    <row r="641" spans="9:11">
      <c r="I641" t="s">
        <v>3273</v>
      </c>
      <c r="J641" t="s">
        <v>1</v>
      </c>
      <c r="K641" t="s">
        <v>4260</v>
      </c>
    </row>
    <row r="642" spans="9:11">
      <c r="I642" t="s">
        <v>3276</v>
      </c>
      <c r="J642" t="s">
        <v>1</v>
      </c>
      <c r="K642" t="s">
        <v>4260</v>
      </c>
    </row>
    <row r="643" spans="9:11">
      <c r="I643" t="s">
        <v>3279</v>
      </c>
      <c r="J643" t="s">
        <v>1</v>
      </c>
      <c r="K643" t="s">
        <v>4260</v>
      </c>
    </row>
    <row r="644" spans="9:11">
      <c r="I644" t="s">
        <v>3282</v>
      </c>
      <c r="J644" t="s">
        <v>1</v>
      </c>
      <c r="K644" t="s">
        <v>4260</v>
      </c>
    </row>
    <row r="645" spans="9:11">
      <c r="I645" t="s">
        <v>3285</v>
      </c>
      <c r="J645" t="s">
        <v>1</v>
      </c>
      <c r="K645" t="s">
        <v>4260</v>
      </c>
    </row>
    <row r="646" spans="9:11">
      <c r="I646" t="s">
        <v>3288</v>
      </c>
      <c r="J646" t="s">
        <v>1</v>
      </c>
      <c r="K646" t="s">
        <v>4260</v>
      </c>
    </row>
    <row r="647" spans="9:11">
      <c r="I647" t="s">
        <v>3291</v>
      </c>
      <c r="J647" t="s">
        <v>1</v>
      </c>
      <c r="K647" t="s">
        <v>4260</v>
      </c>
    </row>
    <row r="648" spans="9:11">
      <c r="I648" t="s">
        <v>3295</v>
      </c>
      <c r="J648" t="s">
        <v>1</v>
      </c>
      <c r="K648" t="s">
        <v>4260</v>
      </c>
    </row>
    <row r="649" spans="9:11">
      <c r="I649" t="s">
        <v>3301</v>
      </c>
      <c r="J649" t="s">
        <v>1</v>
      </c>
      <c r="K649" t="s">
        <v>4260</v>
      </c>
    </row>
    <row r="650" spans="9:11">
      <c r="I650" t="s">
        <v>3306</v>
      </c>
      <c r="J650" t="s">
        <v>1</v>
      </c>
      <c r="K650" t="s">
        <v>4260</v>
      </c>
    </row>
    <row r="651" spans="9:11">
      <c r="I651" t="s">
        <v>3309</v>
      </c>
      <c r="J651" t="s">
        <v>1</v>
      </c>
      <c r="K651" t="s">
        <v>4260</v>
      </c>
    </row>
    <row r="652" spans="9:11">
      <c r="I652" t="s">
        <v>3314</v>
      </c>
      <c r="J652" t="s">
        <v>1</v>
      </c>
      <c r="K652" t="s">
        <v>4260</v>
      </c>
    </row>
    <row r="653" spans="9:11">
      <c r="I653" t="s">
        <v>3319</v>
      </c>
      <c r="J653" t="s">
        <v>1</v>
      </c>
      <c r="K653" t="s">
        <v>4260</v>
      </c>
    </row>
    <row r="654" spans="9:11">
      <c r="I654" t="s">
        <v>3322</v>
      </c>
      <c r="J654" t="s">
        <v>1</v>
      </c>
      <c r="K654" t="s">
        <v>4260</v>
      </c>
    </row>
    <row r="655" spans="9:11">
      <c r="I655" t="s">
        <v>3327</v>
      </c>
      <c r="J655" t="s">
        <v>1</v>
      </c>
      <c r="K655" t="s">
        <v>4260</v>
      </c>
    </row>
    <row r="656" spans="9:11">
      <c r="I656" t="s">
        <v>3332</v>
      </c>
      <c r="J656" t="s">
        <v>1</v>
      </c>
      <c r="K656" t="s">
        <v>4260</v>
      </c>
    </row>
    <row r="657" spans="9:11">
      <c r="I657" t="s">
        <v>3336</v>
      </c>
      <c r="J657" t="s">
        <v>1</v>
      </c>
      <c r="K657" t="s">
        <v>4260</v>
      </c>
    </row>
    <row r="658" spans="9:11">
      <c r="I658" t="s">
        <v>3340</v>
      </c>
      <c r="J658" t="s">
        <v>1</v>
      </c>
      <c r="K658" t="s">
        <v>4260</v>
      </c>
    </row>
    <row r="659" spans="9:11">
      <c r="I659" t="s">
        <v>3343</v>
      </c>
      <c r="J659" t="s">
        <v>1</v>
      </c>
      <c r="K659" t="s">
        <v>4260</v>
      </c>
    </row>
    <row r="660" spans="9:11">
      <c r="I660" t="s">
        <v>3346</v>
      </c>
      <c r="J660" t="s">
        <v>1</v>
      </c>
      <c r="K660" t="s">
        <v>4260</v>
      </c>
    </row>
    <row r="661" spans="9:11">
      <c r="I661" t="s">
        <v>3349</v>
      </c>
      <c r="J661" t="s">
        <v>1</v>
      </c>
      <c r="K661" t="s">
        <v>4260</v>
      </c>
    </row>
    <row r="662" spans="9:11">
      <c r="I662" t="s">
        <v>3352</v>
      </c>
      <c r="J662" t="s">
        <v>1</v>
      </c>
      <c r="K662" t="s">
        <v>4260</v>
      </c>
    </row>
    <row r="663" spans="9:11">
      <c r="I663" t="s">
        <v>3355</v>
      </c>
      <c r="J663" t="s">
        <v>1</v>
      </c>
      <c r="K663" t="s">
        <v>4260</v>
      </c>
    </row>
    <row r="664" spans="9:11">
      <c r="I664" t="s">
        <v>3358</v>
      </c>
      <c r="J664" t="s">
        <v>1</v>
      </c>
      <c r="K664" t="s">
        <v>4260</v>
      </c>
    </row>
    <row r="665" spans="9:11">
      <c r="I665" t="s">
        <v>3361</v>
      </c>
      <c r="J665" t="s">
        <v>1</v>
      </c>
      <c r="K665" t="s">
        <v>4260</v>
      </c>
    </row>
    <row r="666" spans="9:11">
      <c r="I666" t="s">
        <v>3364</v>
      </c>
      <c r="J666" t="s">
        <v>1</v>
      </c>
      <c r="K666" t="s">
        <v>4260</v>
      </c>
    </row>
    <row r="667" spans="9:11">
      <c r="I667" t="s">
        <v>3369</v>
      </c>
      <c r="J667" t="s">
        <v>1</v>
      </c>
      <c r="K667" t="s">
        <v>4260</v>
      </c>
    </row>
    <row r="668" spans="9:11">
      <c r="I668" t="s">
        <v>3372</v>
      </c>
      <c r="J668" t="s">
        <v>1</v>
      </c>
      <c r="K668" t="s">
        <v>4260</v>
      </c>
    </row>
    <row r="669" spans="9:11">
      <c r="I669" t="s">
        <v>3375</v>
      </c>
      <c r="J669" t="s">
        <v>1</v>
      </c>
      <c r="K669" t="s">
        <v>4260</v>
      </c>
    </row>
    <row r="670" spans="9:11">
      <c r="I670" t="s">
        <v>3378</v>
      </c>
      <c r="J670" t="s">
        <v>1</v>
      </c>
      <c r="K670" t="s">
        <v>4260</v>
      </c>
    </row>
    <row r="671" spans="9:11">
      <c r="I671" t="s">
        <v>3381</v>
      </c>
      <c r="J671" t="s">
        <v>1</v>
      </c>
      <c r="K671" t="s">
        <v>4260</v>
      </c>
    </row>
    <row r="672" spans="9:11">
      <c r="I672" t="s">
        <v>3384</v>
      </c>
      <c r="J672" t="s">
        <v>1</v>
      </c>
      <c r="K672" t="s">
        <v>4260</v>
      </c>
    </row>
    <row r="673" spans="9:11">
      <c r="I673" t="s">
        <v>3387</v>
      </c>
      <c r="J673" t="s">
        <v>1</v>
      </c>
      <c r="K673" t="s">
        <v>4260</v>
      </c>
    </row>
    <row r="674" spans="9:11">
      <c r="I674" t="s">
        <v>3390</v>
      </c>
      <c r="J674" t="s">
        <v>1</v>
      </c>
      <c r="K674" t="s">
        <v>4260</v>
      </c>
    </row>
    <row r="675" spans="9:11">
      <c r="I675" t="s">
        <v>3393</v>
      </c>
      <c r="J675" t="s">
        <v>1</v>
      </c>
      <c r="K675" t="s">
        <v>4260</v>
      </c>
    </row>
    <row r="676" spans="9:11">
      <c r="I676" t="s">
        <v>3398</v>
      </c>
      <c r="J676" t="s">
        <v>1</v>
      </c>
      <c r="K676" t="s">
        <v>4260</v>
      </c>
    </row>
    <row r="677" spans="9:11">
      <c r="I677" t="s">
        <v>3403</v>
      </c>
      <c r="J677" t="s">
        <v>1</v>
      </c>
      <c r="K677" t="s">
        <v>4260</v>
      </c>
    </row>
    <row r="678" spans="9:11">
      <c r="I678" t="s">
        <v>3407</v>
      </c>
      <c r="J678" t="s">
        <v>1</v>
      </c>
      <c r="K678" t="s">
        <v>4260</v>
      </c>
    </row>
    <row r="679" spans="9:11">
      <c r="I679" t="s">
        <v>3411</v>
      </c>
      <c r="J679" t="s">
        <v>1</v>
      </c>
      <c r="K679" t="s">
        <v>4260</v>
      </c>
    </row>
    <row r="680" spans="9:11">
      <c r="I680" t="s">
        <v>3414</v>
      </c>
      <c r="J680" t="s">
        <v>1</v>
      </c>
      <c r="K680" t="s">
        <v>4260</v>
      </c>
    </row>
    <row r="681" spans="9:11">
      <c r="I681" t="s">
        <v>3417</v>
      </c>
      <c r="J681" t="s">
        <v>1</v>
      </c>
      <c r="K681" t="s">
        <v>4260</v>
      </c>
    </row>
    <row r="682" spans="9:11">
      <c r="I682" t="s">
        <v>3422</v>
      </c>
      <c r="J682" t="s">
        <v>1</v>
      </c>
      <c r="K682" t="s">
        <v>4260</v>
      </c>
    </row>
    <row r="683" spans="9:11">
      <c r="I683" t="s">
        <v>3425</v>
      </c>
      <c r="J683" t="s">
        <v>1</v>
      </c>
      <c r="K683" t="s">
        <v>4260</v>
      </c>
    </row>
    <row r="684" spans="9:11">
      <c r="I684" t="s">
        <v>3430</v>
      </c>
      <c r="J684" t="s">
        <v>1</v>
      </c>
      <c r="K684" t="s">
        <v>4260</v>
      </c>
    </row>
    <row r="685" spans="9:11">
      <c r="I685" t="s">
        <v>3433</v>
      </c>
      <c r="J685" t="s">
        <v>1</v>
      </c>
      <c r="K685" t="s">
        <v>4260</v>
      </c>
    </row>
    <row r="686" spans="9:11">
      <c r="I686" t="s">
        <v>3436</v>
      </c>
      <c r="J686" t="s">
        <v>1</v>
      </c>
      <c r="K686" t="s">
        <v>4260</v>
      </c>
    </row>
    <row r="687" spans="9:11">
      <c r="I687" t="s">
        <v>3441</v>
      </c>
      <c r="J687" t="s">
        <v>1</v>
      </c>
      <c r="K687" t="s">
        <v>4260</v>
      </c>
    </row>
    <row r="688" spans="9:11">
      <c r="I688" t="s">
        <v>3447</v>
      </c>
      <c r="J688" t="s">
        <v>1</v>
      </c>
      <c r="K688" t="s">
        <v>4260</v>
      </c>
    </row>
    <row r="689" spans="9:11">
      <c r="I689" t="s">
        <v>3454</v>
      </c>
      <c r="J689" t="s">
        <v>1</v>
      </c>
      <c r="K689" t="s">
        <v>4260</v>
      </c>
    </row>
    <row r="690" spans="9:11">
      <c r="I690" t="s">
        <v>3458</v>
      </c>
      <c r="J690" t="s">
        <v>1</v>
      </c>
      <c r="K690" t="s">
        <v>4260</v>
      </c>
    </row>
    <row r="691" spans="9:11">
      <c r="I691" t="s">
        <v>3461</v>
      </c>
      <c r="J691" t="s">
        <v>1</v>
      </c>
      <c r="K691" t="s">
        <v>4260</v>
      </c>
    </row>
    <row r="692" spans="9:11">
      <c r="I692" t="s">
        <v>3464</v>
      </c>
      <c r="J692" t="s">
        <v>1</v>
      </c>
      <c r="K692" t="s">
        <v>4260</v>
      </c>
    </row>
    <row r="693" spans="9:11">
      <c r="I693" t="s">
        <v>3467</v>
      </c>
      <c r="J693" t="s">
        <v>1</v>
      </c>
      <c r="K693" t="s">
        <v>4260</v>
      </c>
    </row>
    <row r="694" spans="9:11">
      <c r="I694" t="s">
        <v>3471</v>
      </c>
      <c r="J694" t="s">
        <v>1</v>
      </c>
      <c r="K694" t="s">
        <v>4260</v>
      </c>
    </row>
    <row r="695" spans="9:11">
      <c r="I695" t="s">
        <v>3477</v>
      </c>
      <c r="J695" t="s">
        <v>1</v>
      </c>
      <c r="K695" t="s">
        <v>4260</v>
      </c>
    </row>
    <row r="696" spans="9:11">
      <c r="I696" t="s">
        <v>3480</v>
      </c>
      <c r="J696" t="s">
        <v>1</v>
      </c>
      <c r="K696" t="s">
        <v>4260</v>
      </c>
    </row>
    <row r="697" spans="9:11">
      <c r="I697" t="s">
        <v>3484</v>
      </c>
      <c r="J697" t="s">
        <v>1</v>
      </c>
      <c r="K697" t="s">
        <v>4260</v>
      </c>
    </row>
    <row r="698" spans="9:11">
      <c r="I698" t="s">
        <v>3488</v>
      </c>
      <c r="J698" t="s">
        <v>1</v>
      </c>
      <c r="K698" t="s">
        <v>4260</v>
      </c>
    </row>
    <row r="699" spans="9:11">
      <c r="I699" t="s">
        <v>3491</v>
      </c>
      <c r="J699" t="s">
        <v>1</v>
      </c>
      <c r="K699" t="s">
        <v>4260</v>
      </c>
    </row>
    <row r="700" spans="9:11">
      <c r="I700" t="s">
        <v>3494</v>
      </c>
      <c r="J700" t="s">
        <v>1</v>
      </c>
      <c r="K700" t="s">
        <v>4260</v>
      </c>
    </row>
    <row r="701" spans="9:11">
      <c r="I701" t="s">
        <v>3498</v>
      </c>
      <c r="J701" t="s">
        <v>1</v>
      </c>
      <c r="K701" t="s">
        <v>4260</v>
      </c>
    </row>
    <row r="702" spans="9:11">
      <c r="I702" t="s">
        <v>3502</v>
      </c>
      <c r="J702" t="s">
        <v>1</v>
      </c>
      <c r="K702" t="s">
        <v>4260</v>
      </c>
    </row>
    <row r="703" spans="9:11">
      <c r="I703" t="s">
        <v>3505</v>
      </c>
      <c r="J703" t="s">
        <v>1</v>
      </c>
      <c r="K703" t="s">
        <v>4260</v>
      </c>
    </row>
    <row r="704" spans="9:11">
      <c r="I704" t="s">
        <v>3511</v>
      </c>
      <c r="J704" t="s">
        <v>1</v>
      </c>
      <c r="K704" t="s">
        <v>4260</v>
      </c>
    </row>
    <row r="705" spans="9:11">
      <c r="I705" t="s">
        <v>3516</v>
      </c>
      <c r="J705" t="s">
        <v>1</v>
      </c>
      <c r="K705" t="s">
        <v>4260</v>
      </c>
    </row>
    <row r="706" spans="9:11">
      <c r="I706" t="s">
        <v>3520</v>
      </c>
      <c r="J706" t="s">
        <v>1</v>
      </c>
      <c r="K706" t="s">
        <v>4260</v>
      </c>
    </row>
    <row r="707" spans="9:11">
      <c r="I707" t="s">
        <v>3525</v>
      </c>
      <c r="J707" t="s">
        <v>1</v>
      </c>
      <c r="K707" t="s">
        <v>4260</v>
      </c>
    </row>
    <row r="708" spans="9:11">
      <c r="I708" t="s">
        <v>3528</v>
      </c>
      <c r="J708" t="s">
        <v>1</v>
      </c>
      <c r="K708" t="s">
        <v>4260</v>
      </c>
    </row>
    <row r="709" spans="9:11">
      <c r="I709" t="s">
        <v>3534</v>
      </c>
      <c r="J709" t="s">
        <v>1</v>
      </c>
      <c r="K709" t="s">
        <v>4260</v>
      </c>
    </row>
    <row r="710" spans="9:11">
      <c r="I710" t="s">
        <v>3538</v>
      </c>
      <c r="J710" t="s">
        <v>1</v>
      </c>
      <c r="K710" t="s">
        <v>4260</v>
      </c>
    </row>
    <row r="711" spans="9:11">
      <c r="I711" t="s">
        <v>3541</v>
      </c>
      <c r="J711" t="s">
        <v>1</v>
      </c>
      <c r="K711" t="s">
        <v>4260</v>
      </c>
    </row>
    <row r="712" spans="9:11">
      <c r="I712" t="s">
        <v>3546</v>
      </c>
      <c r="J712" t="s">
        <v>1</v>
      </c>
      <c r="K712" t="s">
        <v>4260</v>
      </c>
    </row>
    <row r="713" spans="9:11">
      <c r="I713" t="s">
        <v>3552</v>
      </c>
      <c r="J713" t="s">
        <v>1</v>
      </c>
      <c r="K713" t="s">
        <v>4260</v>
      </c>
    </row>
    <row r="714" spans="9:11">
      <c r="I714" t="s">
        <v>3555</v>
      </c>
      <c r="J714" t="s">
        <v>1</v>
      </c>
      <c r="K714" t="s">
        <v>4260</v>
      </c>
    </row>
    <row r="715" spans="9:11">
      <c r="I715" t="s">
        <v>3558</v>
      </c>
      <c r="J715" t="s">
        <v>1</v>
      </c>
      <c r="K715" t="s">
        <v>4260</v>
      </c>
    </row>
    <row r="716" spans="9:11">
      <c r="I716" t="s">
        <v>3561</v>
      </c>
      <c r="J716" t="s">
        <v>1</v>
      </c>
      <c r="K716" t="s">
        <v>4260</v>
      </c>
    </row>
    <row r="717" spans="9:11">
      <c r="I717" t="s">
        <v>3564</v>
      </c>
      <c r="J717" t="s">
        <v>1</v>
      </c>
      <c r="K717" t="s">
        <v>4260</v>
      </c>
    </row>
    <row r="718" spans="9:11">
      <c r="I718" t="s">
        <v>3567</v>
      </c>
      <c r="J718" t="s">
        <v>1</v>
      </c>
      <c r="K718" t="s">
        <v>4260</v>
      </c>
    </row>
    <row r="719" spans="9:11">
      <c r="I719" t="s">
        <v>3570</v>
      </c>
      <c r="J719" t="s">
        <v>1</v>
      </c>
      <c r="K719" t="s">
        <v>4260</v>
      </c>
    </row>
    <row r="720" spans="9:11">
      <c r="I720" t="s">
        <v>3573</v>
      </c>
      <c r="J720" t="s">
        <v>1</v>
      </c>
      <c r="K720" t="s">
        <v>4260</v>
      </c>
    </row>
    <row r="721" spans="9:11">
      <c r="I721" t="s">
        <v>3578</v>
      </c>
      <c r="J721" t="s">
        <v>1</v>
      </c>
      <c r="K721" t="s">
        <v>4260</v>
      </c>
    </row>
    <row r="722" spans="9:11">
      <c r="I722" t="s">
        <v>3584</v>
      </c>
      <c r="J722" t="s">
        <v>1</v>
      </c>
      <c r="K722" t="s">
        <v>4260</v>
      </c>
    </row>
    <row r="723" spans="9:11">
      <c r="I723" t="s">
        <v>3588</v>
      </c>
      <c r="J723" t="s">
        <v>1</v>
      </c>
      <c r="K723" t="s">
        <v>4260</v>
      </c>
    </row>
    <row r="724" spans="9:11">
      <c r="I724" t="s">
        <v>3591</v>
      </c>
      <c r="J724" t="s">
        <v>1</v>
      </c>
      <c r="K724" t="s">
        <v>4260</v>
      </c>
    </row>
    <row r="725" spans="9:11">
      <c r="I725" t="s">
        <v>3594</v>
      </c>
      <c r="J725" t="s">
        <v>1</v>
      </c>
      <c r="K725" t="s">
        <v>4260</v>
      </c>
    </row>
    <row r="726" spans="9:11">
      <c r="I726" t="s">
        <v>3597</v>
      </c>
      <c r="J726" t="s">
        <v>1</v>
      </c>
      <c r="K726" t="s">
        <v>4260</v>
      </c>
    </row>
    <row r="727" spans="9:11">
      <c r="I727" t="s">
        <v>3602</v>
      </c>
      <c r="J727" t="s">
        <v>1</v>
      </c>
      <c r="K727" t="s">
        <v>4260</v>
      </c>
    </row>
    <row r="728" spans="9:11">
      <c r="I728" t="s">
        <v>3605</v>
      </c>
      <c r="J728" t="s">
        <v>1</v>
      </c>
      <c r="K728" t="s">
        <v>4260</v>
      </c>
    </row>
    <row r="729" spans="9:11">
      <c r="I729" t="s">
        <v>3608</v>
      </c>
      <c r="J729" t="s">
        <v>1</v>
      </c>
      <c r="K729" t="s">
        <v>4260</v>
      </c>
    </row>
    <row r="730" spans="9:11">
      <c r="I730" t="s">
        <v>3611</v>
      </c>
      <c r="J730" t="s">
        <v>1</v>
      </c>
      <c r="K730" t="s">
        <v>4260</v>
      </c>
    </row>
    <row r="731" spans="9:11">
      <c r="I731" t="s">
        <v>3614</v>
      </c>
      <c r="J731" t="s">
        <v>1</v>
      </c>
      <c r="K731" t="s">
        <v>4260</v>
      </c>
    </row>
    <row r="732" spans="9:11">
      <c r="I732" t="s">
        <v>3620</v>
      </c>
      <c r="J732" t="s">
        <v>1</v>
      </c>
      <c r="K732" t="s">
        <v>4260</v>
      </c>
    </row>
    <row r="733" spans="9:11">
      <c r="I733" t="s">
        <v>3626</v>
      </c>
      <c r="J733" t="s">
        <v>1</v>
      </c>
      <c r="K733" t="s">
        <v>4260</v>
      </c>
    </row>
    <row r="734" spans="9:11">
      <c r="I734" t="s">
        <v>3632</v>
      </c>
      <c r="J734" t="s">
        <v>1</v>
      </c>
      <c r="K734" t="s">
        <v>4260</v>
      </c>
    </row>
    <row r="735" spans="9:11">
      <c r="I735" t="s">
        <v>3637</v>
      </c>
      <c r="J735" t="s">
        <v>1</v>
      </c>
      <c r="K735" t="s">
        <v>4260</v>
      </c>
    </row>
    <row r="736" spans="9:11">
      <c r="I736" t="s">
        <v>3643</v>
      </c>
      <c r="J736" t="s">
        <v>1</v>
      </c>
      <c r="K736" t="s">
        <v>4260</v>
      </c>
    </row>
    <row r="737" spans="9:11">
      <c r="I737" t="s">
        <v>3646</v>
      </c>
      <c r="J737" t="s">
        <v>1</v>
      </c>
      <c r="K737" t="s">
        <v>4260</v>
      </c>
    </row>
    <row r="738" spans="9:11">
      <c r="I738" t="s">
        <v>3650</v>
      </c>
      <c r="J738" t="s">
        <v>1</v>
      </c>
      <c r="K738" t="s">
        <v>4260</v>
      </c>
    </row>
    <row r="739" spans="9:11">
      <c r="I739" t="s">
        <v>3654</v>
      </c>
      <c r="J739" t="s">
        <v>1</v>
      </c>
      <c r="K739" t="s">
        <v>4260</v>
      </c>
    </row>
    <row r="740" spans="9:11">
      <c r="I740" t="s">
        <v>3657</v>
      </c>
      <c r="J740" t="s">
        <v>1</v>
      </c>
      <c r="K740" t="s">
        <v>4260</v>
      </c>
    </row>
    <row r="741" spans="9:11">
      <c r="I741" t="s">
        <v>3661</v>
      </c>
      <c r="J741" t="s">
        <v>1</v>
      </c>
      <c r="K741" t="s">
        <v>4260</v>
      </c>
    </row>
    <row r="742" spans="9:11">
      <c r="I742" t="s">
        <v>3665</v>
      </c>
      <c r="J742" t="s">
        <v>1</v>
      </c>
      <c r="K742" t="s">
        <v>4260</v>
      </c>
    </row>
    <row r="743" spans="9:11">
      <c r="I743" t="s">
        <v>3668</v>
      </c>
      <c r="J743" t="s">
        <v>1</v>
      </c>
      <c r="K743" t="s">
        <v>4260</v>
      </c>
    </row>
    <row r="744" spans="9:11">
      <c r="I744" t="s">
        <v>3671</v>
      </c>
      <c r="J744" t="s">
        <v>1</v>
      </c>
      <c r="K744" t="s">
        <v>4260</v>
      </c>
    </row>
    <row r="745" spans="9:11">
      <c r="I745" t="s">
        <v>3675</v>
      </c>
      <c r="J745" t="s">
        <v>1</v>
      </c>
      <c r="K745" t="s">
        <v>4260</v>
      </c>
    </row>
    <row r="746" spans="9:11">
      <c r="I746" t="s">
        <v>3680</v>
      </c>
      <c r="J746" t="s">
        <v>1</v>
      </c>
      <c r="K746" t="s">
        <v>4260</v>
      </c>
    </row>
    <row r="747" spans="9:11">
      <c r="I747" t="s">
        <v>3684</v>
      </c>
      <c r="J747" t="s">
        <v>1</v>
      </c>
      <c r="K747" t="s">
        <v>4260</v>
      </c>
    </row>
    <row r="748" spans="9:11">
      <c r="I748" t="s">
        <v>3687</v>
      </c>
      <c r="J748" t="s">
        <v>1</v>
      </c>
      <c r="K748" t="s">
        <v>4260</v>
      </c>
    </row>
    <row r="749" spans="9:11">
      <c r="I749" t="s">
        <v>3690</v>
      </c>
      <c r="J749" t="s">
        <v>1</v>
      </c>
      <c r="K749" t="s">
        <v>4260</v>
      </c>
    </row>
    <row r="750" spans="9:11">
      <c r="I750" t="s">
        <v>3693</v>
      </c>
      <c r="J750" t="s">
        <v>1</v>
      </c>
      <c r="K750" t="s">
        <v>4260</v>
      </c>
    </row>
    <row r="751" spans="9:11">
      <c r="I751" t="s">
        <v>3696</v>
      </c>
      <c r="J751" t="s">
        <v>1</v>
      </c>
      <c r="K751" t="s">
        <v>4260</v>
      </c>
    </row>
    <row r="752" spans="9:11">
      <c r="I752" t="s">
        <v>3699</v>
      </c>
      <c r="J752" t="s">
        <v>1</v>
      </c>
      <c r="K752" t="s">
        <v>4260</v>
      </c>
    </row>
    <row r="753" spans="9:11">
      <c r="I753" t="s">
        <v>3702</v>
      </c>
      <c r="J753" t="s">
        <v>1</v>
      </c>
      <c r="K753" t="s">
        <v>4260</v>
      </c>
    </row>
    <row r="754" spans="9:11">
      <c r="I754" t="s">
        <v>3705</v>
      </c>
      <c r="J754" t="s">
        <v>1</v>
      </c>
      <c r="K754" t="s">
        <v>4260</v>
      </c>
    </row>
    <row r="755" spans="9:11">
      <c r="I755" t="s">
        <v>3708</v>
      </c>
      <c r="J755" t="s">
        <v>1</v>
      </c>
      <c r="K755" t="s">
        <v>4260</v>
      </c>
    </row>
    <row r="756" spans="9:11">
      <c r="I756" t="s">
        <v>3711</v>
      </c>
      <c r="J756" t="s">
        <v>1</v>
      </c>
      <c r="K756" t="s">
        <v>4260</v>
      </c>
    </row>
    <row r="757" spans="9:11">
      <c r="I757" t="s">
        <v>3714</v>
      </c>
      <c r="J757" t="s">
        <v>1</v>
      </c>
      <c r="K757" t="s">
        <v>4260</v>
      </c>
    </row>
    <row r="758" spans="9:11">
      <c r="I758" t="s">
        <v>3717</v>
      </c>
      <c r="J758" t="s">
        <v>1</v>
      </c>
      <c r="K758" t="s">
        <v>4260</v>
      </c>
    </row>
    <row r="759" spans="9:11">
      <c r="I759" t="s">
        <v>3721</v>
      </c>
      <c r="J759" t="s">
        <v>1</v>
      </c>
      <c r="K759" t="s">
        <v>4260</v>
      </c>
    </row>
    <row r="760" spans="9:11">
      <c r="I760" t="s">
        <v>3725</v>
      </c>
      <c r="J760" t="s">
        <v>1</v>
      </c>
      <c r="K760" t="s">
        <v>4260</v>
      </c>
    </row>
    <row r="761" spans="9:11">
      <c r="I761" t="s">
        <v>3728</v>
      </c>
      <c r="J761" t="s">
        <v>1</v>
      </c>
      <c r="K761" t="s">
        <v>4260</v>
      </c>
    </row>
    <row r="762" spans="9:11">
      <c r="I762" t="s">
        <v>3731</v>
      </c>
      <c r="J762" t="s">
        <v>1</v>
      </c>
      <c r="K762" t="s">
        <v>4260</v>
      </c>
    </row>
    <row r="763" spans="9:11">
      <c r="I763" t="s">
        <v>3734</v>
      </c>
      <c r="J763" t="s">
        <v>1</v>
      </c>
      <c r="K763" t="s">
        <v>4260</v>
      </c>
    </row>
    <row r="764" spans="9:11">
      <c r="I764" t="s">
        <v>3737</v>
      </c>
      <c r="J764" t="s">
        <v>1</v>
      </c>
      <c r="K764" t="s">
        <v>4260</v>
      </c>
    </row>
    <row r="765" spans="9:11">
      <c r="I765" t="s">
        <v>3741</v>
      </c>
      <c r="J765" t="s">
        <v>1</v>
      </c>
      <c r="K765" t="s">
        <v>4260</v>
      </c>
    </row>
    <row r="766" spans="9:11">
      <c r="I766" t="s">
        <v>3745</v>
      </c>
      <c r="J766" t="s">
        <v>1</v>
      </c>
      <c r="K766" t="s">
        <v>4260</v>
      </c>
    </row>
    <row r="767" spans="9:11">
      <c r="I767" t="s">
        <v>3750</v>
      </c>
      <c r="J767" t="s">
        <v>1</v>
      </c>
      <c r="K767" t="s">
        <v>4260</v>
      </c>
    </row>
    <row r="768" spans="9:11">
      <c r="I768" t="s">
        <v>3755</v>
      </c>
      <c r="J768" t="s">
        <v>1</v>
      </c>
      <c r="K768" t="s">
        <v>4260</v>
      </c>
    </row>
    <row r="769" spans="9:11">
      <c r="I769" t="s">
        <v>3761</v>
      </c>
      <c r="J769" t="s">
        <v>1</v>
      </c>
      <c r="K769" t="s">
        <v>4260</v>
      </c>
    </row>
    <row r="770" spans="9:11">
      <c r="I770" t="s">
        <v>3765</v>
      </c>
      <c r="J770" t="s">
        <v>1</v>
      </c>
      <c r="K770" t="s">
        <v>4260</v>
      </c>
    </row>
    <row r="771" spans="9:11">
      <c r="I771" t="s">
        <v>3768</v>
      </c>
      <c r="J771" t="s">
        <v>1</v>
      </c>
      <c r="K771" t="s">
        <v>4260</v>
      </c>
    </row>
    <row r="772" spans="9:11">
      <c r="I772" t="s">
        <v>3771</v>
      </c>
      <c r="J772" t="s">
        <v>1</v>
      </c>
      <c r="K772" t="s">
        <v>4260</v>
      </c>
    </row>
    <row r="773" spans="9:11">
      <c r="I773" t="s">
        <v>3775</v>
      </c>
      <c r="J773" t="s">
        <v>1</v>
      </c>
      <c r="K773" t="s">
        <v>4260</v>
      </c>
    </row>
    <row r="774" spans="9:11">
      <c r="I774" t="s">
        <v>3783</v>
      </c>
      <c r="J774" t="s">
        <v>1</v>
      </c>
      <c r="K774" t="s">
        <v>4260</v>
      </c>
    </row>
    <row r="775" spans="9:11">
      <c r="I775" t="s">
        <v>3790</v>
      </c>
      <c r="J775" t="s">
        <v>1</v>
      </c>
      <c r="K775" t="s">
        <v>4260</v>
      </c>
    </row>
    <row r="776" spans="9:11">
      <c r="I776" t="s">
        <v>3795</v>
      </c>
      <c r="J776" t="s">
        <v>1</v>
      </c>
      <c r="K776" t="s">
        <v>4260</v>
      </c>
    </row>
    <row r="777" spans="9:11">
      <c r="I777" t="s">
        <v>3800</v>
      </c>
      <c r="J777" t="s">
        <v>1</v>
      </c>
      <c r="K777" t="s">
        <v>4260</v>
      </c>
    </row>
    <row r="778" spans="9:11">
      <c r="I778" t="s">
        <v>3804</v>
      </c>
      <c r="J778" t="s">
        <v>1</v>
      </c>
      <c r="K778" t="s">
        <v>4260</v>
      </c>
    </row>
    <row r="779" spans="9:11">
      <c r="I779" t="s">
        <v>3807</v>
      </c>
      <c r="J779" t="s">
        <v>1</v>
      </c>
      <c r="K779" t="s">
        <v>4260</v>
      </c>
    </row>
    <row r="780" spans="9:11">
      <c r="I780" t="s">
        <v>3810</v>
      </c>
      <c r="J780" t="s">
        <v>1</v>
      </c>
      <c r="K780" t="s">
        <v>4260</v>
      </c>
    </row>
    <row r="781" spans="9:11">
      <c r="I781" t="s">
        <v>3814</v>
      </c>
      <c r="J781" t="s">
        <v>1</v>
      </c>
      <c r="K781" t="s">
        <v>4260</v>
      </c>
    </row>
    <row r="782" spans="9:11">
      <c r="I782" t="s">
        <v>3820</v>
      </c>
      <c r="J782" t="s">
        <v>1</v>
      </c>
      <c r="K782" t="s">
        <v>4260</v>
      </c>
    </row>
    <row r="783" spans="9:11">
      <c r="I783" t="s">
        <v>3823</v>
      </c>
      <c r="J783" t="s">
        <v>1</v>
      </c>
      <c r="K783" t="s">
        <v>4260</v>
      </c>
    </row>
    <row r="784" spans="9:11">
      <c r="I784" t="s">
        <v>3826</v>
      </c>
      <c r="J784" t="s">
        <v>1</v>
      </c>
      <c r="K784" t="s">
        <v>4260</v>
      </c>
    </row>
    <row r="785" spans="9:11">
      <c r="I785" t="s">
        <v>3829</v>
      </c>
      <c r="J785" t="s">
        <v>1</v>
      </c>
      <c r="K785" t="s">
        <v>4260</v>
      </c>
    </row>
    <row r="786" spans="9:11">
      <c r="I786" t="s">
        <v>3832</v>
      </c>
      <c r="J786" t="s">
        <v>1</v>
      </c>
      <c r="K786" t="s">
        <v>4260</v>
      </c>
    </row>
    <row r="787" spans="9:11">
      <c r="I787" t="s">
        <v>3838</v>
      </c>
      <c r="J787" t="s">
        <v>1</v>
      </c>
      <c r="K787" t="s">
        <v>4260</v>
      </c>
    </row>
    <row r="788" spans="9:11">
      <c r="I788" t="s">
        <v>3845</v>
      </c>
      <c r="J788" t="s">
        <v>1</v>
      </c>
      <c r="K788" t="s">
        <v>4260</v>
      </c>
    </row>
    <row r="789" spans="9:11">
      <c r="I789" t="s">
        <v>3850</v>
      </c>
      <c r="J789" t="s">
        <v>1</v>
      </c>
      <c r="K789" t="s">
        <v>4260</v>
      </c>
    </row>
    <row r="790" spans="9:11">
      <c r="I790" t="s">
        <v>3854</v>
      </c>
      <c r="J790" t="s">
        <v>1</v>
      </c>
      <c r="K790" t="s">
        <v>4260</v>
      </c>
    </row>
    <row r="791" spans="9:11">
      <c r="I791" t="s">
        <v>3857</v>
      </c>
      <c r="J791" t="s">
        <v>1</v>
      </c>
      <c r="K791" t="s">
        <v>4260</v>
      </c>
    </row>
    <row r="792" spans="9:11">
      <c r="I792" t="s">
        <v>3860</v>
      </c>
      <c r="J792" t="s">
        <v>1</v>
      </c>
      <c r="K792" t="s">
        <v>4260</v>
      </c>
    </row>
    <row r="793" spans="9:11">
      <c r="I793" t="s">
        <v>3863</v>
      </c>
      <c r="J793" t="s">
        <v>1</v>
      </c>
      <c r="K793" t="s">
        <v>4260</v>
      </c>
    </row>
    <row r="794" spans="9:11">
      <c r="I794" t="s">
        <v>3867</v>
      </c>
      <c r="J794" t="s">
        <v>1</v>
      </c>
      <c r="K794" t="s">
        <v>4260</v>
      </c>
    </row>
    <row r="795" spans="9:11">
      <c r="I795" t="s">
        <v>3872</v>
      </c>
      <c r="J795" t="s">
        <v>1</v>
      </c>
      <c r="K795" t="s">
        <v>4260</v>
      </c>
    </row>
    <row r="796" spans="9:11">
      <c r="I796" t="s">
        <v>3877</v>
      </c>
      <c r="J796" t="s">
        <v>1</v>
      </c>
      <c r="K796" t="s">
        <v>4260</v>
      </c>
    </row>
    <row r="797" spans="9:11">
      <c r="I797" t="s">
        <v>3884</v>
      </c>
      <c r="J797" t="s">
        <v>1</v>
      </c>
      <c r="K797" t="s">
        <v>4260</v>
      </c>
    </row>
    <row r="798" spans="9:11">
      <c r="I798" t="s">
        <v>3889</v>
      </c>
      <c r="J798" t="s">
        <v>1</v>
      </c>
      <c r="K798" t="s">
        <v>4260</v>
      </c>
    </row>
    <row r="799" spans="9:11">
      <c r="I799" t="s">
        <v>3896</v>
      </c>
      <c r="J799" t="s">
        <v>1</v>
      </c>
      <c r="K799" t="s">
        <v>4260</v>
      </c>
    </row>
    <row r="800" spans="9:11">
      <c r="I800" t="s">
        <v>3903</v>
      </c>
      <c r="J800" t="s">
        <v>1</v>
      </c>
      <c r="K800" t="s">
        <v>4260</v>
      </c>
    </row>
    <row r="801" spans="9:11">
      <c r="I801" t="s">
        <v>3908</v>
      </c>
      <c r="J801" t="s">
        <v>1</v>
      </c>
      <c r="K801" t="s">
        <v>4260</v>
      </c>
    </row>
    <row r="802" spans="9:11">
      <c r="I802" t="s">
        <v>3913</v>
      </c>
      <c r="J802" t="s">
        <v>1</v>
      </c>
      <c r="K802" t="s">
        <v>4260</v>
      </c>
    </row>
    <row r="803" spans="9:11">
      <c r="I803" t="s">
        <v>3918</v>
      </c>
      <c r="J803" t="s">
        <v>1</v>
      </c>
      <c r="K803" t="s">
        <v>4260</v>
      </c>
    </row>
    <row r="804" spans="9:11">
      <c r="I804" t="s">
        <v>3923</v>
      </c>
      <c r="J804" t="s">
        <v>1</v>
      </c>
      <c r="K804" t="s">
        <v>4260</v>
      </c>
    </row>
    <row r="805" spans="9:11">
      <c r="I805" t="s">
        <v>3927</v>
      </c>
      <c r="J805" t="s">
        <v>1</v>
      </c>
      <c r="K805" t="s">
        <v>4260</v>
      </c>
    </row>
    <row r="806" spans="9:11">
      <c r="I806" t="s">
        <v>3933</v>
      </c>
      <c r="J806" t="s">
        <v>1</v>
      </c>
      <c r="K806" t="s">
        <v>4260</v>
      </c>
    </row>
    <row r="807" spans="9:11">
      <c r="I807" t="s">
        <v>3938</v>
      </c>
      <c r="J807" t="s">
        <v>1</v>
      </c>
      <c r="K807" t="s">
        <v>4260</v>
      </c>
    </row>
    <row r="808" spans="9:11">
      <c r="I808" t="s">
        <v>3942</v>
      </c>
      <c r="J808" t="s">
        <v>1</v>
      </c>
      <c r="K808" t="s">
        <v>4260</v>
      </c>
    </row>
    <row r="809" spans="9:11">
      <c r="I809" t="s">
        <v>3945</v>
      </c>
      <c r="J809" t="s">
        <v>1</v>
      </c>
      <c r="K809" t="s">
        <v>4260</v>
      </c>
    </row>
    <row r="810" spans="9:11">
      <c r="I810" t="s">
        <v>3948</v>
      </c>
      <c r="J810" t="s">
        <v>1</v>
      </c>
      <c r="K810" t="s">
        <v>4260</v>
      </c>
    </row>
    <row r="811" spans="9:11">
      <c r="I811" t="s">
        <v>3951</v>
      </c>
      <c r="J811" t="s">
        <v>1</v>
      </c>
      <c r="K811" t="s">
        <v>4260</v>
      </c>
    </row>
    <row r="812" spans="9:11">
      <c r="I812" t="s">
        <v>3954</v>
      </c>
      <c r="J812" t="s">
        <v>1</v>
      </c>
      <c r="K812" t="s">
        <v>4260</v>
      </c>
    </row>
    <row r="813" spans="9:11">
      <c r="I813" t="s">
        <v>3957</v>
      </c>
      <c r="J813" t="s">
        <v>1</v>
      </c>
      <c r="K813" t="s">
        <v>4260</v>
      </c>
    </row>
    <row r="814" spans="9:11">
      <c r="I814" t="s">
        <v>3960</v>
      </c>
      <c r="J814" t="s">
        <v>1</v>
      </c>
      <c r="K814" t="s">
        <v>4260</v>
      </c>
    </row>
    <row r="815" spans="9:11">
      <c r="I815" t="s">
        <v>3963</v>
      </c>
      <c r="J815" t="s">
        <v>1</v>
      </c>
      <c r="K815" t="s">
        <v>4260</v>
      </c>
    </row>
    <row r="816" spans="9:11">
      <c r="I816" t="s">
        <v>3966</v>
      </c>
      <c r="J816" t="s">
        <v>1</v>
      </c>
      <c r="K816" t="s">
        <v>4260</v>
      </c>
    </row>
    <row r="817" spans="9:11">
      <c r="I817" t="s">
        <v>3969</v>
      </c>
      <c r="J817" t="s">
        <v>1</v>
      </c>
      <c r="K817" t="s">
        <v>4260</v>
      </c>
    </row>
    <row r="818" spans="9:11">
      <c r="I818" t="s">
        <v>3972</v>
      </c>
      <c r="J818" t="s">
        <v>1</v>
      </c>
      <c r="K818" t="s">
        <v>4260</v>
      </c>
    </row>
    <row r="819" spans="9:11">
      <c r="I819" t="s">
        <v>3975</v>
      </c>
      <c r="J819" t="s">
        <v>1</v>
      </c>
      <c r="K819" t="s">
        <v>4260</v>
      </c>
    </row>
    <row r="820" spans="9:11">
      <c r="I820" t="s">
        <v>3978</v>
      </c>
      <c r="J820" t="s">
        <v>1</v>
      </c>
      <c r="K820" t="s">
        <v>4260</v>
      </c>
    </row>
    <row r="821" spans="9:11">
      <c r="I821" t="s">
        <v>3981</v>
      </c>
      <c r="J821" t="s">
        <v>1</v>
      </c>
      <c r="K821" t="s">
        <v>4260</v>
      </c>
    </row>
    <row r="822" spans="9:11">
      <c r="I822" t="s">
        <v>3984</v>
      </c>
      <c r="J822" t="s">
        <v>1</v>
      </c>
      <c r="K822" t="s">
        <v>4260</v>
      </c>
    </row>
    <row r="823" spans="9:11">
      <c r="I823" t="s">
        <v>3987</v>
      </c>
      <c r="J823" t="s">
        <v>1</v>
      </c>
      <c r="K823" t="s">
        <v>4260</v>
      </c>
    </row>
    <row r="824" spans="9:11">
      <c r="I824" t="s">
        <v>3990</v>
      </c>
      <c r="J824" t="s">
        <v>1</v>
      </c>
      <c r="K824" t="s">
        <v>4260</v>
      </c>
    </row>
    <row r="825" spans="9:11">
      <c r="I825" t="s">
        <v>3993</v>
      </c>
      <c r="J825" t="s">
        <v>1</v>
      </c>
      <c r="K825" t="s">
        <v>4260</v>
      </c>
    </row>
    <row r="826" spans="9:11">
      <c r="I826" t="s">
        <v>3996</v>
      </c>
      <c r="J826" t="s">
        <v>1</v>
      </c>
      <c r="K826" t="s">
        <v>4260</v>
      </c>
    </row>
    <row r="827" spans="9:11">
      <c r="I827" t="s">
        <v>3999</v>
      </c>
      <c r="J827" t="s">
        <v>1</v>
      </c>
      <c r="K827" t="s">
        <v>4260</v>
      </c>
    </row>
    <row r="828" spans="9:11">
      <c r="I828" t="s">
        <v>4002</v>
      </c>
      <c r="J828" t="s">
        <v>1</v>
      </c>
      <c r="K828" t="s">
        <v>4260</v>
      </c>
    </row>
    <row r="829" spans="9:11">
      <c r="I829" t="s">
        <v>4005</v>
      </c>
      <c r="J829" t="s">
        <v>1</v>
      </c>
      <c r="K829" t="s">
        <v>4260</v>
      </c>
    </row>
    <row r="830" spans="9:11">
      <c r="I830" t="s">
        <v>4009</v>
      </c>
      <c r="J830" t="s">
        <v>1</v>
      </c>
      <c r="K830" t="s">
        <v>4260</v>
      </c>
    </row>
    <row r="831" spans="9:11">
      <c r="I831" t="s">
        <v>4012</v>
      </c>
      <c r="J831" t="s">
        <v>1</v>
      </c>
      <c r="K831" t="s">
        <v>4260</v>
      </c>
    </row>
    <row r="832" spans="9:11">
      <c r="I832" t="s">
        <v>4015</v>
      </c>
      <c r="J832" t="s">
        <v>1</v>
      </c>
      <c r="K832" t="s">
        <v>4260</v>
      </c>
    </row>
    <row r="833" spans="9:11">
      <c r="I833" t="s">
        <v>4018</v>
      </c>
      <c r="J833" t="s">
        <v>1</v>
      </c>
      <c r="K833" t="s">
        <v>4260</v>
      </c>
    </row>
    <row r="834" spans="9:11">
      <c r="I834" t="s">
        <v>4021</v>
      </c>
      <c r="J834" t="s">
        <v>1</v>
      </c>
      <c r="K834" t="s">
        <v>4260</v>
      </c>
    </row>
    <row r="835" spans="9:11">
      <c r="I835" t="s">
        <v>4024</v>
      </c>
      <c r="J835" t="s">
        <v>1</v>
      </c>
      <c r="K835" t="s">
        <v>4260</v>
      </c>
    </row>
    <row r="836" spans="9:11">
      <c r="I836" t="s">
        <v>4027</v>
      </c>
      <c r="J836" t="s">
        <v>1</v>
      </c>
      <c r="K836" t="s">
        <v>4260</v>
      </c>
    </row>
    <row r="837" spans="9:11">
      <c r="I837" t="s">
        <v>4030</v>
      </c>
      <c r="J837" t="s">
        <v>1</v>
      </c>
      <c r="K837" t="s">
        <v>4260</v>
      </c>
    </row>
    <row r="838" spans="9:11">
      <c r="I838" t="s">
        <v>4033</v>
      </c>
      <c r="J838" t="s">
        <v>1</v>
      </c>
      <c r="K838" t="s">
        <v>4260</v>
      </c>
    </row>
    <row r="839" spans="9:11">
      <c r="I839" t="s">
        <v>4036</v>
      </c>
      <c r="J839" t="s">
        <v>1</v>
      </c>
      <c r="K839" t="s">
        <v>4260</v>
      </c>
    </row>
    <row r="840" spans="9:11">
      <c r="I840" t="s">
        <v>4039</v>
      </c>
      <c r="J840" t="s">
        <v>1</v>
      </c>
      <c r="K840" t="s">
        <v>4260</v>
      </c>
    </row>
    <row r="841" spans="9:11">
      <c r="I841" t="s">
        <v>4042</v>
      </c>
      <c r="J841" t="s">
        <v>1</v>
      </c>
      <c r="K841" t="s">
        <v>4260</v>
      </c>
    </row>
    <row r="842" spans="9:11">
      <c r="I842" t="s">
        <v>4045</v>
      </c>
      <c r="J842" t="s">
        <v>1</v>
      </c>
      <c r="K842" t="s">
        <v>4260</v>
      </c>
    </row>
    <row r="843" spans="9:11">
      <c r="I843" t="s">
        <v>4048</v>
      </c>
      <c r="J843" t="s">
        <v>1</v>
      </c>
      <c r="K843" t="s">
        <v>4260</v>
      </c>
    </row>
    <row r="844" spans="9:11">
      <c r="I844" t="s">
        <v>4051</v>
      </c>
      <c r="J844" t="s">
        <v>1</v>
      </c>
      <c r="K844" t="s">
        <v>4260</v>
      </c>
    </row>
    <row r="845" spans="9:11">
      <c r="I845" t="s">
        <v>4054</v>
      </c>
      <c r="J845" t="s">
        <v>1</v>
      </c>
      <c r="K845" t="s">
        <v>4260</v>
      </c>
    </row>
    <row r="846" spans="9:11">
      <c r="I846" t="s">
        <v>4057</v>
      </c>
      <c r="J846" t="s">
        <v>1</v>
      </c>
      <c r="K846" t="s">
        <v>4260</v>
      </c>
    </row>
    <row r="847" spans="9:11">
      <c r="I847" t="s">
        <v>4060</v>
      </c>
      <c r="J847" t="s">
        <v>1</v>
      </c>
      <c r="K847" t="s">
        <v>4260</v>
      </c>
    </row>
    <row r="848" spans="9:11">
      <c r="I848" t="s">
        <v>4063</v>
      </c>
      <c r="J848" t="s">
        <v>1</v>
      </c>
      <c r="K848" t="s">
        <v>4260</v>
      </c>
    </row>
  </sheetData>
  <pageMargins left="0.7" right="0.7" top="0.75" bottom="0.75" header="0.3" footer="0.3"/>
  <customProperties>
    <customPr name="_pios_id" r:id="rId1"/>
  </customProperties>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EFF54-51F4-4B49-8700-CB98B05D2B99}">
  <sheetPr>
    <tabColor theme="8"/>
  </sheetPr>
  <dimension ref="A1:C14"/>
  <sheetViews>
    <sheetView workbookViewId="0">
      <selection activeCell="F24" sqref="F24"/>
    </sheetView>
  </sheetViews>
  <sheetFormatPr baseColWidth="10" defaultColWidth="8.83203125" defaultRowHeight="15"/>
  <cols>
    <col min="1" max="1" width="10.83203125" customWidth="1"/>
    <col min="2" max="2" width="21.1640625" bestFit="1" customWidth="1"/>
    <col min="3" max="4" width="12.83203125" bestFit="1" customWidth="1"/>
    <col min="5" max="5" width="32.5" bestFit="1" customWidth="1"/>
    <col min="6" max="6" width="22.5" bestFit="1" customWidth="1"/>
  </cols>
  <sheetData>
    <row r="1" spans="1:3">
      <c r="A1" t="s">
        <v>33</v>
      </c>
      <c r="B1" t="s">
        <v>4076</v>
      </c>
      <c r="C1" t="s">
        <v>4263</v>
      </c>
    </row>
    <row r="2" spans="1:3">
      <c r="A2" t="s">
        <v>4264</v>
      </c>
      <c r="B2" t="s">
        <v>104</v>
      </c>
      <c r="C2">
        <v>26217.576225</v>
      </c>
    </row>
    <row r="3" spans="1:3">
      <c r="A3" t="s">
        <v>4264</v>
      </c>
      <c r="B3" t="s">
        <v>951</v>
      </c>
      <c r="C3">
        <v>26217.576225</v>
      </c>
    </row>
    <row r="4" spans="1:3">
      <c r="A4" t="s">
        <v>4265</v>
      </c>
      <c r="B4" t="s">
        <v>118</v>
      </c>
      <c r="C4">
        <v>20847.383145</v>
      </c>
    </row>
    <row r="5" spans="1:3">
      <c r="A5" t="s">
        <v>4265</v>
      </c>
      <c r="B5" t="s">
        <v>104</v>
      </c>
      <c r="C5">
        <v>20847.383145</v>
      </c>
    </row>
    <row r="6" spans="1:3">
      <c r="A6" t="s">
        <v>4265</v>
      </c>
      <c r="B6" t="s">
        <v>951</v>
      </c>
      <c r="C6">
        <v>20847.383145</v>
      </c>
    </row>
    <row r="7" spans="1:3">
      <c r="A7" t="s">
        <v>4265</v>
      </c>
      <c r="B7" t="s">
        <v>157</v>
      </c>
      <c r="C7">
        <v>20847.383145</v>
      </c>
    </row>
    <row r="8" spans="1:3">
      <c r="A8" t="s">
        <v>4265</v>
      </c>
      <c r="B8" t="s">
        <v>218</v>
      </c>
      <c r="C8">
        <v>20847.383145</v>
      </c>
    </row>
    <row r="9" spans="1:3">
      <c r="A9" t="s">
        <v>4265</v>
      </c>
      <c r="B9" t="s">
        <v>3041</v>
      </c>
      <c r="C9">
        <v>20847.383145</v>
      </c>
    </row>
    <row r="10" spans="1:3">
      <c r="A10" t="s">
        <v>4265</v>
      </c>
      <c r="B10" t="s">
        <v>4077</v>
      </c>
      <c r="C10">
        <v>20847.383145</v>
      </c>
    </row>
    <row r="11" spans="1:3">
      <c r="A11" t="s">
        <v>4266</v>
      </c>
      <c r="B11" t="s">
        <v>118</v>
      </c>
      <c r="C11">
        <v>12364.70382</v>
      </c>
    </row>
    <row r="12" spans="1:3">
      <c r="A12" t="s">
        <v>4266</v>
      </c>
      <c r="B12" t="s">
        <v>517</v>
      </c>
      <c r="C12">
        <v>12364.70382</v>
      </c>
    </row>
    <row r="13" spans="1:3">
      <c r="A13" t="s">
        <v>4266</v>
      </c>
      <c r="B13" t="s">
        <v>237</v>
      </c>
      <c r="C13">
        <v>12364.70382</v>
      </c>
    </row>
    <row r="14" spans="1:3">
      <c r="A14" t="s">
        <v>4266</v>
      </c>
      <c r="B14" t="s">
        <v>1133</v>
      </c>
      <c r="C14">
        <v>12364.70382</v>
      </c>
    </row>
  </sheetData>
  <pageMargins left="0.7" right="0.7" top="0.75" bottom="0.75" header="0.3" footer="0.3"/>
  <customProperties>
    <customPr name="_pios_id" r:id="rId1"/>
  </customProperties>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69B29-74FA-4FC4-8E7B-C8EF551EC829}">
  <dimension ref="A1"/>
  <sheetViews>
    <sheetView workbookViewId="0">
      <selection sqref="A1:C359"/>
    </sheetView>
  </sheetViews>
  <sheetFormatPr baseColWidth="10" defaultColWidth="9.1640625" defaultRowHeight="15"/>
  <cols>
    <col min="1" max="1" width="8" bestFit="1" customWidth="1"/>
    <col min="2" max="2" width="11.83203125" bestFit="1" customWidth="1"/>
    <col min="3" max="3" width="15.5" bestFit="1" customWidth="1"/>
  </cols>
  <sheetData/>
  <pageMargins left="0.7" right="0.7" top="0.75" bottom="0.75" header="0.3" footer="0.3"/>
  <customProperties>
    <customPr name="_pios_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85854-D750-4805-B6EA-B7007C1DAAA8}">
  <dimension ref="A1:C361"/>
  <sheetViews>
    <sheetView workbookViewId="0">
      <selection activeCell="C4" sqref="C4"/>
    </sheetView>
  </sheetViews>
  <sheetFormatPr baseColWidth="10" defaultColWidth="9.1640625" defaultRowHeight="15"/>
  <cols>
    <col min="1" max="1" width="12.83203125" customWidth="1"/>
    <col min="2" max="2" width="16" customWidth="1"/>
    <col min="3" max="3" width="17.5" customWidth="1"/>
  </cols>
  <sheetData>
    <row r="1" spans="1:3" ht="19">
      <c r="A1" s="31" t="s">
        <v>4267</v>
      </c>
    </row>
    <row r="3" spans="1:3" ht="16">
      <c r="A3" s="36" t="s">
        <v>33</v>
      </c>
      <c r="B3" s="36" t="s">
        <v>61</v>
      </c>
      <c r="C3" s="36" t="s">
        <v>4268</v>
      </c>
    </row>
    <row r="4" spans="1:3" ht="16">
      <c r="A4" s="34" t="s">
        <v>4269</v>
      </c>
      <c r="B4" s="34" t="s">
        <v>266</v>
      </c>
      <c r="C4" s="34" t="s">
        <v>3550</v>
      </c>
    </row>
    <row r="5" spans="1:3" ht="16">
      <c r="A5" s="35" t="s">
        <v>4269</v>
      </c>
      <c r="B5" s="35" t="s">
        <v>990</v>
      </c>
      <c r="C5" s="35" t="s">
        <v>314</v>
      </c>
    </row>
    <row r="6" spans="1:3" ht="16">
      <c r="A6" s="34" t="s">
        <v>4269</v>
      </c>
      <c r="B6" s="34" t="s">
        <v>1133</v>
      </c>
      <c r="C6" s="34" t="s">
        <v>387</v>
      </c>
    </row>
    <row r="7" spans="1:3" ht="16">
      <c r="A7" s="35" t="s">
        <v>4269</v>
      </c>
      <c r="B7" s="35" t="s">
        <v>594</v>
      </c>
      <c r="C7" s="35" t="s">
        <v>517</v>
      </c>
    </row>
    <row r="8" spans="1:3" ht="16">
      <c r="A8" s="34" t="s">
        <v>4269</v>
      </c>
      <c r="B8" s="34" t="s">
        <v>517</v>
      </c>
      <c r="C8" s="34" t="s">
        <v>195</v>
      </c>
    </row>
    <row r="9" spans="1:3" ht="16">
      <c r="A9" s="35" t="s">
        <v>4269</v>
      </c>
      <c r="B9" s="35" t="s">
        <v>1316</v>
      </c>
      <c r="C9" s="35" t="s">
        <v>126</v>
      </c>
    </row>
    <row r="10" spans="1:3" ht="16">
      <c r="A10" s="34" t="s">
        <v>4270</v>
      </c>
      <c r="B10" s="34" t="s">
        <v>266</v>
      </c>
      <c r="C10" s="34" t="s">
        <v>3550</v>
      </c>
    </row>
    <row r="11" spans="1:3" ht="16">
      <c r="A11" s="35" t="s">
        <v>4270</v>
      </c>
      <c r="B11" s="35" t="s">
        <v>990</v>
      </c>
      <c r="C11" s="35" t="s">
        <v>314</v>
      </c>
    </row>
    <row r="12" spans="1:3" ht="16">
      <c r="A12" s="34" t="s">
        <v>4270</v>
      </c>
      <c r="B12" s="34" t="s">
        <v>1133</v>
      </c>
      <c r="C12" s="34" t="s">
        <v>387</v>
      </c>
    </row>
    <row r="13" spans="1:3" ht="16">
      <c r="A13" s="35" t="s">
        <v>4270</v>
      </c>
      <c r="B13" s="35" t="s">
        <v>594</v>
      </c>
      <c r="C13" s="35" t="s">
        <v>346</v>
      </c>
    </row>
    <row r="14" spans="1:3" ht="16">
      <c r="A14" s="34" t="s">
        <v>4270</v>
      </c>
      <c r="B14" s="34" t="s">
        <v>517</v>
      </c>
      <c r="C14" s="34" t="s">
        <v>249</v>
      </c>
    </row>
    <row r="15" spans="1:3" ht="16">
      <c r="A15" s="35" t="s">
        <v>4270</v>
      </c>
      <c r="B15" s="35" t="s">
        <v>1316</v>
      </c>
      <c r="C15" s="35" t="s">
        <v>517</v>
      </c>
    </row>
    <row r="16" spans="1:3" ht="16">
      <c r="A16" s="34" t="s">
        <v>4270</v>
      </c>
      <c r="B16" s="34" t="s">
        <v>3550</v>
      </c>
      <c r="C16" s="34" t="s">
        <v>195</v>
      </c>
    </row>
    <row r="17" spans="1:3" ht="16">
      <c r="A17" s="35" t="s">
        <v>4270</v>
      </c>
      <c r="B17" s="35" t="s">
        <v>4007</v>
      </c>
      <c r="C17" s="35" t="s">
        <v>126</v>
      </c>
    </row>
    <row r="18" spans="1:3" ht="16">
      <c r="A18" s="34" t="s">
        <v>4270</v>
      </c>
      <c r="B18" s="34" t="s">
        <v>525</v>
      </c>
      <c r="C18" s="34" t="s">
        <v>1156</v>
      </c>
    </row>
    <row r="19" spans="1:3" ht="16">
      <c r="A19" s="35" t="s">
        <v>4270</v>
      </c>
      <c r="B19" s="35" t="s">
        <v>4109</v>
      </c>
      <c r="C19" s="35" t="s">
        <v>1717</v>
      </c>
    </row>
    <row r="20" spans="1:3" ht="16">
      <c r="A20" s="34" t="s">
        <v>4270</v>
      </c>
      <c r="B20" s="34" t="s">
        <v>4129</v>
      </c>
      <c r="C20" s="34" t="s">
        <v>173</v>
      </c>
    </row>
    <row r="21" spans="1:3" ht="16">
      <c r="A21" s="35" t="s">
        <v>4271</v>
      </c>
      <c r="B21" s="35" t="s">
        <v>266</v>
      </c>
      <c r="C21" s="35" t="s">
        <v>104</v>
      </c>
    </row>
    <row r="22" spans="1:3" ht="16">
      <c r="A22" s="34" t="s">
        <v>4271</v>
      </c>
      <c r="B22" s="34" t="s">
        <v>990</v>
      </c>
      <c r="C22" s="34" t="s">
        <v>951</v>
      </c>
    </row>
    <row r="23" spans="1:3" ht="16">
      <c r="A23" s="35" t="s">
        <v>4271</v>
      </c>
      <c r="B23" s="35" t="s">
        <v>1133</v>
      </c>
      <c r="C23" s="35" t="s">
        <v>157</v>
      </c>
    </row>
    <row r="24" spans="1:3" ht="16">
      <c r="A24" s="34" t="s">
        <v>4271</v>
      </c>
      <c r="B24" s="34" t="s">
        <v>4105</v>
      </c>
      <c r="C24" s="34" t="s">
        <v>118</v>
      </c>
    </row>
    <row r="25" spans="1:3" ht="16">
      <c r="A25" s="35" t="s">
        <v>4271</v>
      </c>
      <c r="B25" s="35" t="s">
        <v>4165</v>
      </c>
      <c r="C25" s="35" t="s">
        <v>517</v>
      </c>
    </row>
    <row r="26" spans="1:3" ht="16">
      <c r="A26" s="34" t="s">
        <v>4272</v>
      </c>
      <c r="B26" s="34" t="s">
        <v>266</v>
      </c>
      <c r="C26" s="34" t="s">
        <v>104</v>
      </c>
    </row>
    <row r="27" spans="1:3" ht="16">
      <c r="A27" s="35" t="s">
        <v>4272</v>
      </c>
      <c r="B27" s="35" t="s">
        <v>990</v>
      </c>
      <c r="C27" s="35" t="s">
        <v>951</v>
      </c>
    </row>
    <row r="28" spans="1:3" ht="16">
      <c r="A28" s="34" t="s">
        <v>4272</v>
      </c>
      <c r="B28" s="34" t="s">
        <v>1133</v>
      </c>
      <c r="C28" s="34" t="s">
        <v>1316</v>
      </c>
    </row>
    <row r="29" spans="1:3" ht="16">
      <c r="A29" s="35" t="s">
        <v>4272</v>
      </c>
      <c r="B29" s="35" t="s">
        <v>594</v>
      </c>
      <c r="C29" s="35" t="s">
        <v>517</v>
      </c>
    </row>
    <row r="30" spans="1:3" ht="16">
      <c r="A30" s="34" t="s">
        <v>4272</v>
      </c>
      <c r="B30" s="34" t="s">
        <v>517</v>
      </c>
      <c r="C30" s="34" t="s">
        <v>195</v>
      </c>
    </row>
    <row r="31" spans="1:3" ht="16">
      <c r="A31" s="35" t="s">
        <v>4272</v>
      </c>
      <c r="B31" s="35" t="s">
        <v>4105</v>
      </c>
      <c r="C31" s="35" t="s">
        <v>126</v>
      </c>
    </row>
    <row r="32" spans="1:3" ht="16">
      <c r="A32" s="34" t="s">
        <v>4272</v>
      </c>
      <c r="B32" s="34" t="s">
        <v>4165</v>
      </c>
      <c r="C32" s="34" t="s">
        <v>1156</v>
      </c>
    </row>
    <row r="33" spans="1:3" ht="16">
      <c r="A33" s="35" t="s">
        <v>4272</v>
      </c>
      <c r="B33" s="35" t="s">
        <v>4162</v>
      </c>
      <c r="C33" s="35" t="s">
        <v>157</v>
      </c>
    </row>
    <row r="34" spans="1:3" ht="16">
      <c r="A34" s="34" t="s">
        <v>4273</v>
      </c>
      <c r="B34" s="34" t="s">
        <v>266</v>
      </c>
      <c r="C34" s="34" t="s">
        <v>104</v>
      </c>
    </row>
    <row r="35" spans="1:3" ht="16">
      <c r="A35" s="35" t="s">
        <v>4273</v>
      </c>
      <c r="B35" s="35" t="s">
        <v>990</v>
      </c>
      <c r="C35" s="35" t="s">
        <v>118</v>
      </c>
    </row>
    <row r="36" spans="1:3" ht="16">
      <c r="A36" s="34" t="s">
        <v>4273</v>
      </c>
      <c r="B36" s="34" t="s">
        <v>1133</v>
      </c>
      <c r="C36" s="34" t="s">
        <v>266</v>
      </c>
    </row>
    <row r="37" spans="1:3" ht="16">
      <c r="A37" s="35" t="s">
        <v>4273</v>
      </c>
      <c r="B37" s="35" t="s">
        <v>594</v>
      </c>
      <c r="C37" s="35" t="s">
        <v>990</v>
      </c>
    </row>
    <row r="38" spans="1:3" ht="16">
      <c r="A38" s="34" t="s">
        <v>4274</v>
      </c>
      <c r="B38" s="34" t="s">
        <v>266</v>
      </c>
      <c r="C38" s="34" t="s">
        <v>104</v>
      </c>
    </row>
    <row r="39" spans="1:3" ht="16">
      <c r="A39" s="35" t="s">
        <v>4274</v>
      </c>
      <c r="B39" s="35" t="s">
        <v>990</v>
      </c>
      <c r="C39" s="35" t="s">
        <v>951</v>
      </c>
    </row>
    <row r="40" spans="1:3" ht="16">
      <c r="A40" s="34" t="s">
        <v>4274</v>
      </c>
      <c r="B40" s="34" t="s">
        <v>1133</v>
      </c>
      <c r="C40" s="34" t="s">
        <v>517</v>
      </c>
    </row>
    <row r="41" spans="1:3" ht="16">
      <c r="A41" s="35" t="s">
        <v>4274</v>
      </c>
      <c r="B41" s="35" t="s">
        <v>594</v>
      </c>
      <c r="C41" s="35" t="s">
        <v>990</v>
      </c>
    </row>
    <row r="42" spans="1:3" ht="16">
      <c r="A42" s="34" t="s">
        <v>4274</v>
      </c>
      <c r="B42" s="34" t="s">
        <v>517</v>
      </c>
      <c r="C42" s="34" t="s">
        <v>118</v>
      </c>
    </row>
    <row r="43" spans="1:3" ht="16">
      <c r="A43" s="35" t="s">
        <v>4274</v>
      </c>
      <c r="B43" s="35" t="s">
        <v>1316</v>
      </c>
      <c r="C43" s="35" t="s">
        <v>157</v>
      </c>
    </row>
    <row r="44" spans="1:3" ht="16">
      <c r="A44" s="34" t="s">
        <v>4274</v>
      </c>
      <c r="B44" s="34" t="s">
        <v>3550</v>
      </c>
      <c r="C44" s="34" t="s">
        <v>218</v>
      </c>
    </row>
    <row r="45" spans="1:3" ht="16">
      <c r="A45" s="35" t="s">
        <v>4274</v>
      </c>
      <c r="B45" s="35" t="s">
        <v>4007</v>
      </c>
      <c r="C45" s="35" t="s">
        <v>237</v>
      </c>
    </row>
    <row r="46" spans="1:3" ht="16">
      <c r="A46" s="34" t="s">
        <v>4274</v>
      </c>
      <c r="B46" s="34" t="s">
        <v>525</v>
      </c>
      <c r="C46" s="34" t="s">
        <v>3041</v>
      </c>
    </row>
    <row r="47" spans="1:3" ht="16">
      <c r="A47" s="35" t="s">
        <v>4274</v>
      </c>
      <c r="B47" s="35" t="s">
        <v>4109</v>
      </c>
      <c r="C47" s="35" t="s">
        <v>4077</v>
      </c>
    </row>
    <row r="48" spans="1:3" ht="16">
      <c r="A48" s="34" t="s">
        <v>4274</v>
      </c>
      <c r="B48" s="34" t="s">
        <v>4129</v>
      </c>
      <c r="C48" s="34" t="s">
        <v>4078</v>
      </c>
    </row>
    <row r="49" spans="1:3" ht="16">
      <c r="A49" s="35" t="s">
        <v>4275</v>
      </c>
      <c r="B49" s="35" t="s">
        <v>266</v>
      </c>
      <c r="C49" s="35" t="s">
        <v>104</v>
      </c>
    </row>
    <row r="50" spans="1:3" ht="16">
      <c r="A50" s="34" t="s">
        <v>4275</v>
      </c>
      <c r="B50" s="34" t="s">
        <v>990</v>
      </c>
      <c r="C50" s="34" t="s">
        <v>118</v>
      </c>
    </row>
    <row r="51" spans="1:3" ht="16">
      <c r="A51" s="35" t="s">
        <v>4275</v>
      </c>
      <c r="B51" s="35" t="s">
        <v>1133</v>
      </c>
      <c r="C51" s="35" t="s">
        <v>990</v>
      </c>
    </row>
    <row r="52" spans="1:3" ht="16">
      <c r="A52" s="34" t="s">
        <v>4275</v>
      </c>
      <c r="B52" s="34" t="s">
        <v>594</v>
      </c>
      <c r="C52" s="34" t="s">
        <v>237</v>
      </c>
    </row>
    <row r="53" spans="1:3" ht="16">
      <c r="A53" s="35" t="s">
        <v>4275</v>
      </c>
      <c r="B53" s="35" t="s">
        <v>517</v>
      </c>
      <c r="C53" s="35" t="s">
        <v>951</v>
      </c>
    </row>
    <row r="54" spans="1:3" ht="16">
      <c r="A54" s="34" t="s">
        <v>4275</v>
      </c>
      <c r="B54" s="34" t="s">
        <v>4247</v>
      </c>
      <c r="C54" s="34" t="s">
        <v>1133</v>
      </c>
    </row>
    <row r="55" spans="1:3" ht="16">
      <c r="A55" s="35" t="s">
        <v>4275</v>
      </c>
      <c r="B55" s="35" t="s">
        <v>4162</v>
      </c>
      <c r="C55" s="35" t="s">
        <v>148</v>
      </c>
    </row>
    <row r="56" spans="1:3" ht="16">
      <c r="A56" s="34" t="s">
        <v>4275</v>
      </c>
      <c r="B56" s="34" t="s">
        <v>4276</v>
      </c>
      <c r="C56" s="34" t="s">
        <v>517</v>
      </c>
    </row>
    <row r="57" spans="1:3" ht="16">
      <c r="A57" s="35" t="s">
        <v>4275</v>
      </c>
      <c r="B57" s="35" t="s">
        <v>4277</v>
      </c>
      <c r="C57" s="35" t="s">
        <v>244</v>
      </c>
    </row>
    <row r="58" spans="1:3" ht="16">
      <c r="A58" s="34" t="s">
        <v>4278</v>
      </c>
      <c r="B58" s="34" t="s">
        <v>266</v>
      </c>
      <c r="C58" s="34" t="s">
        <v>1316</v>
      </c>
    </row>
    <row r="59" spans="1:3" ht="16">
      <c r="A59" s="35" t="s">
        <v>4278</v>
      </c>
      <c r="B59" s="35" t="s">
        <v>990</v>
      </c>
      <c r="C59" s="35" t="s">
        <v>294</v>
      </c>
    </row>
    <row r="60" spans="1:3" ht="16">
      <c r="A60" s="34" t="s">
        <v>4278</v>
      </c>
      <c r="B60" s="34" t="s">
        <v>1133</v>
      </c>
      <c r="C60" s="34" t="s">
        <v>104</v>
      </c>
    </row>
    <row r="61" spans="1:3" ht="16">
      <c r="A61" s="35" t="s">
        <v>4278</v>
      </c>
      <c r="B61" s="35" t="s">
        <v>594</v>
      </c>
      <c r="C61" s="35" t="s">
        <v>517</v>
      </c>
    </row>
    <row r="62" spans="1:3" ht="16">
      <c r="A62" s="34" t="s">
        <v>4278</v>
      </c>
      <c r="B62" s="34" t="s">
        <v>517</v>
      </c>
      <c r="C62" s="34" t="s">
        <v>195</v>
      </c>
    </row>
    <row r="63" spans="1:3" ht="16">
      <c r="A63" s="35" t="s">
        <v>4278</v>
      </c>
      <c r="B63" s="35" t="s">
        <v>1316</v>
      </c>
      <c r="C63" s="35" t="s">
        <v>1133</v>
      </c>
    </row>
    <row r="64" spans="1:3" ht="16">
      <c r="A64" s="34" t="s">
        <v>4278</v>
      </c>
      <c r="B64" s="34" t="s">
        <v>3550</v>
      </c>
      <c r="C64" s="34" t="s">
        <v>148</v>
      </c>
    </row>
    <row r="65" spans="1:3" ht="16">
      <c r="A65" s="35" t="s">
        <v>4278</v>
      </c>
      <c r="B65" s="35" t="s">
        <v>4007</v>
      </c>
      <c r="C65" s="35" t="s">
        <v>4007</v>
      </c>
    </row>
    <row r="66" spans="1:3" ht="16">
      <c r="A66" s="34" t="s">
        <v>4278</v>
      </c>
      <c r="B66" s="34" t="s">
        <v>525</v>
      </c>
      <c r="C66" s="34" t="s">
        <v>990</v>
      </c>
    </row>
    <row r="67" spans="1:3" ht="16">
      <c r="A67" s="35" t="s">
        <v>4279</v>
      </c>
      <c r="B67" s="35" t="s">
        <v>266</v>
      </c>
      <c r="C67" s="35" t="s">
        <v>104</v>
      </c>
    </row>
    <row r="68" spans="1:3" ht="16">
      <c r="A68" s="34" t="s">
        <v>4279</v>
      </c>
      <c r="B68" s="34" t="s">
        <v>990</v>
      </c>
      <c r="C68" s="34" t="s">
        <v>951</v>
      </c>
    </row>
    <row r="69" spans="1:3" ht="16">
      <c r="A69" s="35" t="s">
        <v>4279</v>
      </c>
      <c r="B69" s="35" t="s">
        <v>1133</v>
      </c>
      <c r="C69" s="35" t="s">
        <v>157</v>
      </c>
    </row>
    <row r="70" spans="1:3" ht="16">
      <c r="A70" s="34" t="s">
        <v>4279</v>
      </c>
      <c r="B70" s="34" t="s">
        <v>594</v>
      </c>
      <c r="C70" s="34" t="s">
        <v>218</v>
      </c>
    </row>
    <row r="71" spans="1:3" ht="16">
      <c r="A71" s="35" t="s">
        <v>4279</v>
      </c>
      <c r="B71" s="35" t="s">
        <v>517</v>
      </c>
      <c r="C71" s="35" t="s">
        <v>118</v>
      </c>
    </row>
    <row r="72" spans="1:3" ht="16">
      <c r="A72" s="34" t="s">
        <v>4279</v>
      </c>
      <c r="B72" s="34" t="s">
        <v>1316</v>
      </c>
      <c r="C72" s="34" t="s">
        <v>3550</v>
      </c>
    </row>
    <row r="73" spans="1:3" ht="16">
      <c r="A73" s="35" t="s">
        <v>4279</v>
      </c>
      <c r="B73" s="35" t="s">
        <v>3550</v>
      </c>
      <c r="C73" s="35" t="s">
        <v>1133</v>
      </c>
    </row>
    <row r="74" spans="1:3" ht="16">
      <c r="A74" s="34" t="s">
        <v>4279</v>
      </c>
      <c r="B74" s="34" t="s">
        <v>4184</v>
      </c>
      <c r="C74" s="34" t="s">
        <v>517</v>
      </c>
    </row>
    <row r="75" spans="1:3" ht="16">
      <c r="A75" s="35" t="s">
        <v>4279</v>
      </c>
      <c r="B75" s="35" t="s">
        <v>4197</v>
      </c>
      <c r="C75" s="35" t="s">
        <v>195</v>
      </c>
    </row>
    <row r="76" spans="1:3" ht="16">
      <c r="A76" s="34" t="s">
        <v>4264</v>
      </c>
      <c r="B76" s="34" t="s">
        <v>104</v>
      </c>
      <c r="C76" s="34" t="s">
        <v>1133</v>
      </c>
    </row>
    <row r="77" spans="1:3" ht="16">
      <c r="A77" s="35" t="s">
        <v>4264</v>
      </c>
      <c r="B77" s="35" t="s">
        <v>266</v>
      </c>
      <c r="C77" s="35" t="s">
        <v>104</v>
      </c>
    </row>
    <row r="78" spans="1:3" ht="16">
      <c r="A78" s="34" t="s">
        <v>4264</v>
      </c>
      <c r="B78" s="34" t="s">
        <v>990</v>
      </c>
      <c r="C78" s="34" t="s">
        <v>951</v>
      </c>
    </row>
    <row r="79" spans="1:3" ht="16">
      <c r="A79" s="35" t="s">
        <v>4264</v>
      </c>
      <c r="B79" s="35" t="s">
        <v>1133</v>
      </c>
      <c r="C79" s="35" t="s">
        <v>517</v>
      </c>
    </row>
    <row r="80" spans="1:3" ht="16">
      <c r="A80" s="34" t="s">
        <v>4264</v>
      </c>
      <c r="B80" s="34" t="s">
        <v>594</v>
      </c>
      <c r="C80" s="34" t="s">
        <v>195</v>
      </c>
    </row>
    <row r="81" spans="1:3" ht="16">
      <c r="A81" s="35" t="s">
        <v>4264</v>
      </c>
      <c r="B81" s="35" t="s">
        <v>517</v>
      </c>
      <c r="C81" s="35" t="s">
        <v>118</v>
      </c>
    </row>
    <row r="82" spans="1:3" ht="16">
      <c r="A82" s="34" t="s">
        <v>4264</v>
      </c>
      <c r="B82" s="34" t="s">
        <v>1316</v>
      </c>
      <c r="C82" s="34" t="s">
        <v>157</v>
      </c>
    </row>
    <row r="83" spans="1:3" ht="16">
      <c r="A83" s="35" t="s">
        <v>4264</v>
      </c>
      <c r="B83" s="35" t="s">
        <v>3550</v>
      </c>
      <c r="C83" s="35" t="s">
        <v>218</v>
      </c>
    </row>
    <row r="84" spans="1:3" ht="16">
      <c r="A84" s="34" t="s">
        <v>4264</v>
      </c>
      <c r="B84" s="34" t="s">
        <v>4007</v>
      </c>
      <c r="C84" s="34" t="s">
        <v>148</v>
      </c>
    </row>
    <row r="85" spans="1:3" ht="16">
      <c r="A85" s="35" t="s">
        <v>4264</v>
      </c>
      <c r="B85" s="35" t="s">
        <v>525</v>
      </c>
      <c r="C85" s="35" t="s">
        <v>207</v>
      </c>
    </row>
    <row r="86" spans="1:3" ht="16">
      <c r="A86" s="34" t="s">
        <v>4264</v>
      </c>
      <c r="B86" s="34" t="s">
        <v>4162</v>
      </c>
      <c r="C86" s="34" t="s">
        <v>990</v>
      </c>
    </row>
    <row r="87" spans="1:3" ht="16">
      <c r="A87" s="35" t="s">
        <v>4280</v>
      </c>
      <c r="B87" s="35" t="s">
        <v>266</v>
      </c>
      <c r="C87" s="35" t="s">
        <v>104</v>
      </c>
    </row>
    <row r="88" spans="1:3" ht="16">
      <c r="A88" s="34" t="s">
        <v>4280</v>
      </c>
      <c r="B88" s="34" t="s">
        <v>990</v>
      </c>
      <c r="C88" s="34" t="s">
        <v>951</v>
      </c>
    </row>
    <row r="89" spans="1:3" ht="16">
      <c r="A89" s="35" t="s">
        <v>4280</v>
      </c>
      <c r="B89" s="35" t="s">
        <v>1133</v>
      </c>
      <c r="C89" s="35" t="s">
        <v>157</v>
      </c>
    </row>
    <row r="90" spans="1:3" ht="16">
      <c r="A90" s="34" t="s">
        <v>4280</v>
      </c>
      <c r="B90" s="34" t="s">
        <v>594</v>
      </c>
      <c r="C90" s="34" t="s">
        <v>218</v>
      </c>
    </row>
    <row r="91" spans="1:3" ht="16">
      <c r="A91" s="35" t="s">
        <v>4280</v>
      </c>
      <c r="B91" s="35" t="s">
        <v>517</v>
      </c>
      <c r="C91" s="35" t="s">
        <v>3041</v>
      </c>
    </row>
    <row r="92" spans="1:3" ht="16">
      <c r="A92" s="34" t="s">
        <v>4280</v>
      </c>
      <c r="B92" s="34" t="s">
        <v>1316</v>
      </c>
      <c r="C92" s="34" t="s">
        <v>118</v>
      </c>
    </row>
    <row r="93" spans="1:3" ht="16">
      <c r="A93" s="35" t="s">
        <v>4280</v>
      </c>
      <c r="B93" s="35" t="s">
        <v>3550</v>
      </c>
      <c r="C93" s="35" t="s">
        <v>237</v>
      </c>
    </row>
    <row r="94" spans="1:3" ht="16">
      <c r="A94" s="34" t="s">
        <v>4280</v>
      </c>
      <c r="B94" s="34" t="s">
        <v>4007</v>
      </c>
      <c r="C94" s="34" t="s">
        <v>990</v>
      </c>
    </row>
    <row r="95" spans="1:3" ht="16">
      <c r="A95" s="35" t="s">
        <v>4280</v>
      </c>
      <c r="B95" s="35" t="s">
        <v>525</v>
      </c>
      <c r="C95" s="35" t="s">
        <v>224</v>
      </c>
    </row>
    <row r="96" spans="1:3" ht="16">
      <c r="A96" s="34" t="s">
        <v>4280</v>
      </c>
      <c r="B96" s="34" t="s">
        <v>4165</v>
      </c>
      <c r="C96" s="34" t="s">
        <v>517</v>
      </c>
    </row>
    <row r="97" spans="1:3" ht="16">
      <c r="A97" s="35" t="s">
        <v>4280</v>
      </c>
      <c r="B97" s="35" t="s">
        <v>4276</v>
      </c>
      <c r="C97" s="35" t="s">
        <v>195</v>
      </c>
    </row>
    <row r="98" spans="1:3" ht="16">
      <c r="A98" s="34" t="s">
        <v>4280</v>
      </c>
      <c r="B98" s="34" t="s">
        <v>4277</v>
      </c>
      <c r="C98" s="34" t="s">
        <v>126</v>
      </c>
    </row>
    <row r="99" spans="1:3" ht="16">
      <c r="A99" s="35" t="s">
        <v>4281</v>
      </c>
      <c r="B99" s="35" t="s">
        <v>266</v>
      </c>
      <c r="C99" s="35" t="s">
        <v>104</v>
      </c>
    </row>
    <row r="100" spans="1:3" ht="16">
      <c r="A100" s="34" t="s">
        <v>4281</v>
      </c>
      <c r="B100" s="34" t="s">
        <v>990</v>
      </c>
      <c r="C100" s="34" t="s">
        <v>951</v>
      </c>
    </row>
    <row r="101" spans="1:3" ht="16">
      <c r="A101" s="35" t="s">
        <v>4281</v>
      </c>
      <c r="B101" s="35" t="s">
        <v>1133</v>
      </c>
      <c r="C101" s="35" t="s">
        <v>157</v>
      </c>
    </row>
    <row r="102" spans="1:3" ht="16">
      <c r="A102" s="34" t="s">
        <v>4282</v>
      </c>
      <c r="B102" s="34" t="s">
        <v>266</v>
      </c>
      <c r="C102" s="34" t="s">
        <v>104</v>
      </c>
    </row>
    <row r="103" spans="1:3" ht="16">
      <c r="A103" s="35" t="s">
        <v>4282</v>
      </c>
      <c r="B103" s="35" t="s">
        <v>990</v>
      </c>
      <c r="C103" s="35" t="s">
        <v>951</v>
      </c>
    </row>
    <row r="104" spans="1:3" ht="16">
      <c r="A104" s="34" t="s">
        <v>4282</v>
      </c>
      <c r="B104" s="34" t="s">
        <v>1133</v>
      </c>
      <c r="C104" s="34" t="s">
        <v>157</v>
      </c>
    </row>
    <row r="105" spans="1:3" ht="16">
      <c r="A105" s="35" t="s">
        <v>4282</v>
      </c>
      <c r="B105" s="35" t="s">
        <v>594</v>
      </c>
      <c r="C105" s="35" t="s">
        <v>517</v>
      </c>
    </row>
    <row r="106" spans="1:3" ht="16">
      <c r="A106" s="34" t="s">
        <v>4282</v>
      </c>
      <c r="B106" s="34" t="s">
        <v>517</v>
      </c>
      <c r="C106" s="34" t="s">
        <v>195</v>
      </c>
    </row>
    <row r="107" spans="1:3" ht="16">
      <c r="A107" s="35" t="s">
        <v>4282</v>
      </c>
      <c r="B107" s="35" t="s">
        <v>1316</v>
      </c>
      <c r="C107" s="35" t="s">
        <v>118</v>
      </c>
    </row>
    <row r="108" spans="1:3" ht="16">
      <c r="A108" s="34" t="s">
        <v>4282</v>
      </c>
      <c r="B108" s="34" t="s">
        <v>3550</v>
      </c>
      <c r="C108" s="34" t="s">
        <v>237</v>
      </c>
    </row>
    <row r="109" spans="1:3" ht="16">
      <c r="A109" s="35" t="s">
        <v>4282</v>
      </c>
      <c r="B109" s="35" t="s">
        <v>4007</v>
      </c>
      <c r="C109" s="35" t="s">
        <v>266</v>
      </c>
    </row>
    <row r="110" spans="1:3" ht="16">
      <c r="A110" s="34" t="s">
        <v>4282</v>
      </c>
      <c r="B110" s="34" t="s">
        <v>525</v>
      </c>
      <c r="C110" s="34" t="s">
        <v>218</v>
      </c>
    </row>
    <row r="111" spans="1:3" ht="16">
      <c r="A111" s="35" t="s">
        <v>4282</v>
      </c>
      <c r="B111" s="35" t="s">
        <v>4109</v>
      </c>
      <c r="C111" s="35" t="s">
        <v>1316</v>
      </c>
    </row>
    <row r="112" spans="1:3" ht="16">
      <c r="A112" s="34" t="s">
        <v>4282</v>
      </c>
      <c r="B112" s="34" t="s">
        <v>4129</v>
      </c>
      <c r="C112" s="34" t="s">
        <v>990</v>
      </c>
    </row>
    <row r="113" spans="1:3" ht="16">
      <c r="A113" s="35" t="s">
        <v>4282</v>
      </c>
      <c r="B113" s="35" t="s">
        <v>4218</v>
      </c>
      <c r="C113" s="35" t="s">
        <v>244</v>
      </c>
    </row>
    <row r="114" spans="1:3" ht="16">
      <c r="A114" s="34" t="s">
        <v>4282</v>
      </c>
      <c r="B114" s="34" t="s">
        <v>4098</v>
      </c>
      <c r="C114" s="34" t="s">
        <v>294</v>
      </c>
    </row>
    <row r="115" spans="1:3" ht="16">
      <c r="A115" s="35" t="s">
        <v>4282</v>
      </c>
      <c r="B115" s="35" t="s">
        <v>4184</v>
      </c>
      <c r="C115" s="35" t="s">
        <v>126</v>
      </c>
    </row>
    <row r="116" spans="1:3" ht="16">
      <c r="A116" s="34" t="s">
        <v>4283</v>
      </c>
      <c r="B116" s="34" t="s">
        <v>266</v>
      </c>
      <c r="C116" s="34" t="s">
        <v>104</v>
      </c>
    </row>
    <row r="117" spans="1:3" ht="16">
      <c r="A117" s="35" t="s">
        <v>4283</v>
      </c>
      <c r="B117" s="35" t="s">
        <v>990</v>
      </c>
      <c r="C117" s="35" t="s">
        <v>951</v>
      </c>
    </row>
    <row r="118" spans="1:3" ht="16">
      <c r="A118" s="34" t="s">
        <v>4283</v>
      </c>
      <c r="B118" s="34" t="s">
        <v>1133</v>
      </c>
      <c r="C118" s="34" t="s">
        <v>157</v>
      </c>
    </row>
    <row r="119" spans="1:3" ht="16">
      <c r="A119" s="35" t="s">
        <v>4283</v>
      </c>
      <c r="B119" s="35" t="s">
        <v>594</v>
      </c>
      <c r="C119" s="35" t="s">
        <v>218</v>
      </c>
    </row>
    <row r="120" spans="1:3" ht="16">
      <c r="A120" s="34" t="s">
        <v>4283</v>
      </c>
      <c r="B120" s="34" t="s">
        <v>517</v>
      </c>
      <c r="C120" s="34" t="s">
        <v>3041</v>
      </c>
    </row>
    <row r="121" spans="1:3" ht="16">
      <c r="A121" s="35" t="s">
        <v>4283</v>
      </c>
      <c r="B121" s="35" t="s">
        <v>1316</v>
      </c>
      <c r="C121" s="35" t="s">
        <v>517</v>
      </c>
    </row>
    <row r="122" spans="1:3" ht="16">
      <c r="A122" s="34" t="s">
        <v>4283</v>
      </c>
      <c r="B122" s="34" t="s">
        <v>3550</v>
      </c>
      <c r="C122" s="34" t="s">
        <v>195</v>
      </c>
    </row>
    <row r="123" spans="1:3" ht="16">
      <c r="A123" s="35" t="s">
        <v>4283</v>
      </c>
      <c r="B123" s="35" t="s">
        <v>4007</v>
      </c>
      <c r="C123" s="35" t="s">
        <v>1133</v>
      </c>
    </row>
    <row r="124" spans="1:3" ht="16">
      <c r="A124" s="34" t="s">
        <v>4283</v>
      </c>
      <c r="B124" s="34" t="s">
        <v>525</v>
      </c>
      <c r="C124" s="34" t="s">
        <v>118</v>
      </c>
    </row>
    <row r="125" spans="1:3" ht="16">
      <c r="A125" s="35" t="s">
        <v>4283</v>
      </c>
      <c r="B125" s="35" t="s">
        <v>4109</v>
      </c>
      <c r="C125" s="35" t="s">
        <v>148</v>
      </c>
    </row>
    <row r="126" spans="1:3" ht="16">
      <c r="A126" s="34" t="s">
        <v>4283</v>
      </c>
      <c r="B126" s="34" t="s">
        <v>4129</v>
      </c>
      <c r="C126" s="34" t="s">
        <v>207</v>
      </c>
    </row>
    <row r="127" spans="1:3" ht="16">
      <c r="A127" s="35" t="s">
        <v>4284</v>
      </c>
      <c r="B127" s="35" t="s">
        <v>266</v>
      </c>
      <c r="C127" s="35" t="s">
        <v>118</v>
      </c>
    </row>
    <row r="128" spans="1:3" ht="16">
      <c r="A128" s="34" t="s">
        <v>4284</v>
      </c>
      <c r="B128" s="34" t="s">
        <v>990</v>
      </c>
      <c r="C128" s="34" t="s">
        <v>237</v>
      </c>
    </row>
    <row r="129" spans="1:3" ht="16">
      <c r="A129" s="35" t="s">
        <v>4284</v>
      </c>
      <c r="B129" s="35" t="s">
        <v>1133</v>
      </c>
      <c r="C129" s="35" t="s">
        <v>517</v>
      </c>
    </row>
    <row r="130" spans="1:3" ht="16">
      <c r="A130" s="34" t="s">
        <v>4284</v>
      </c>
      <c r="B130" s="34" t="s">
        <v>594</v>
      </c>
      <c r="C130" s="34" t="s">
        <v>224</v>
      </c>
    </row>
    <row r="131" spans="1:3" ht="16">
      <c r="A131" s="35" t="s">
        <v>4284</v>
      </c>
      <c r="B131" s="35" t="s">
        <v>517</v>
      </c>
      <c r="C131" s="35" t="s">
        <v>104</v>
      </c>
    </row>
    <row r="132" spans="1:3" ht="16">
      <c r="A132" s="34" t="s">
        <v>4284</v>
      </c>
      <c r="B132" s="34" t="s">
        <v>1316</v>
      </c>
      <c r="C132" s="34" t="s">
        <v>990</v>
      </c>
    </row>
    <row r="133" spans="1:3" ht="16">
      <c r="A133" s="35" t="s">
        <v>4285</v>
      </c>
      <c r="B133" s="35" t="s">
        <v>266</v>
      </c>
      <c r="C133" s="35" t="s">
        <v>517</v>
      </c>
    </row>
    <row r="134" spans="1:3" ht="16">
      <c r="A134" s="34" t="s">
        <v>4285</v>
      </c>
      <c r="B134" s="34" t="s">
        <v>990</v>
      </c>
      <c r="C134" s="34" t="s">
        <v>195</v>
      </c>
    </row>
    <row r="135" spans="1:3" ht="16">
      <c r="A135" s="35" t="s">
        <v>4285</v>
      </c>
      <c r="B135" s="35" t="s">
        <v>1133</v>
      </c>
      <c r="C135" s="35" t="s">
        <v>126</v>
      </c>
    </row>
    <row r="136" spans="1:3" ht="16">
      <c r="A136" s="34" t="s">
        <v>4285</v>
      </c>
      <c r="B136" s="34" t="s">
        <v>594</v>
      </c>
      <c r="C136" s="34" t="s">
        <v>1156</v>
      </c>
    </row>
    <row r="137" spans="1:3" ht="16">
      <c r="A137" s="35" t="s">
        <v>4285</v>
      </c>
      <c r="B137" s="35" t="s">
        <v>517</v>
      </c>
      <c r="C137" s="35" t="s">
        <v>1717</v>
      </c>
    </row>
    <row r="138" spans="1:3" ht="16">
      <c r="A138" s="34" t="s">
        <v>4285</v>
      </c>
      <c r="B138" s="34" t="s">
        <v>1316</v>
      </c>
      <c r="C138" s="34" t="s">
        <v>173</v>
      </c>
    </row>
    <row r="139" spans="1:3" ht="16">
      <c r="A139" s="35" t="s">
        <v>4285</v>
      </c>
      <c r="B139" s="35" t="s">
        <v>4007</v>
      </c>
      <c r="C139" s="35" t="s">
        <v>356</v>
      </c>
    </row>
    <row r="140" spans="1:3" ht="16">
      <c r="A140" s="34" t="s">
        <v>4285</v>
      </c>
      <c r="B140" s="34" t="s">
        <v>525</v>
      </c>
      <c r="C140" s="34" t="s">
        <v>104</v>
      </c>
    </row>
    <row r="141" spans="1:3" ht="16">
      <c r="A141" s="35" t="s">
        <v>4285</v>
      </c>
      <c r="B141" s="35" t="s">
        <v>4109</v>
      </c>
      <c r="C141" s="35" t="s">
        <v>951</v>
      </c>
    </row>
    <row r="142" spans="1:3" ht="16">
      <c r="A142" s="34" t="s">
        <v>4285</v>
      </c>
      <c r="B142" s="34" t="s">
        <v>4129</v>
      </c>
      <c r="C142" s="34" t="s">
        <v>157</v>
      </c>
    </row>
    <row r="143" spans="1:3" ht="16">
      <c r="A143" s="35" t="s">
        <v>4285</v>
      </c>
      <c r="B143" s="35" t="s">
        <v>4218</v>
      </c>
      <c r="C143" s="35" t="s">
        <v>218</v>
      </c>
    </row>
    <row r="144" spans="1:3" ht="16">
      <c r="A144" s="34" t="s">
        <v>4285</v>
      </c>
      <c r="B144" s="34" t="s">
        <v>4098</v>
      </c>
      <c r="C144" s="34" t="s">
        <v>4007</v>
      </c>
    </row>
    <row r="145" spans="1:3" ht="16">
      <c r="A145" s="35" t="s">
        <v>4285</v>
      </c>
      <c r="B145" s="35" t="s">
        <v>4103</v>
      </c>
      <c r="C145" s="35" t="s">
        <v>3041</v>
      </c>
    </row>
    <row r="146" spans="1:3" ht="16">
      <c r="A146" s="34" t="s">
        <v>4285</v>
      </c>
      <c r="B146" s="34" t="s">
        <v>4235</v>
      </c>
      <c r="C146" s="34" t="s">
        <v>1316</v>
      </c>
    </row>
    <row r="147" spans="1:3" ht="16">
      <c r="A147" s="35" t="s">
        <v>4285</v>
      </c>
      <c r="B147" s="35" t="s">
        <v>4232</v>
      </c>
      <c r="C147" s="35" t="s">
        <v>990</v>
      </c>
    </row>
    <row r="148" spans="1:3" ht="16">
      <c r="A148" s="34" t="s">
        <v>4285</v>
      </c>
      <c r="B148" s="34" t="s">
        <v>4191</v>
      </c>
      <c r="C148" s="34" t="s">
        <v>1133</v>
      </c>
    </row>
    <row r="149" spans="1:3" ht="16">
      <c r="A149" s="35" t="s">
        <v>4286</v>
      </c>
      <c r="B149" s="35" t="s">
        <v>266</v>
      </c>
      <c r="C149" s="35" t="s">
        <v>1133</v>
      </c>
    </row>
    <row r="150" spans="1:3" ht="16">
      <c r="A150" s="34" t="s">
        <v>4286</v>
      </c>
      <c r="B150" s="34" t="s">
        <v>990</v>
      </c>
      <c r="C150" s="34" t="s">
        <v>266</v>
      </c>
    </row>
    <row r="151" spans="1:3" ht="16">
      <c r="A151" s="35" t="s">
        <v>4286</v>
      </c>
      <c r="B151" s="35" t="s">
        <v>4162</v>
      </c>
      <c r="C151" s="35" t="s">
        <v>4079</v>
      </c>
    </row>
    <row r="152" spans="1:3" ht="16">
      <c r="A152" s="34" t="s">
        <v>4286</v>
      </c>
      <c r="B152" s="34" t="s">
        <v>4277</v>
      </c>
      <c r="C152" s="34" t="s">
        <v>990</v>
      </c>
    </row>
    <row r="153" spans="1:3" ht="16">
      <c r="A153" s="35" t="s">
        <v>4287</v>
      </c>
      <c r="B153" s="35" t="s">
        <v>266</v>
      </c>
      <c r="C153" s="35" t="s">
        <v>118</v>
      </c>
    </row>
    <row r="154" spans="1:3" ht="16">
      <c r="A154" s="34" t="s">
        <v>4287</v>
      </c>
      <c r="B154" s="34" t="s">
        <v>990</v>
      </c>
      <c r="C154" s="34" t="s">
        <v>104</v>
      </c>
    </row>
    <row r="155" spans="1:3" ht="16">
      <c r="A155" s="35" t="s">
        <v>4287</v>
      </c>
      <c r="B155" s="35" t="s">
        <v>1133</v>
      </c>
      <c r="C155" s="35" t="s">
        <v>266</v>
      </c>
    </row>
    <row r="156" spans="1:3" ht="16">
      <c r="A156" s="34" t="s">
        <v>4287</v>
      </c>
      <c r="B156" s="34" t="s">
        <v>594</v>
      </c>
      <c r="C156" s="34" t="s">
        <v>990</v>
      </c>
    </row>
    <row r="157" spans="1:3" ht="16">
      <c r="A157" s="35" t="s">
        <v>4287</v>
      </c>
      <c r="B157" s="35" t="s">
        <v>517</v>
      </c>
      <c r="C157" s="35" t="s">
        <v>244</v>
      </c>
    </row>
    <row r="158" spans="1:3" ht="16">
      <c r="A158" s="34" t="s">
        <v>4287</v>
      </c>
      <c r="B158" s="34" t="s">
        <v>1316</v>
      </c>
      <c r="C158" s="34" t="s">
        <v>165</v>
      </c>
    </row>
    <row r="159" spans="1:3" ht="16">
      <c r="A159" s="35" t="s">
        <v>4287</v>
      </c>
      <c r="B159" s="35" t="s">
        <v>3550</v>
      </c>
      <c r="C159" s="35" t="s">
        <v>517</v>
      </c>
    </row>
    <row r="160" spans="1:3" ht="16">
      <c r="A160" s="34" t="s">
        <v>4288</v>
      </c>
      <c r="B160" s="34" t="s">
        <v>266</v>
      </c>
      <c r="C160" s="34" t="s">
        <v>517</v>
      </c>
    </row>
    <row r="161" spans="1:3" ht="16">
      <c r="A161" s="35" t="s">
        <v>4288</v>
      </c>
      <c r="B161" s="35" t="s">
        <v>990</v>
      </c>
      <c r="C161" s="35" t="s">
        <v>195</v>
      </c>
    </row>
    <row r="162" spans="1:3" ht="16">
      <c r="A162" s="34" t="s">
        <v>4288</v>
      </c>
      <c r="B162" s="34" t="s">
        <v>1133</v>
      </c>
      <c r="C162" s="34" t="s">
        <v>126</v>
      </c>
    </row>
    <row r="163" spans="1:3" ht="16">
      <c r="A163" s="35" t="s">
        <v>4288</v>
      </c>
      <c r="B163" s="35" t="s">
        <v>594</v>
      </c>
      <c r="C163" s="35" t="s">
        <v>1156</v>
      </c>
    </row>
    <row r="164" spans="1:3" ht="16">
      <c r="A164" s="34" t="s">
        <v>4288</v>
      </c>
      <c r="B164" s="34" t="s">
        <v>517</v>
      </c>
      <c r="C164" s="34" t="s">
        <v>1717</v>
      </c>
    </row>
    <row r="165" spans="1:3" ht="16">
      <c r="A165" s="35" t="s">
        <v>4288</v>
      </c>
      <c r="B165" s="35" t="s">
        <v>1316</v>
      </c>
      <c r="C165" s="35" t="s">
        <v>104</v>
      </c>
    </row>
    <row r="166" spans="1:3" ht="16">
      <c r="A166" s="34" t="s">
        <v>4288</v>
      </c>
      <c r="B166" s="34" t="s">
        <v>3550</v>
      </c>
      <c r="C166" s="34" t="s">
        <v>3550</v>
      </c>
    </row>
    <row r="167" spans="1:3" ht="16">
      <c r="A167" s="35" t="s">
        <v>4288</v>
      </c>
      <c r="B167" s="35" t="s">
        <v>4007</v>
      </c>
      <c r="C167" s="35" t="s">
        <v>951</v>
      </c>
    </row>
    <row r="168" spans="1:3" ht="16">
      <c r="A168" s="34" t="s">
        <v>4288</v>
      </c>
      <c r="B168" s="34" t="s">
        <v>525</v>
      </c>
      <c r="C168" s="34" t="s">
        <v>118</v>
      </c>
    </row>
    <row r="169" spans="1:3" ht="16">
      <c r="A169" s="35" t="s">
        <v>4288</v>
      </c>
      <c r="B169" s="35" t="s">
        <v>4109</v>
      </c>
      <c r="C169" s="35" t="s">
        <v>990</v>
      </c>
    </row>
    <row r="170" spans="1:3" ht="16">
      <c r="A170" s="34" t="s">
        <v>4288</v>
      </c>
      <c r="B170" s="34" t="s">
        <v>4129</v>
      </c>
      <c r="C170" s="34" t="s">
        <v>157</v>
      </c>
    </row>
    <row r="171" spans="1:3" ht="16">
      <c r="A171" s="35" t="s">
        <v>4288</v>
      </c>
      <c r="B171" s="35" t="s">
        <v>4218</v>
      </c>
      <c r="C171" s="35" t="s">
        <v>237</v>
      </c>
    </row>
    <row r="172" spans="1:3" ht="16">
      <c r="A172" s="34" t="s">
        <v>4288</v>
      </c>
      <c r="B172" s="34" t="s">
        <v>4098</v>
      </c>
      <c r="C172" s="34" t="s">
        <v>224</v>
      </c>
    </row>
    <row r="173" spans="1:3" ht="16">
      <c r="A173" s="35" t="s">
        <v>4288</v>
      </c>
      <c r="B173" s="35" t="s">
        <v>4103</v>
      </c>
      <c r="C173" s="35" t="s">
        <v>314</v>
      </c>
    </row>
    <row r="174" spans="1:3" ht="16">
      <c r="A174" s="34" t="s">
        <v>4288</v>
      </c>
      <c r="B174" s="34" t="s">
        <v>4235</v>
      </c>
      <c r="C174" s="34" t="s">
        <v>244</v>
      </c>
    </row>
    <row r="175" spans="1:3" ht="16">
      <c r="A175" s="35" t="s">
        <v>4289</v>
      </c>
      <c r="B175" s="35" t="s">
        <v>266</v>
      </c>
      <c r="C175" s="35" t="s">
        <v>104</v>
      </c>
    </row>
    <row r="176" spans="1:3" ht="16">
      <c r="A176" s="34" t="s">
        <v>4289</v>
      </c>
      <c r="B176" s="34" t="s">
        <v>990</v>
      </c>
      <c r="C176" s="34" t="s">
        <v>951</v>
      </c>
    </row>
    <row r="177" spans="1:3" ht="16">
      <c r="A177" s="35" t="s">
        <v>4289</v>
      </c>
      <c r="B177" s="35" t="s">
        <v>1133</v>
      </c>
      <c r="C177" s="35" t="s">
        <v>157</v>
      </c>
    </row>
    <row r="178" spans="1:3" ht="16">
      <c r="A178" s="34" t="s">
        <v>4289</v>
      </c>
      <c r="B178" s="34" t="s">
        <v>594</v>
      </c>
      <c r="C178" s="34" t="s">
        <v>1133</v>
      </c>
    </row>
    <row r="179" spans="1:3" ht="16">
      <c r="A179" s="35" t="s">
        <v>4289</v>
      </c>
      <c r="B179" s="35" t="s">
        <v>517</v>
      </c>
      <c r="C179" s="35" t="s">
        <v>517</v>
      </c>
    </row>
    <row r="180" spans="1:3" ht="16">
      <c r="A180" s="34" t="s">
        <v>4289</v>
      </c>
      <c r="B180" s="34" t="s">
        <v>1316</v>
      </c>
      <c r="C180" s="34" t="s">
        <v>148</v>
      </c>
    </row>
    <row r="181" spans="1:3" ht="16">
      <c r="A181" s="35" t="s">
        <v>4289</v>
      </c>
      <c r="B181" s="35" t="s">
        <v>3550</v>
      </c>
      <c r="C181" s="35" t="s">
        <v>207</v>
      </c>
    </row>
    <row r="182" spans="1:3" ht="16">
      <c r="A182" s="34" t="s">
        <v>4290</v>
      </c>
      <c r="B182" s="34" t="s">
        <v>266</v>
      </c>
      <c r="C182" s="34" t="s">
        <v>104</v>
      </c>
    </row>
    <row r="183" spans="1:3" ht="16">
      <c r="A183" s="35" t="s">
        <v>4290</v>
      </c>
      <c r="B183" s="35" t="s">
        <v>990</v>
      </c>
      <c r="C183" s="35" t="s">
        <v>951</v>
      </c>
    </row>
    <row r="184" spans="1:3" ht="16">
      <c r="A184" s="34" t="s">
        <v>4290</v>
      </c>
      <c r="B184" s="34" t="s">
        <v>1133</v>
      </c>
      <c r="C184" s="34" t="s">
        <v>118</v>
      </c>
    </row>
    <row r="185" spans="1:3" ht="16">
      <c r="A185" s="35" t="s">
        <v>4290</v>
      </c>
      <c r="B185" s="35" t="s">
        <v>594</v>
      </c>
      <c r="C185" s="35" t="s">
        <v>157</v>
      </c>
    </row>
    <row r="186" spans="1:3" ht="16">
      <c r="A186" s="34" t="s">
        <v>4290</v>
      </c>
      <c r="B186" s="34" t="s">
        <v>517</v>
      </c>
      <c r="C186" s="34" t="s">
        <v>218</v>
      </c>
    </row>
    <row r="187" spans="1:3" ht="16">
      <c r="A187" s="35" t="s">
        <v>4290</v>
      </c>
      <c r="B187" s="35" t="s">
        <v>1316</v>
      </c>
      <c r="C187" s="35" t="s">
        <v>517</v>
      </c>
    </row>
    <row r="188" spans="1:3" ht="16">
      <c r="A188" s="34" t="s">
        <v>4290</v>
      </c>
      <c r="B188" s="34" t="s">
        <v>4007</v>
      </c>
      <c r="C188" s="34" t="s">
        <v>1133</v>
      </c>
    </row>
    <row r="189" spans="1:3" ht="16">
      <c r="A189" s="35" t="s">
        <v>4290</v>
      </c>
      <c r="B189" s="35" t="s">
        <v>525</v>
      </c>
      <c r="C189" s="35" t="s">
        <v>990</v>
      </c>
    </row>
    <row r="190" spans="1:3" ht="16">
      <c r="A190" s="34" t="s">
        <v>4290</v>
      </c>
      <c r="B190" s="34" t="s">
        <v>4109</v>
      </c>
      <c r="C190" s="34" t="s">
        <v>148</v>
      </c>
    </row>
    <row r="191" spans="1:3" ht="16">
      <c r="A191" s="35" t="s">
        <v>4290</v>
      </c>
      <c r="B191" s="35" t="s">
        <v>4129</v>
      </c>
      <c r="C191" s="35" t="s">
        <v>207</v>
      </c>
    </row>
    <row r="192" spans="1:3" ht="16">
      <c r="A192" s="34" t="s">
        <v>4265</v>
      </c>
      <c r="B192" s="34" t="s">
        <v>266</v>
      </c>
      <c r="C192" s="34" t="s">
        <v>118</v>
      </c>
    </row>
    <row r="193" spans="1:3" ht="16">
      <c r="A193" s="35" t="s">
        <v>4265</v>
      </c>
      <c r="B193" s="35" t="s">
        <v>990</v>
      </c>
      <c r="C193" s="35" t="s">
        <v>104</v>
      </c>
    </row>
    <row r="194" spans="1:3" ht="16">
      <c r="A194" s="34" t="s">
        <v>4265</v>
      </c>
      <c r="B194" s="34" t="s">
        <v>1133</v>
      </c>
      <c r="C194" s="34" t="s">
        <v>951</v>
      </c>
    </row>
    <row r="195" spans="1:3" ht="16">
      <c r="A195" s="35" t="s">
        <v>4265</v>
      </c>
      <c r="B195" s="35" t="s">
        <v>594</v>
      </c>
      <c r="C195" s="35" t="s">
        <v>157</v>
      </c>
    </row>
    <row r="196" spans="1:3" ht="16">
      <c r="A196" s="34" t="s">
        <v>4265</v>
      </c>
      <c r="B196" s="34" t="s">
        <v>517</v>
      </c>
      <c r="C196" s="34" t="s">
        <v>517</v>
      </c>
    </row>
    <row r="197" spans="1:3" ht="16">
      <c r="A197" s="35" t="s">
        <v>4265</v>
      </c>
      <c r="B197" s="35" t="s">
        <v>1316</v>
      </c>
      <c r="C197" s="35" t="s">
        <v>1133</v>
      </c>
    </row>
    <row r="198" spans="1:3" ht="16">
      <c r="A198" s="34" t="s">
        <v>4265</v>
      </c>
      <c r="B198" s="34" t="s">
        <v>3550</v>
      </c>
      <c r="C198" s="34" t="s">
        <v>148</v>
      </c>
    </row>
    <row r="199" spans="1:3" ht="16">
      <c r="A199" s="35" t="s">
        <v>4265</v>
      </c>
      <c r="B199" s="35" t="s">
        <v>4007</v>
      </c>
      <c r="C199" s="35" t="s">
        <v>207</v>
      </c>
    </row>
    <row r="200" spans="1:3" ht="16">
      <c r="A200" s="34" t="s">
        <v>4265</v>
      </c>
      <c r="B200" s="34" t="s">
        <v>525</v>
      </c>
      <c r="C200" s="34" t="s">
        <v>307</v>
      </c>
    </row>
    <row r="201" spans="1:3" ht="16">
      <c r="A201" s="35" t="s">
        <v>4265</v>
      </c>
      <c r="B201" s="35" t="s">
        <v>4109</v>
      </c>
      <c r="C201" s="35" t="s">
        <v>218</v>
      </c>
    </row>
    <row r="202" spans="1:3" ht="16">
      <c r="A202" s="34" t="s">
        <v>4265</v>
      </c>
      <c r="B202" s="34" t="s">
        <v>4129</v>
      </c>
      <c r="C202" s="34" t="s">
        <v>3041</v>
      </c>
    </row>
    <row r="203" spans="1:3" ht="16">
      <c r="A203" s="35" t="s">
        <v>4265</v>
      </c>
      <c r="B203" s="35" t="s">
        <v>4218</v>
      </c>
      <c r="C203" s="35" t="s">
        <v>4077</v>
      </c>
    </row>
    <row r="204" spans="1:3" ht="16">
      <c r="A204" s="34" t="s">
        <v>4265</v>
      </c>
      <c r="B204" s="34" t="s">
        <v>4098</v>
      </c>
      <c r="C204" s="34" t="s">
        <v>237</v>
      </c>
    </row>
    <row r="205" spans="1:3" ht="16">
      <c r="A205" s="35" t="s">
        <v>4265</v>
      </c>
      <c r="B205" s="35" t="s">
        <v>4103</v>
      </c>
      <c r="C205" s="35" t="s">
        <v>224</v>
      </c>
    </row>
    <row r="206" spans="1:3" ht="16">
      <c r="A206" s="34" t="s">
        <v>4265</v>
      </c>
      <c r="B206" s="34" t="s">
        <v>4235</v>
      </c>
      <c r="C206" s="34" t="s">
        <v>266</v>
      </c>
    </row>
    <row r="207" spans="1:3" ht="16">
      <c r="A207" s="35" t="s">
        <v>4265</v>
      </c>
      <c r="B207" s="35" t="s">
        <v>4232</v>
      </c>
      <c r="C207" s="35" t="s">
        <v>4078</v>
      </c>
    </row>
    <row r="208" spans="1:3" ht="16">
      <c r="A208" s="34" t="s">
        <v>4291</v>
      </c>
      <c r="B208" s="34" t="s">
        <v>266</v>
      </c>
      <c r="C208" s="34" t="s">
        <v>517</v>
      </c>
    </row>
    <row r="209" spans="1:3" ht="16">
      <c r="A209" s="35" t="s">
        <v>4291</v>
      </c>
      <c r="B209" s="35" t="s">
        <v>990</v>
      </c>
      <c r="C209" s="35" t="s">
        <v>195</v>
      </c>
    </row>
    <row r="210" spans="1:3" ht="16">
      <c r="A210" s="34" t="s">
        <v>4291</v>
      </c>
      <c r="B210" s="34" t="s">
        <v>1133</v>
      </c>
      <c r="C210" s="34" t="s">
        <v>1133</v>
      </c>
    </row>
    <row r="211" spans="1:3" ht="16">
      <c r="A211" s="35" t="s">
        <v>4291</v>
      </c>
      <c r="B211" s="35" t="s">
        <v>594</v>
      </c>
      <c r="C211" s="35" t="s">
        <v>990</v>
      </c>
    </row>
    <row r="212" spans="1:3" ht="16">
      <c r="A212" s="34" t="s">
        <v>4291</v>
      </c>
      <c r="B212" s="34" t="s">
        <v>517</v>
      </c>
      <c r="C212" s="34" t="s">
        <v>104</v>
      </c>
    </row>
    <row r="213" spans="1:3" ht="16">
      <c r="A213" s="35" t="s">
        <v>4291</v>
      </c>
      <c r="B213" s="35" t="s">
        <v>1316</v>
      </c>
      <c r="C213" s="35" t="s">
        <v>118</v>
      </c>
    </row>
    <row r="214" spans="1:3" ht="16">
      <c r="A214" s="34" t="s">
        <v>4291</v>
      </c>
      <c r="B214" s="34" t="s">
        <v>3550</v>
      </c>
      <c r="C214" s="34" t="s">
        <v>951</v>
      </c>
    </row>
    <row r="215" spans="1:3" ht="16">
      <c r="A215" s="35" t="s">
        <v>4291</v>
      </c>
      <c r="B215" s="35" t="s">
        <v>4007</v>
      </c>
      <c r="C215" s="35" t="s">
        <v>237</v>
      </c>
    </row>
    <row r="216" spans="1:3" ht="16">
      <c r="A216" s="34" t="s">
        <v>4291</v>
      </c>
      <c r="B216" s="34" t="s">
        <v>525</v>
      </c>
      <c r="C216" s="34" t="s">
        <v>266</v>
      </c>
    </row>
    <row r="217" spans="1:3" ht="16">
      <c r="A217" s="35" t="s">
        <v>4292</v>
      </c>
      <c r="B217" s="35" t="s">
        <v>266</v>
      </c>
      <c r="C217" s="35" t="s">
        <v>104</v>
      </c>
    </row>
    <row r="218" spans="1:3" ht="16">
      <c r="A218" s="34" t="s">
        <v>4292</v>
      </c>
      <c r="B218" s="34" t="s">
        <v>990</v>
      </c>
      <c r="C218" s="34" t="s">
        <v>951</v>
      </c>
    </row>
    <row r="219" spans="1:3" ht="16">
      <c r="A219" s="35" t="s">
        <v>4292</v>
      </c>
      <c r="B219" s="35" t="s">
        <v>1133</v>
      </c>
      <c r="C219" s="35" t="s">
        <v>157</v>
      </c>
    </row>
    <row r="220" spans="1:3" ht="16">
      <c r="A220" s="34" t="s">
        <v>4292</v>
      </c>
      <c r="B220" s="34" t="s">
        <v>594</v>
      </c>
      <c r="C220" s="34" t="s">
        <v>1316</v>
      </c>
    </row>
    <row r="221" spans="1:3" ht="16">
      <c r="A221" s="35" t="s">
        <v>4292</v>
      </c>
      <c r="B221" s="35" t="s">
        <v>517</v>
      </c>
      <c r="C221" s="35" t="s">
        <v>294</v>
      </c>
    </row>
    <row r="222" spans="1:3" ht="16">
      <c r="A222" s="34" t="s">
        <v>4293</v>
      </c>
      <c r="B222" s="34" t="s">
        <v>266</v>
      </c>
      <c r="C222" s="34" t="s">
        <v>104</v>
      </c>
    </row>
    <row r="223" spans="1:3" ht="16">
      <c r="A223" s="35" t="s">
        <v>4293</v>
      </c>
      <c r="B223" s="35" t="s">
        <v>990</v>
      </c>
      <c r="C223" s="35" t="s">
        <v>951</v>
      </c>
    </row>
    <row r="224" spans="1:3" ht="16">
      <c r="A224" s="34" t="s">
        <v>4293</v>
      </c>
      <c r="B224" s="34" t="s">
        <v>1133</v>
      </c>
      <c r="C224" s="34" t="s">
        <v>118</v>
      </c>
    </row>
    <row r="225" spans="1:3" ht="16">
      <c r="A225" s="35" t="s">
        <v>4293</v>
      </c>
      <c r="B225" s="35" t="s">
        <v>594</v>
      </c>
      <c r="C225" s="35" t="s">
        <v>517</v>
      </c>
    </row>
    <row r="226" spans="1:3" ht="16">
      <c r="A226" s="34" t="s">
        <v>4294</v>
      </c>
      <c r="B226" s="34" t="s">
        <v>266</v>
      </c>
      <c r="C226" s="34" t="s">
        <v>104</v>
      </c>
    </row>
    <row r="227" spans="1:3" ht="16">
      <c r="A227" s="35" t="s">
        <v>4294</v>
      </c>
      <c r="B227" s="35" t="s">
        <v>990</v>
      </c>
      <c r="C227" s="35" t="s">
        <v>951</v>
      </c>
    </row>
    <row r="228" spans="1:3" ht="16">
      <c r="A228" s="34" t="s">
        <v>4294</v>
      </c>
      <c r="B228" s="34" t="s">
        <v>1133</v>
      </c>
      <c r="C228" s="34" t="s">
        <v>157</v>
      </c>
    </row>
    <row r="229" spans="1:3" ht="16">
      <c r="A229" s="35" t="s">
        <v>4294</v>
      </c>
      <c r="B229" s="35" t="s">
        <v>594</v>
      </c>
      <c r="C229" s="35" t="s">
        <v>1133</v>
      </c>
    </row>
    <row r="230" spans="1:3" ht="16">
      <c r="A230" s="34" t="s">
        <v>4294</v>
      </c>
      <c r="B230" s="34" t="s">
        <v>1316</v>
      </c>
      <c r="C230" s="34" t="s">
        <v>517</v>
      </c>
    </row>
    <row r="231" spans="1:3" ht="16">
      <c r="A231" s="35" t="s">
        <v>4294</v>
      </c>
      <c r="B231" s="35" t="s">
        <v>3550</v>
      </c>
      <c r="C231" s="35" t="s">
        <v>1316</v>
      </c>
    </row>
    <row r="232" spans="1:3" ht="16">
      <c r="A232" s="34" t="s">
        <v>4294</v>
      </c>
      <c r="B232" s="34" t="s">
        <v>4007</v>
      </c>
      <c r="C232" s="34" t="s">
        <v>118</v>
      </c>
    </row>
    <row r="233" spans="1:3" ht="16">
      <c r="A233" s="35" t="s">
        <v>4294</v>
      </c>
      <c r="B233" s="35" t="s">
        <v>525</v>
      </c>
      <c r="C233" s="35" t="s">
        <v>237</v>
      </c>
    </row>
    <row r="234" spans="1:3" ht="16">
      <c r="A234" s="34" t="s">
        <v>4294</v>
      </c>
      <c r="B234" s="34" t="s">
        <v>4109</v>
      </c>
      <c r="C234" s="34" t="s">
        <v>218</v>
      </c>
    </row>
    <row r="235" spans="1:3" ht="16">
      <c r="A235" s="35" t="s">
        <v>4294</v>
      </c>
      <c r="B235" s="35" t="s">
        <v>4129</v>
      </c>
      <c r="C235" s="35" t="s">
        <v>224</v>
      </c>
    </row>
    <row r="236" spans="1:3" ht="16">
      <c r="A236" s="34" t="s">
        <v>4295</v>
      </c>
      <c r="B236" s="34" t="s">
        <v>266</v>
      </c>
      <c r="C236" s="34" t="s">
        <v>104</v>
      </c>
    </row>
    <row r="237" spans="1:3" ht="16">
      <c r="A237" s="35" t="s">
        <v>4295</v>
      </c>
      <c r="B237" s="35" t="s">
        <v>990</v>
      </c>
      <c r="C237" s="35" t="s">
        <v>951</v>
      </c>
    </row>
    <row r="238" spans="1:3" ht="16">
      <c r="A238" s="34" t="s">
        <v>4295</v>
      </c>
      <c r="B238" s="34" t="s">
        <v>1133</v>
      </c>
      <c r="C238" s="34" t="s">
        <v>157</v>
      </c>
    </row>
    <row r="239" spans="1:3" ht="16">
      <c r="A239" s="35" t="s">
        <v>4295</v>
      </c>
      <c r="B239" s="35" t="s">
        <v>594</v>
      </c>
      <c r="C239" s="35" t="s">
        <v>218</v>
      </c>
    </row>
    <row r="240" spans="1:3" ht="16">
      <c r="A240" s="34" t="s">
        <v>4295</v>
      </c>
      <c r="B240" s="34" t="s">
        <v>517</v>
      </c>
      <c r="C240" s="34" t="s">
        <v>3041</v>
      </c>
    </row>
    <row r="241" spans="1:3" ht="16">
      <c r="A241" s="35" t="s">
        <v>4295</v>
      </c>
      <c r="B241" s="35" t="s">
        <v>1316</v>
      </c>
      <c r="C241" s="35" t="s">
        <v>1133</v>
      </c>
    </row>
    <row r="242" spans="1:3" ht="16">
      <c r="A242" s="34" t="s">
        <v>4295</v>
      </c>
      <c r="B242" s="34" t="s">
        <v>3550</v>
      </c>
      <c r="C242" s="34" t="s">
        <v>118</v>
      </c>
    </row>
    <row r="243" spans="1:3" ht="16">
      <c r="A243" s="35" t="s">
        <v>4295</v>
      </c>
      <c r="B243" s="35" t="s">
        <v>4007</v>
      </c>
      <c r="C243" s="35" t="s">
        <v>517</v>
      </c>
    </row>
    <row r="244" spans="1:3" ht="16">
      <c r="A244" s="34" t="s">
        <v>4295</v>
      </c>
      <c r="B244" s="34" t="s">
        <v>525</v>
      </c>
      <c r="C244" s="34" t="s">
        <v>148</v>
      </c>
    </row>
    <row r="245" spans="1:3" ht="16">
      <c r="A245" s="35" t="s">
        <v>4296</v>
      </c>
      <c r="B245" s="35" t="s">
        <v>266</v>
      </c>
      <c r="C245" s="35" t="s">
        <v>104</v>
      </c>
    </row>
    <row r="246" spans="1:3" ht="16">
      <c r="A246" s="34" t="s">
        <v>4296</v>
      </c>
      <c r="B246" s="34" t="s">
        <v>990</v>
      </c>
      <c r="C246" s="34" t="s">
        <v>951</v>
      </c>
    </row>
    <row r="247" spans="1:3" ht="16">
      <c r="A247" s="35" t="s">
        <v>4296</v>
      </c>
      <c r="B247" s="35" t="s">
        <v>1133</v>
      </c>
      <c r="C247" s="35" t="s">
        <v>157</v>
      </c>
    </row>
    <row r="248" spans="1:3" ht="16">
      <c r="A248" s="34" t="s">
        <v>4296</v>
      </c>
      <c r="B248" s="34" t="s">
        <v>594</v>
      </c>
      <c r="C248" s="34" t="s">
        <v>218</v>
      </c>
    </row>
    <row r="249" spans="1:3" ht="16">
      <c r="A249" s="35" t="s">
        <v>4296</v>
      </c>
      <c r="B249" s="35" t="s">
        <v>517</v>
      </c>
      <c r="C249" s="35" t="s">
        <v>3041</v>
      </c>
    </row>
    <row r="250" spans="1:3" ht="16">
      <c r="A250" s="34" t="s">
        <v>4296</v>
      </c>
      <c r="B250" s="34" t="s">
        <v>1316</v>
      </c>
      <c r="C250" s="34" t="s">
        <v>517</v>
      </c>
    </row>
    <row r="251" spans="1:3" ht="16">
      <c r="A251" s="35" t="s">
        <v>4296</v>
      </c>
      <c r="B251" s="35" t="s">
        <v>3550</v>
      </c>
      <c r="C251" s="35" t="s">
        <v>1133</v>
      </c>
    </row>
    <row r="252" spans="1:3" ht="16">
      <c r="A252" s="34" t="s">
        <v>4296</v>
      </c>
      <c r="B252" s="34" t="s">
        <v>4007</v>
      </c>
      <c r="C252" s="34" t="s">
        <v>148</v>
      </c>
    </row>
    <row r="253" spans="1:3" ht="16">
      <c r="A253" s="35" t="s">
        <v>4296</v>
      </c>
      <c r="B253" s="35" t="s">
        <v>525</v>
      </c>
      <c r="C253" s="35" t="s">
        <v>118</v>
      </c>
    </row>
    <row r="254" spans="1:3" ht="16">
      <c r="A254" s="34" t="s">
        <v>4296</v>
      </c>
      <c r="B254" s="34" t="s">
        <v>4109</v>
      </c>
      <c r="C254" s="34" t="s">
        <v>237</v>
      </c>
    </row>
    <row r="255" spans="1:3" ht="16">
      <c r="A255" s="35" t="s">
        <v>4297</v>
      </c>
      <c r="B255" s="35" t="s">
        <v>266</v>
      </c>
      <c r="C255" s="35" t="s">
        <v>118</v>
      </c>
    </row>
    <row r="256" spans="1:3" ht="16">
      <c r="A256" s="34" t="s">
        <v>4297</v>
      </c>
      <c r="B256" s="34" t="s">
        <v>990</v>
      </c>
      <c r="C256" s="34" t="s">
        <v>104</v>
      </c>
    </row>
    <row r="257" spans="1:3" ht="16">
      <c r="A257" s="35" t="s">
        <v>4297</v>
      </c>
      <c r="B257" s="35" t="s">
        <v>4165</v>
      </c>
      <c r="C257" s="35" t="s">
        <v>517</v>
      </c>
    </row>
    <row r="258" spans="1:3" ht="16">
      <c r="A258" s="34" t="s">
        <v>4297</v>
      </c>
      <c r="B258" s="34" t="s">
        <v>4220</v>
      </c>
      <c r="C258" s="34" t="s">
        <v>195</v>
      </c>
    </row>
    <row r="259" spans="1:3" ht="16">
      <c r="A259" s="35" t="s">
        <v>4297</v>
      </c>
      <c r="B259" s="35" t="s">
        <v>4184</v>
      </c>
      <c r="C259" s="35" t="s">
        <v>126</v>
      </c>
    </row>
    <row r="260" spans="1:3" ht="16">
      <c r="A260" s="34" t="s">
        <v>4298</v>
      </c>
      <c r="B260" s="34" t="s">
        <v>266</v>
      </c>
      <c r="C260" s="34" t="s">
        <v>3550</v>
      </c>
    </row>
    <row r="261" spans="1:3" ht="16">
      <c r="A261" s="35" t="s">
        <v>4298</v>
      </c>
      <c r="B261" s="35" t="s">
        <v>990</v>
      </c>
      <c r="C261" s="35" t="s">
        <v>314</v>
      </c>
    </row>
    <row r="262" spans="1:3" ht="16">
      <c r="A262" s="34" t="s">
        <v>4298</v>
      </c>
      <c r="B262" s="34" t="s">
        <v>1133</v>
      </c>
      <c r="C262" s="34" t="s">
        <v>517</v>
      </c>
    </row>
    <row r="263" spans="1:3" ht="16">
      <c r="A263" s="35" t="s">
        <v>4298</v>
      </c>
      <c r="B263" s="35" t="s">
        <v>594</v>
      </c>
      <c r="C263" s="35" t="s">
        <v>195</v>
      </c>
    </row>
    <row r="264" spans="1:3" ht="16">
      <c r="A264" s="34" t="s">
        <v>4298</v>
      </c>
      <c r="B264" s="34" t="s">
        <v>517</v>
      </c>
      <c r="C264" s="34" t="s">
        <v>126</v>
      </c>
    </row>
    <row r="265" spans="1:3" ht="16">
      <c r="A265" s="35" t="s">
        <v>4298</v>
      </c>
      <c r="B265" s="35" t="s">
        <v>4276</v>
      </c>
      <c r="C265" s="35" t="s">
        <v>387</v>
      </c>
    </row>
    <row r="266" spans="1:3" ht="16">
      <c r="A266" s="34" t="s">
        <v>4266</v>
      </c>
      <c r="B266" s="34" t="s">
        <v>266</v>
      </c>
      <c r="C266" s="34" t="s">
        <v>104</v>
      </c>
    </row>
    <row r="267" spans="1:3" ht="16">
      <c r="A267" s="35" t="s">
        <v>4266</v>
      </c>
      <c r="B267" s="35" t="s">
        <v>990</v>
      </c>
      <c r="C267" s="35" t="s">
        <v>118</v>
      </c>
    </row>
    <row r="268" spans="1:3" ht="16">
      <c r="A268" s="34" t="s">
        <v>4266</v>
      </c>
      <c r="B268" s="34" t="s">
        <v>1133</v>
      </c>
      <c r="C268" s="34" t="s">
        <v>517</v>
      </c>
    </row>
    <row r="269" spans="1:3" ht="16">
      <c r="A269" s="35" t="s">
        <v>4266</v>
      </c>
      <c r="B269" s="35" t="s">
        <v>594</v>
      </c>
      <c r="C269" s="35" t="s">
        <v>237</v>
      </c>
    </row>
    <row r="270" spans="1:3" ht="16">
      <c r="A270" s="34" t="s">
        <v>4266</v>
      </c>
      <c r="B270" s="34" t="s">
        <v>517</v>
      </c>
      <c r="C270" s="34" t="s">
        <v>1133</v>
      </c>
    </row>
    <row r="271" spans="1:3" ht="16">
      <c r="A271" s="35" t="s">
        <v>4299</v>
      </c>
      <c r="B271" s="35" t="s">
        <v>266</v>
      </c>
      <c r="C271" s="35" t="s">
        <v>118</v>
      </c>
    </row>
    <row r="272" spans="1:3" ht="16">
      <c r="A272" s="34" t="s">
        <v>4299</v>
      </c>
      <c r="B272" s="34" t="s">
        <v>990</v>
      </c>
      <c r="C272" s="34" t="s">
        <v>990</v>
      </c>
    </row>
    <row r="273" spans="1:3" ht="16">
      <c r="A273" s="35" t="s">
        <v>4299</v>
      </c>
      <c r="B273" s="35" t="s">
        <v>4165</v>
      </c>
      <c r="C273" s="35" t="s">
        <v>1316</v>
      </c>
    </row>
    <row r="274" spans="1:3" ht="16">
      <c r="A274" s="34" t="s">
        <v>4299</v>
      </c>
      <c r="B274" s="34" t="s">
        <v>4276</v>
      </c>
      <c r="C274" s="34" t="s">
        <v>517</v>
      </c>
    </row>
    <row r="275" spans="1:3" ht="16">
      <c r="A275" s="35" t="s">
        <v>4299</v>
      </c>
      <c r="B275" s="35" t="s">
        <v>4277</v>
      </c>
      <c r="C275" s="35" t="s">
        <v>195</v>
      </c>
    </row>
    <row r="276" spans="1:3" ht="16">
      <c r="A276" s="34" t="s">
        <v>4300</v>
      </c>
      <c r="B276" s="34" t="s">
        <v>266</v>
      </c>
      <c r="C276" s="34" t="s">
        <v>118</v>
      </c>
    </row>
    <row r="277" spans="1:3" ht="16">
      <c r="A277" s="35" t="s">
        <v>4301</v>
      </c>
      <c r="B277" s="35" t="s">
        <v>266</v>
      </c>
      <c r="C277" s="35" t="s">
        <v>118</v>
      </c>
    </row>
    <row r="278" spans="1:3" ht="16">
      <c r="A278" s="34" t="s">
        <v>4301</v>
      </c>
      <c r="B278" s="34" t="s">
        <v>990</v>
      </c>
      <c r="C278" s="34" t="s">
        <v>237</v>
      </c>
    </row>
    <row r="279" spans="1:3" ht="16">
      <c r="A279" s="35" t="s">
        <v>4301</v>
      </c>
      <c r="B279" s="35" t="s">
        <v>1133</v>
      </c>
      <c r="C279" s="35" t="s">
        <v>517</v>
      </c>
    </row>
    <row r="280" spans="1:3" ht="16">
      <c r="A280" s="34" t="s">
        <v>4301</v>
      </c>
      <c r="B280" s="34" t="s">
        <v>594</v>
      </c>
      <c r="C280" s="34" t="s">
        <v>1316</v>
      </c>
    </row>
    <row r="281" spans="1:3" ht="16">
      <c r="A281" s="35" t="s">
        <v>4301</v>
      </c>
      <c r="B281" s="35" t="s">
        <v>517</v>
      </c>
      <c r="C281" s="35" t="s">
        <v>990</v>
      </c>
    </row>
    <row r="282" spans="1:3" ht="16">
      <c r="A282" s="34" t="s">
        <v>4301</v>
      </c>
      <c r="B282" s="34" t="s">
        <v>1316</v>
      </c>
      <c r="C282" s="34" t="s">
        <v>104</v>
      </c>
    </row>
    <row r="283" spans="1:3" ht="16">
      <c r="A283" s="35" t="s">
        <v>4301</v>
      </c>
      <c r="B283" s="35" t="s">
        <v>3550</v>
      </c>
      <c r="C283" s="35" t="s">
        <v>224</v>
      </c>
    </row>
    <row r="284" spans="1:3" ht="16">
      <c r="A284" s="34" t="s">
        <v>4301</v>
      </c>
      <c r="B284" s="34" t="s">
        <v>4007</v>
      </c>
      <c r="C284" s="34" t="s">
        <v>230</v>
      </c>
    </row>
    <row r="285" spans="1:3" ht="16">
      <c r="A285" s="35" t="s">
        <v>4302</v>
      </c>
      <c r="B285" s="35" t="s">
        <v>266</v>
      </c>
      <c r="C285" s="35" t="s">
        <v>990</v>
      </c>
    </row>
    <row r="286" spans="1:3" ht="16">
      <c r="A286" s="34" t="s">
        <v>4302</v>
      </c>
      <c r="B286" s="34" t="s">
        <v>1133</v>
      </c>
      <c r="C286" s="34" t="s">
        <v>517</v>
      </c>
    </row>
    <row r="287" spans="1:3" ht="16">
      <c r="A287" s="35" t="s">
        <v>4302</v>
      </c>
      <c r="B287" s="35" t="s">
        <v>594</v>
      </c>
      <c r="C287" s="35" t="s">
        <v>118</v>
      </c>
    </row>
    <row r="288" spans="1:3" ht="16">
      <c r="A288" s="34" t="s">
        <v>4302</v>
      </c>
      <c r="B288" s="34" t="s">
        <v>517</v>
      </c>
      <c r="C288" s="34" t="s">
        <v>104</v>
      </c>
    </row>
    <row r="289" spans="1:3" ht="16">
      <c r="A289" s="35" t="s">
        <v>4302</v>
      </c>
      <c r="B289" s="35" t="s">
        <v>1316</v>
      </c>
      <c r="C289" s="35" t="s">
        <v>237</v>
      </c>
    </row>
    <row r="290" spans="1:3" ht="16">
      <c r="A290" s="34" t="s">
        <v>4302</v>
      </c>
      <c r="B290" s="34" t="s">
        <v>3550</v>
      </c>
      <c r="C290" s="34" t="s">
        <v>951</v>
      </c>
    </row>
    <row r="291" spans="1:3" ht="16">
      <c r="A291" s="35" t="s">
        <v>4302</v>
      </c>
      <c r="B291" s="35" t="s">
        <v>4165</v>
      </c>
      <c r="C291" s="35" t="s">
        <v>195</v>
      </c>
    </row>
    <row r="292" spans="1:3" ht="16">
      <c r="A292" s="34" t="s">
        <v>4302</v>
      </c>
      <c r="B292" s="34" t="s">
        <v>4276</v>
      </c>
      <c r="C292" s="34" t="s">
        <v>1316</v>
      </c>
    </row>
    <row r="293" spans="1:3" ht="16">
      <c r="A293" s="35" t="s">
        <v>4302</v>
      </c>
      <c r="B293" s="35" t="s">
        <v>4277</v>
      </c>
      <c r="C293" s="35" t="s">
        <v>244</v>
      </c>
    </row>
    <row r="294" spans="1:3" ht="16">
      <c r="A294" s="34" t="s">
        <v>4303</v>
      </c>
      <c r="B294" s="34" t="s">
        <v>266</v>
      </c>
      <c r="C294" s="34" t="s">
        <v>118</v>
      </c>
    </row>
    <row r="295" spans="1:3" ht="16">
      <c r="A295" s="35" t="s">
        <v>4304</v>
      </c>
      <c r="B295" s="35" t="s">
        <v>266</v>
      </c>
      <c r="C295" s="35" t="s">
        <v>118</v>
      </c>
    </row>
    <row r="296" spans="1:3" ht="16">
      <c r="A296" s="34" t="s">
        <v>4305</v>
      </c>
      <c r="B296" s="34" t="s">
        <v>266</v>
      </c>
      <c r="C296" s="34" t="s">
        <v>104</v>
      </c>
    </row>
    <row r="297" spans="1:3" ht="16">
      <c r="A297" s="35" t="s">
        <v>4305</v>
      </c>
      <c r="B297" s="35" t="s">
        <v>990</v>
      </c>
      <c r="C297" s="35" t="s">
        <v>951</v>
      </c>
    </row>
    <row r="298" spans="1:3" ht="16">
      <c r="A298" s="34" t="s">
        <v>4305</v>
      </c>
      <c r="B298" s="34" t="s">
        <v>1133</v>
      </c>
      <c r="C298" s="34" t="s">
        <v>157</v>
      </c>
    </row>
    <row r="299" spans="1:3" ht="16">
      <c r="A299" s="35" t="s">
        <v>4305</v>
      </c>
      <c r="B299" s="35" t="s">
        <v>594</v>
      </c>
      <c r="C299" s="35" t="s">
        <v>218</v>
      </c>
    </row>
    <row r="300" spans="1:3" ht="16">
      <c r="A300" s="34" t="s">
        <v>4305</v>
      </c>
      <c r="B300" s="34" t="s">
        <v>517</v>
      </c>
      <c r="C300" s="34" t="s">
        <v>3041</v>
      </c>
    </row>
    <row r="301" spans="1:3" ht="16">
      <c r="A301" s="35" t="s">
        <v>4305</v>
      </c>
      <c r="B301" s="35" t="s">
        <v>1316</v>
      </c>
      <c r="C301" s="35" t="s">
        <v>1133</v>
      </c>
    </row>
    <row r="302" spans="1:3" ht="16">
      <c r="A302" s="34" t="s">
        <v>4305</v>
      </c>
      <c r="B302" s="34" t="s">
        <v>3550</v>
      </c>
      <c r="C302" s="34" t="s">
        <v>990</v>
      </c>
    </row>
    <row r="303" spans="1:3" ht="16">
      <c r="A303" s="35" t="s">
        <v>4305</v>
      </c>
      <c r="B303" s="35" t="s">
        <v>4007</v>
      </c>
      <c r="C303" s="35" t="s">
        <v>148</v>
      </c>
    </row>
    <row r="304" spans="1:3" ht="16">
      <c r="A304" s="34" t="s">
        <v>4305</v>
      </c>
      <c r="B304" s="34" t="s">
        <v>525</v>
      </c>
      <c r="C304" s="34" t="s">
        <v>4077</v>
      </c>
    </row>
    <row r="305" spans="1:3" ht="16">
      <c r="A305" s="35" t="s">
        <v>4305</v>
      </c>
      <c r="B305" s="35" t="s">
        <v>4109</v>
      </c>
      <c r="C305" s="35" t="s">
        <v>1316</v>
      </c>
    </row>
    <row r="306" spans="1:3" ht="16">
      <c r="A306" s="34" t="s">
        <v>4305</v>
      </c>
      <c r="B306" s="34" t="s">
        <v>4129</v>
      </c>
      <c r="C306" s="34" t="s">
        <v>294</v>
      </c>
    </row>
    <row r="307" spans="1:3" ht="16">
      <c r="A307" s="35" t="s">
        <v>4305</v>
      </c>
      <c r="B307" s="35" t="s">
        <v>4218</v>
      </c>
      <c r="C307" s="35" t="s">
        <v>517</v>
      </c>
    </row>
    <row r="308" spans="1:3" ht="16">
      <c r="A308" s="34" t="s">
        <v>4305</v>
      </c>
      <c r="B308" s="34" t="s">
        <v>4098</v>
      </c>
      <c r="C308" s="34" t="s">
        <v>619</v>
      </c>
    </row>
    <row r="309" spans="1:3" ht="16">
      <c r="A309" s="35" t="s">
        <v>4306</v>
      </c>
      <c r="B309" s="35" t="s">
        <v>266</v>
      </c>
      <c r="C309" s="35" t="s">
        <v>104</v>
      </c>
    </row>
    <row r="310" spans="1:3" ht="16">
      <c r="A310" s="34" t="s">
        <v>4306</v>
      </c>
      <c r="B310" s="34" t="s">
        <v>990</v>
      </c>
      <c r="C310" s="34" t="s">
        <v>517</v>
      </c>
    </row>
    <row r="311" spans="1:3" ht="16">
      <c r="A311" s="35" t="s">
        <v>4306</v>
      </c>
      <c r="B311" s="35" t="s">
        <v>1133</v>
      </c>
      <c r="C311" s="35" t="s">
        <v>195</v>
      </c>
    </row>
    <row r="312" spans="1:3" ht="16">
      <c r="A312" s="34" t="s">
        <v>4306</v>
      </c>
      <c r="B312" s="34" t="s">
        <v>594</v>
      </c>
      <c r="C312" s="34" t="s">
        <v>3550</v>
      </c>
    </row>
    <row r="313" spans="1:3" ht="16">
      <c r="A313" s="35" t="s">
        <v>4306</v>
      </c>
      <c r="B313" s="35" t="s">
        <v>517</v>
      </c>
      <c r="C313" s="35" t="s">
        <v>951</v>
      </c>
    </row>
    <row r="314" spans="1:3" ht="16">
      <c r="A314" s="34" t="s">
        <v>4306</v>
      </c>
      <c r="B314" s="34" t="s">
        <v>1316</v>
      </c>
      <c r="C314" s="34" t="s">
        <v>118</v>
      </c>
    </row>
    <row r="315" spans="1:3" ht="16">
      <c r="A315" s="35" t="s">
        <v>4306</v>
      </c>
      <c r="B315" s="35" t="s">
        <v>3550</v>
      </c>
      <c r="C315" s="35" t="s">
        <v>1316</v>
      </c>
    </row>
    <row r="316" spans="1:3" ht="16">
      <c r="A316" s="34" t="s">
        <v>4307</v>
      </c>
      <c r="B316" s="34" t="s">
        <v>266</v>
      </c>
      <c r="C316" s="34" t="s">
        <v>104</v>
      </c>
    </row>
    <row r="317" spans="1:3" ht="16">
      <c r="A317" s="35" t="s">
        <v>4307</v>
      </c>
      <c r="B317" s="35" t="s">
        <v>990</v>
      </c>
      <c r="C317" s="35" t="s">
        <v>951</v>
      </c>
    </row>
    <row r="318" spans="1:3" ht="16">
      <c r="A318" s="34" t="s">
        <v>4307</v>
      </c>
      <c r="B318" s="34" t="s">
        <v>1133</v>
      </c>
      <c r="C318" s="34" t="s">
        <v>157</v>
      </c>
    </row>
    <row r="319" spans="1:3" ht="16">
      <c r="A319" s="35" t="s">
        <v>4307</v>
      </c>
      <c r="B319" s="35" t="s">
        <v>594</v>
      </c>
      <c r="C319" s="35" t="s">
        <v>118</v>
      </c>
    </row>
    <row r="320" spans="1:3" ht="16">
      <c r="A320" s="34" t="s">
        <v>4307</v>
      </c>
      <c r="B320" s="34" t="s">
        <v>517</v>
      </c>
      <c r="C320" s="34" t="s">
        <v>218</v>
      </c>
    </row>
    <row r="321" spans="1:3" ht="16">
      <c r="A321" s="35" t="s">
        <v>4307</v>
      </c>
      <c r="B321" s="35" t="s">
        <v>1316</v>
      </c>
      <c r="C321" s="35" t="s">
        <v>3041</v>
      </c>
    </row>
    <row r="322" spans="1:3" ht="16">
      <c r="A322" s="34" t="s">
        <v>4307</v>
      </c>
      <c r="B322" s="34" t="s">
        <v>3550</v>
      </c>
      <c r="C322" s="34" t="s">
        <v>4077</v>
      </c>
    </row>
    <row r="323" spans="1:3" ht="16">
      <c r="A323" s="35" t="s">
        <v>4307</v>
      </c>
      <c r="B323" s="35" t="s">
        <v>4007</v>
      </c>
      <c r="C323" s="35" t="s">
        <v>1316</v>
      </c>
    </row>
    <row r="324" spans="1:3" ht="16">
      <c r="A324" s="34" t="s">
        <v>4307</v>
      </c>
      <c r="B324" s="34" t="s">
        <v>525</v>
      </c>
      <c r="C324" s="34" t="s">
        <v>990</v>
      </c>
    </row>
    <row r="325" spans="1:3" ht="16">
      <c r="A325" s="35" t="s">
        <v>4307</v>
      </c>
      <c r="B325" s="35" t="s">
        <v>4109</v>
      </c>
      <c r="C325" s="35" t="s">
        <v>517</v>
      </c>
    </row>
    <row r="326" spans="1:3" ht="16">
      <c r="A326" s="34" t="s">
        <v>4307</v>
      </c>
      <c r="B326" s="34" t="s">
        <v>4129</v>
      </c>
      <c r="C326" s="34" t="s">
        <v>195</v>
      </c>
    </row>
    <row r="327" spans="1:3" ht="16">
      <c r="A327" s="35" t="s">
        <v>4307</v>
      </c>
      <c r="B327" s="35" t="s">
        <v>4218</v>
      </c>
      <c r="C327" s="35" t="s">
        <v>126</v>
      </c>
    </row>
    <row r="328" spans="1:3" ht="16">
      <c r="A328" s="34" t="s">
        <v>4307</v>
      </c>
      <c r="B328" s="34" t="s">
        <v>4098</v>
      </c>
      <c r="C328" s="34" t="s">
        <v>1156</v>
      </c>
    </row>
    <row r="329" spans="1:3" ht="16">
      <c r="A329" s="35" t="s">
        <v>4307</v>
      </c>
      <c r="B329" s="35" t="s">
        <v>4103</v>
      </c>
      <c r="C329" s="35" t="s">
        <v>294</v>
      </c>
    </row>
    <row r="330" spans="1:3" ht="16">
      <c r="A330" s="34" t="s">
        <v>4308</v>
      </c>
      <c r="B330" s="34" t="s">
        <v>266</v>
      </c>
      <c r="C330" s="34" t="s">
        <v>104</v>
      </c>
    </row>
    <row r="331" spans="1:3" ht="16">
      <c r="A331" s="35" t="s">
        <v>4308</v>
      </c>
      <c r="B331" s="35" t="s">
        <v>990</v>
      </c>
      <c r="C331" s="35" t="s">
        <v>951</v>
      </c>
    </row>
    <row r="332" spans="1:3" ht="16">
      <c r="A332" s="34" t="s">
        <v>4308</v>
      </c>
      <c r="B332" s="34" t="s">
        <v>1133</v>
      </c>
      <c r="C332" s="34" t="s">
        <v>517</v>
      </c>
    </row>
    <row r="333" spans="1:3" ht="16">
      <c r="A333" s="35" t="s">
        <v>4308</v>
      </c>
      <c r="B333" s="35" t="s">
        <v>594</v>
      </c>
      <c r="C333" s="35" t="s">
        <v>1133</v>
      </c>
    </row>
    <row r="334" spans="1:3" ht="16">
      <c r="A334" s="34" t="s">
        <v>4308</v>
      </c>
      <c r="B334" s="34" t="s">
        <v>517</v>
      </c>
      <c r="C334" s="34" t="s">
        <v>157</v>
      </c>
    </row>
    <row r="335" spans="1:3" ht="16">
      <c r="A335" s="35" t="s">
        <v>4309</v>
      </c>
      <c r="B335" s="35" t="s">
        <v>266</v>
      </c>
      <c r="C335" s="35" t="s">
        <v>104</v>
      </c>
    </row>
    <row r="336" spans="1:3" ht="16">
      <c r="A336" s="34" t="s">
        <v>4310</v>
      </c>
      <c r="B336" s="34" t="s">
        <v>266</v>
      </c>
      <c r="C336" s="34" t="s">
        <v>118</v>
      </c>
    </row>
    <row r="337" spans="1:3" ht="16">
      <c r="A337" s="35" t="s">
        <v>4311</v>
      </c>
      <c r="B337" s="35" t="s">
        <v>266</v>
      </c>
      <c r="C337" s="35" t="s">
        <v>104</v>
      </c>
    </row>
    <row r="338" spans="1:3" ht="16">
      <c r="A338" s="34" t="s">
        <v>4311</v>
      </c>
      <c r="B338" s="34" t="s">
        <v>990</v>
      </c>
      <c r="C338" s="34" t="s">
        <v>951</v>
      </c>
    </row>
    <row r="339" spans="1:3" ht="16">
      <c r="A339" s="35" t="s">
        <v>4311</v>
      </c>
      <c r="B339" s="35" t="s">
        <v>1133</v>
      </c>
      <c r="C339" s="35" t="s">
        <v>1133</v>
      </c>
    </row>
    <row r="340" spans="1:3" ht="16">
      <c r="A340" s="34" t="s">
        <v>4311</v>
      </c>
      <c r="B340" s="34" t="s">
        <v>594</v>
      </c>
      <c r="C340" s="34" t="s">
        <v>517</v>
      </c>
    </row>
    <row r="341" spans="1:3" ht="16">
      <c r="A341" s="35" t="s">
        <v>4311</v>
      </c>
      <c r="B341" s="35" t="s">
        <v>517</v>
      </c>
      <c r="C341" s="35" t="s">
        <v>118</v>
      </c>
    </row>
    <row r="342" spans="1:3" ht="16">
      <c r="A342" s="34" t="s">
        <v>4312</v>
      </c>
      <c r="B342" s="34" t="s">
        <v>266</v>
      </c>
      <c r="C342" s="34" t="s">
        <v>104</v>
      </c>
    </row>
    <row r="343" spans="1:3" ht="16">
      <c r="A343" s="35" t="s">
        <v>4312</v>
      </c>
      <c r="B343" s="35" t="s">
        <v>990</v>
      </c>
      <c r="C343" s="35" t="s">
        <v>118</v>
      </c>
    </row>
    <row r="344" spans="1:3" ht="16">
      <c r="A344" s="34" t="s">
        <v>4312</v>
      </c>
      <c r="B344" s="34" t="s">
        <v>1133</v>
      </c>
      <c r="C344" s="34" t="s">
        <v>266</v>
      </c>
    </row>
    <row r="345" spans="1:3" ht="16">
      <c r="A345" s="35" t="s">
        <v>4312</v>
      </c>
      <c r="B345" s="35" t="s">
        <v>594</v>
      </c>
      <c r="C345" s="35" t="s">
        <v>3550</v>
      </c>
    </row>
    <row r="346" spans="1:3" ht="16">
      <c r="A346" s="34" t="s">
        <v>4312</v>
      </c>
      <c r="B346" s="34" t="s">
        <v>517</v>
      </c>
      <c r="C346" s="34" t="s">
        <v>1133</v>
      </c>
    </row>
    <row r="347" spans="1:3" ht="16">
      <c r="A347" s="35" t="s">
        <v>4312</v>
      </c>
      <c r="B347" s="35" t="s">
        <v>1316</v>
      </c>
      <c r="C347" s="35" t="s">
        <v>237</v>
      </c>
    </row>
    <row r="348" spans="1:3" ht="16">
      <c r="A348" s="34" t="s">
        <v>4312</v>
      </c>
      <c r="B348" s="34" t="s">
        <v>3550</v>
      </c>
      <c r="C348" s="34" t="s">
        <v>990</v>
      </c>
    </row>
    <row r="349" spans="1:3" ht="16">
      <c r="A349" s="35" t="s">
        <v>4312</v>
      </c>
      <c r="B349" s="35" t="s">
        <v>4007</v>
      </c>
      <c r="C349" s="35" t="s">
        <v>224</v>
      </c>
    </row>
    <row r="350" spans="1:3" ht="16">
      <c r="A350" s="34" t="s">
        <v>4312</v>
      </c>
      <c r="B350" s="34" t="s">
        <v>525</v>
      </c>
      <c r="C350" s="34" t="s">
        <v>517</v>
      </c>
    </row>
    <row r="351" spans="1:3" ht="16">
      <c r="A351" s="35" t="s">
        <v>4312</v>
      </c>
      <c r="B351" s="35" t="s">
        <v>4109</v>
      </c>
      <c r="C351" s="35" t="s">
        <v>195</v>
      </c>
    </row>
    <row r="352" spans="1:3" ht="16">
      <c r="A352" s="34" t="s">
        <v>4312</v>
      </c>
      <c r="B352" s="34" t="s">
        <v>4129</v>
      </c>
      <c r="C352" s="34" t="s">
        <v>148</v>
      </c>
    </row>
    <row r="353" spans="1:3" ht="16">
      <c r="A353" s="35" t="s">
        <v>4312</v>
      </c>
      <c r="B353" s="35" t="s">
        <v>4218</v>
      </c>
      <c r="C353" s="35" t="s">
        <v>126</v>
      </c>
    </row>
    <row r="354" spans="1:3" ht="16">
      <c r="A354" s="34" t="s">
        <v>4312</v>
      </c>
      <c r="B354" s="34" t="s">
        <v>4098</v>
      </c>
      <c r="C354" s="34" t="s">
        <v>1156</v>
      </c>
    </row>
    <row r="355" spans="1:3" ht="16">
      <c r="A355" s="35" t="s">
        <v>4312</v>
      </c>
      <c r="B355" s="35" t="s">
        <v>4103</v>
      </c>
      <c r="C355" s="35" t="s">
        <v>1717</v>
      </c>
    </row>
    <row r="356" spans="1:3" ht="16">
      <c r="A356" s="34" t="s">
        <v>4312</v>
      </c>
      <c r="B356" s="34" t="s">
        <v>4105</v>
      </c>
      <c r="C356" s="34" t="s">
        <v>207</v>
      </c>
    </row>
    <row r="357" spans="1:3" ht="16">
      <c r="A357" s="35" t="s">
        <v>4313</v>
      </c>
      <c r="B357" s="35" t="s">
        <v>266</v>
      </c>
      <c r="C357" s="35" t="s">
        <v>104</v>
      </c>
    </row>
    <row r="358" spans="1:3" ht="16">
      <c r="A358" s="34" t="s">
        <v>4313</v>
      </c>
      <c r="B358" s="34" t="s">
        <v>990</v>
      </c>
      <c r="C358" s="34" t="s">
        <v>951</v>
      </c>
    </row>
    <row r="359" spans="1:3" ht="16">
      <c r="A359" s="35" t="s">
        <v>4313</v>
      </c>
      <c r="B359" s="35" t="s">
        <v>1133</v>
      </c>
      <c r="C359" s="35" t="s">
        <v>517</v>
      </c>
    </row>
    <row r="360" spans="1:3" ht="16">
      <c r="A360" s="34" t="s">
        <v>4313</v>
      </c>
      <c r="B360" s="34" t="s">
        <v>594</v>
      </c>
      <c r="C360" s="34" t="s">
        <v>1133</v>
      </c>
    </row>
    <row r="361" spans="1:3" ht="16">
      <c r="A361" s="37" t="s">
        <v>4313</v>
      </c>
      <c r="B361" s="37" t="s">
        <v>517</v>
      </c>
      <c r="C361" s="37" t="s">
        <v>148</v>
      </c>
    </row>
  </sheetData>
  <pageMargins left="0.7" right="0.7" top="0.75" bottom="0.75" header="0.3" footer="0.3"/>
  <customProperties>
    <customPr name="_pios_id" r:id="rId1"/>
  </customProperties>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96FC6-EEF5-4E6E-8B01-A97D1D14A8BE}">
  <dimension ref="A1:AK37"/>
  <sheetViews>
    <sheetView zoomScale="130" zoomScaleNormal="130" workbookViewId="0">
      <selection activeCell="AE6" sqref="AE6"/>
    </sheetView>
  </sheetViews>
  <sheetFormatPr baseColWidth="10" defaultColWidth="9.1640625" defaultRowHeight="15"/>
  <cols>
    <col min="1" max="1" width="18" customWidth="1"/>
    <col min="2" max="2" width="3.1640625" bestFit="1" customWidth="1"/>
    <col min="3" max="5" width="3.5" bestFit="1" customWidth="1"/>
    <col min="6" max="6" width="3.1640625" bestFit="1" customWidth="1"/>
    <col min="7" max="7" width="2.83203125" bestFit="1" customWidth="1"/>
    <col min="8" max="11" width="3.5" bestFit="1" customWidth="1"/>
    <col min="12" max="12" width="3.83203125" bestFit="1" customWidth="1"/>
    <col min="13" max="14" width="3.1640625" bestFit="1" customWidth="1"/>
    <col min="15" max="15" width="3.5" bestFit="1" customWidth="1"/>
    <col min="16" max="16" width="3" bestFit="1" customWidth="1"/>
    <col min="17" max="17" width="3.1640625" bestFit="1" customWidth="1"/>
    <col min="18" max="18" width="2.83203125" bestFit="1" customWidth="1"/>
    <col min="19" max="19" width="3.1640625" bestFit="1" customWidth="1"/>
    <col min="20" max="20" width="3.5" bestFit="1" customWidth="1"/>
    <col min="21" max="21" width="3.1640625" bestFit="1" customWidth="1"/>
    <col min="22" max="24" width="3.5" bestFit="1" customWidth="1"/>
    <col min="25" max="25" width="3.83203125" bestFit="1" customWidth="1"/>
    <col min="26" max="27" width="2.83203125" bestFit="1" customWidth="1"/>
    <col min="28" max="29" width="3.1640625" bestFit="1" customWidth="1"/>
    <col min="30" max="30" width="3.5" bestFit="1" customWidth="1"/>
    <col min="31" max="31" width="3.1640625" bestFit="1" customWidth="1"/>
    <col min="32" max="32" width="3.5" bestFit="1" customWidth="1"/>
    <col min="33" max="33" width="3.1640625" bestFit="1" customWidth="1"/>
    <col min="34" max="37" width="3.5" bestFit="1" customWidth="1"/>
  </cols>
  <sheetData>
    <row r="1" spans="1:37" ht="16">
      <c r="A1" s="32" t="s">
        <v>4268</v>
      </c>
      <c r="B1" s="32" t="s">
        <v>104</v>
      </c>
      <c r="C1" s="32" t="s">
        <v>951</v>
      </c>
      <c r="D1" s="32" t="s">
        <v>157</v>
      </c>
      <c r="E1" s="32" t="s">
        <v>218</v>
      </c>
      <c r="F1" s="32" t="s">
        <v>3041</v>
      </c>
      <c r="G1" s="32" t="s">
        <v>4077</v>
      </c>
      <c r="H1" s="32" t="s">
        <v>4078</v>
      </c>
      <c r="I1" s="32" t="s">
        <v>118</v>
      </c>
      <c r="J1" s="32" t="s">
        <v>237</v>
      </c>
      <c r="K1" s="32" t="s">
        <v>224</v>
      </c>
      <c r="L1" s="32" t="s">
        <v>230</v>
      </c>
      <c r="M1" s="32" t="s">
        <v>4007</v>
      </c>
      <c r="N1" s="32" t="s">
        <v>1316</v>
      </c>
      <c r="O1" s="32" t="s">
        <v>294</v>
      </c>
      <c r="P1" s="32" t="s">
        <v>619</v>
      </c>
      <c r="Q1" s="32" t="s">
        <v>1133</v>
      </c>
      <c r="R1" s="32" t="s">
        <v>148</v>
      </c>
      <c r="S1" s="32" t="s">
        <v>207</v>
      </c>
      <c r="T1" s="32" t="s">
        <v>307</v>
      </c>
      <c r="U1" s="32" t="s">
        <v>3550</v>
      </c>
      <c r="V1" s="32" t="s">
        <v>314</v>
      </c>
      <c r="W1" s="32" t="s">
        <v>387</v>
      </c>
      <c r="X1" s="32" t="s">
        <v>346</v>
      </c>
      <c r="Y1" s="32" t="s">
        <v>249</v>
      </c>
      <c r="Z1" s="32" t="s">
        <v>266</v>
      </c>
      <c r="AA1" s="32" t="s">
        <v>4079</v>
      </c>
      <c r="AB1" s="32" t="s">
        <v>990</v>
      </c>
      <c r="AC1" s="32" t="s">
        <v>244</v>
      </c>
      <c r="AD1" s="32" t="s">
        <v>165</v>
      </c>
      <c r="AE1" s="32" t="s">
        <v>517</v>
      </c>
      <c r="AF1" s="32" t="s">
        <v>195</v>
      </c>
      <c r="AG1" s="32" t="s">
        <v>126</v>
      </c>
      <c r="AH1" s="32" t="s">
        <v>1156</v>
      </c>
      <c r="AI1" s="32" t="s">
        <v>1717</v>
      </c>
      <c r="AJ1" s="32" t="s">
        <v>173</v>
      </c>
      <c r="AK1" s="32" t="s">
        <v>356</v>
      </c>
    </row>
    <row r="2" spans="1:37" ht="16">
      <c r="A2" s="32" t="s">
        <v>104</v>
      </c>
      <c r="B2" s="33" t="s">
        <v>237</v>
      </c>
      <c r="C2" s="33" t="s">
        <v>237</v>
      </c>
      <c r="D2" s="33" t="s">
        <v>237</v>
      </c>
      <c r="E2" s="33" t="s">
        <v>237</v>
      </c>
      <c r="F2" s="33" t="s">
        <v>237</v>
      </c>
      <c r="G2" s="33" t="s">
        <v>237</v>
      </c>
      <c r="H2" s="33" t="s">
        <v>237</v>
      </c>
      <c r="I2" s="33" t="s">
        <v>237</v>
      </c>
      <c r="J2" s="33" t="s">
        <v>237</v>
      </c>
      <c r="K2" s="33" t="s">
        <v>237</v>
      </c>
      <c r="L2" s="33" t="s">
        <v>237</v>
      </c>
      <c r="M2" s="33" t="s">
        <v>237</v>
      </c>
      <c r="N2" s="33" t="s">
        <v>237</v>
      </c>
      <c r="O2" s="33" t="s">
        <v>237</v>
      </c>
      <c r="P2" s="33" t="s">
        <v>237</v>
      </c>
      <c r="Q2" s="33" t="s">
        <v>237</v>
      </c>
      <c r="R2" s="33" t="s">
        <v>237</v>
      </c>
      <c r="S2" s="33" t="s">
        <v>237</v>
      </c>
      <c r="T2" s="33" t="s">
        <v>237</v>
      </c>
      <c r="U2" s="33" t="s">
        <v>237</v>
      </c>
      <c r="V2" s="33" t="s">
        <v>237</v>
      </c>
      <c r="W2" s="33" t="s">
        <v>237</v>
      </c>
      <c r="X2" s="33" t="s">
        <v>237</v>
      </c>
      <c r="Y2" s="33" t="s">
        <v>237</v>
      </c>
      <c r="Z2" s="33" t="s">
        <v>237</v>
      </c>
      <c r="AA2" s="33" t="s">
        <v>237</v>
      </c>
      <c r="AB2" s="33" t="s">
        <v>237</v>
      </c>
      <c r="AC2" s="33" t="s">
        <v>237</v>
      </c>
      <c r="AD2" s="33" t="s">
        <v>237</v>
      </c>
      <c r="AE2" s="33" t="s">
        <v>165</v>
      </c>
      <c r="AF2" s="33" t="s">
        <v>165</v>
      </c>
      <c r="AG2" s="33" t="s">
        <v>165</v>
      </c>
      <c r="AH2" s="33" t="s">
        <v>165</v>
      </c>
      <c r="AI2" s="33" t="s">
        <v>165</v>
      </c>
      <c r="AJ2" s="33" t="s">
        <v>165</v>
      </c>
      <c r="AK2" s="33" t="s">
        <v>165</v>
      </c>
    </row>
    <row r="3" spans="1:37" ht="16">
      <c r="A3" s="32" t="s">
        <v>951</v>
      </c>
      <c r="B3" s="33" t="s">
        <v>237</v>
      </c>
      <c r="C3" s="33" t="s">
        <v>237</v>
      </c>
      <c r="D3" s="33" t="s">
        <v>237</v>
      </c>
      <c r="E3" s="33" t="s">
        <v>237</v>
      </c>
      <c r="F3" s="33" t="s">
        <v>237</v>
      </c>
      <c r="G3" s="33" t="s">
        <v>237</v>
      </c>
      <c r="H3" s="33" t="s">
        <v>237</v>
      </c>
      <c r="I3" s="33" t="s">
        <v>237</v>
      </c>
      <c r="J3" s="33" t="s">
        <v>237</v>
      </c>
      <c r="K3" s="33" t="s">
        <v>237</v>
      </c>
      <c r="L3" s="33" t="s">
        <v>237</v>
      </c>
      <c r="M3" s="33" t="s">
        <v>237</v>
      </c>
      <c r="N3" s="33" t="s">
        <v>237</v>
      </c>
      <c r="O3" s="33" t="s">
        <v>237</v>
      </c>
      <c r="P3" s="33" t="s">
        <v>237</v>
      </c>
      <c r="Q3" s="33" t="s">
        <v>237</v>
      </c>
      <c r="R3" s="33" t="s">
        <v>237</v>
      </c>
      <c r="S3" s="33" t="s">
        <v>237</v>
      </c>
      <c r="T3" s="33" t="s">
        <v>237</v>
      </c>
      <c r="U3" s="33" t="s">
        <v>237</v>
      </c>
      <c r="V3" s="33" t="s">
        <v>237</v>
      </c>
      <c r="W3" s="33" t="s">
        <v>237</v>
      </c>
      <c r="X3" s="33" t="s">
        <v>237</v>
      </c>
      <c r="Y3" s="33" t="s">
        <v>237</v>
      </c>
      <c r="Z3" s="33" t="s">
        <v>237</v>
      </c>
      <c r="AA3" s="33" t="s">
        <v>237</v>
      </c>
      <c r="AB3" s="33" t="s">
        <v>237</v>
      </c>
      <c r="AC3" s="33" t="s">
        <v>237</v>
      </c>
      <c r="AD3" s="33" t="s">
        <v>237</v>
      </c>
      <c r="AE3" s="33" t="s">
        <v>165</v>
      </c>
      <c r="AF3" s="33" t="s">
        <v>165</v>
      </c>
      <c r="AG3" s="33" t="s">
        <v>165</v>
      </c>
      <c r="AH3" s="33" t="s">
        <v>165</v>
      </c>
      <c r="AI3" s="33" t="s">
        <v>165</v>
      </c>
      <c r="AJ3" s="33" t="s">
        <v>165</v>
      </c>
      <c r="AK3" s="33" t="s">
        <v>165</v>
      </c>
    </row>
    <row r="4" spans="1:37" ht="16">
      <c r="A4" s="32" t="s">
        <v>157</v>
      </c>
      <c r="B4" s="33" t="s">
        <v>237</v>
      </c>
      <c r="C4" s="33" t="s">
        <v>237</v>
      </c>
      <c r="D4" s="33" t="s">
        <v>237</v>
      </c>
      <c r="E4" s="33" t="s">
        <v>237</v>
      </c>
      <c r="F4" s="33" t="s">
        <v>237</v>
      </c>
      <c r="G4" s="33" t="s">
        <v>237</v>
      </c>
      <c r="H4" s="33" t="s">
        <v>237</v>
      </c>
      <c r="I4" s="33" t="s">
        <v>237</v>
      </c>
      <c r="J4" s="33" t="s">
        <v>237</v>
      </c>
      <c r="K4" s="33" t="s">
        <v>237</v>
      </c>
      <c r="L4" s="33" t="s">
        <v>237</v>
      </c>
      <c r="M4" s="33" t="s">
        <v>237</v>
      </c>
      <c r="N4" s="33" t="s">
        <v>237</v>
      </c>
      <c r="O4" s="33" t="s">
        <v>237</v>
      </c>
      <c r="P4" s="33" t="s">
        <v>237</v>
      </c>
      <c r="Q4" s="33" t="s">
        <v>237</v>
      </c>
      <c r="R4" s="33" t="s">
        <v>237</v>
      </c>
      <c r="S4" s="33" t="s">
        <v>237</v>
      </c>
      <c r="T4" s="33" t="s">
        <v>237</v>
      </c>
      <c r="U4" s="33" t="s">
        <v>237</v>
      </c>
      <c r="V4" s="33" t="s">
        <v>237</v>
      </c>
      <c r="W4" s="33" t="s">
        <v>237</v>
      </c>
      <c r="X4" s="33" t="s">
        <v>237</v>
      </c>
      <c r="Y4" s="33" t="s">
        <v>237</v>
      </c>
      <c r="Z4" s="33" t="s">
        <v>237</v>
      </c>
      <c r="AA4" s="33" t="s">
        <v>237</v>
      </c>
      <c r="AB4" s="33" t="s">
        <v>237</v>
      </c>
      <c r="AC4" s="33" t="s">
        <v>237</v>
      </c>
      <c r="AD4" s="33" t="s">
        <v>237</v>
      </c>
      <c r="AE4" s="33" t="s">
        <v>165</v>
      </c>
      <c r="AF4" s="33" t="s">
        <v>165</v>
      </c>
      <c r="AG4" s="33" t="s">
        <v>165</v>
      </c>
      <c r="AH4" s="33" t="s">
        <v>165</v>
      </c>
      <c r="AI4" s="33" t="s">
        <v>165</v>
      </c>
      <c r="AJ4" s="33" t="s">
        <v>165</v>
      </c>
      <c r="AK4" s="33" t="s">
        <v>165</v>
      </c>
    </row>
    <row r="5" spans="1:37" ht="16">
      <c r="A5" s="32" t="s">
        <v>218</v>
      </c>
      <c r="B5" s="33" t="s">
        <v>237</v>
      </c>
      <c r="C5" s="33" t="s">
        <v>237</v>
      </c>
      <c r="D5" s="33" t="s">
        <v>237</v>
      </c>
      <c r="E5" s="33" t="s">
        <v>237</v>
      </c>
      <c r="F5" s="33" t="s">
        <v>237</v>
      </c>
      <c r="G5" s="33" t="s">
        <v>237</v>
      </c>
      <c r="H5" s="33" t="s">
        <v>237</v>
      </c>
      <c r="I5" s="33" t="s">
        <v>237</v>
      </c>
      <c r="J5" s="33" t="s">
        <v>237</v>
      </c>
      <c r="K5" s="33" t="s">
        <v>237</v>
      </c>
      <c r="L5" s="33" t="s">
        <v>237</v>
      </c>
      <c r="M5" s="33" t="s">
        <v>237</v>
      </c>
      <c r="N5" s="33" t="s">
        <v>237</v>
      </c>
      <c r="O5" s="33" t="s">
        <v>237</v>
      </c>
      <c r="P5" s="33" t="s">
        <v>237</v>
      </c>
      <c r="Q5" s="33" t="s">
        <v>237</v>
      </c>
      <c r="R5" s="33" t="s">
        <v>237</v>
      </c>
      <c r="S5" s="33" t="s">
        <v>237</v>
      </c>
      <c r="T5" s="33" t="s">
        <v>237</v>
      </c>
      <c r="U5" s="33" t="s">
        <v>237</v>
      </c>
      <c r="V5" s="33" t="s">
        <v>237</v>
      </c>
      <c r="W5" s="33" t="s">
        <v>237</v>
      </c>
      <c r="X5" s="33" t="s">
        <v>237</v>
      </c>
      <c r="Y5" s="33" t="s">
        <v>237</v>
      </c>
      <c r="Z5" s="33" t="s">
        <v>237</v>
      </c>
      <c r="AA5" s="33" t="s">
        <v>237</v>
      </c>
      <c r="AB5" s="33" t="s">
        <v>237</v>
      </c>
      <c r="AC5" s="33" t="s">
        <v>237</v>
      </c>
      <c r="AD5" s="33" t="s">
        <v>237</v>
      </c>
      <c r="AE5" s="33" t="s">
        <v>165</v>
      </c>
      <c r="AF5" s="33" t="s">
        <v>165</v>
      </c>
      <c r="AG5" s="33" t="s">
        <v>165</v>
      </c>
      <c r="AH5" s="33" t="s">
        <v>165</v>
      </c>
      <c r="AI5" s="33" t="s">
        <v>165</v>
      </c>
      <c r="AJ5" s="33" t="s">
        <v>165</v>
      </c>
      <c r="AK5" s="33" t="s">
        <v>165</v>
      </c>
    </row>
    <row r="6" spans="1:37" ht="16">
      <c r="A6" s="32" t="s">
        <v>3041</v>
      </c>
      <c r="B6" s="33" t="s">
        <v>237</v>
      </c>
      <c r="C6" s="33" t="s">
        <v>237</v>
      </c>
      <c r="D6" s="33" t="s">
        <v>237</v>
      </c>
      <c r="E6" s="33" t="s">
        <v>237</v>
      </c>
      <c r="F6" s="33" t="s">
        <v>237</v>
      </c>
      <c r="G6" s="33" t="s">
        <v>237</v>
      </c>
      <c r="H6" s="33" t="s">
        <v>237</v>
      </c>
      <c r="I6" s="33" t="s">
        <v>237</v>
      </c>
      <c r="J6" s="33" t="s">
        <v>237</v>
      </c>
      <c r="K6" s="33" t="s">
        <v>237</v>
      </c>
      <c r="L6" s="33" t="s">
        <v>237</v>
      </c>
      <c r="M6" s="33" t="s">
        <v>237</v>
      </c>
      <c r="N6" s="33" t="s">
        <v>237</v>
      </c>
      <c r="O6" s="33" t="s">
        <v>237</v>
      </c>
      <c r="P6" s="33" t="s">
        <v>237</v>
      </c>
      <c r="Q6" s="33" t="s">
        <v>237</v>
      </c>
      <c r="R6" s="33" t="s">
        <v>237</v>
      </c>
      <c r="S6" s="33" t="s">
        <v>237</v>
      </c>
      <c r="T6" s="33" t="s">
        <v>237</v>
      </c>
      <c r="U6" s="33" t="s">
        <v>237</v>
      </c>
      <c r="V6" s="33" t="s">
        <v>237</v>
      </c>
      <c r="W6" s="33" t="s">
        <v>237</v>
      </c>
      <c r="X6" s="33" t="s">
        <v>237</v>
      </c>
      <c r="Y6" s="33" t="s">
        <v>237</v>
      </c>
      <c r="Z6" s="33" t="s">
        <v>237</v>
      </c>
      <c r="AA6" s="33" t="s">
        <v>237</v>
      </c>
      <c r="AB6" s="33" t="s">
        <v>237</v>
      </c>
      <c r="AC6" s="33" t="s">
        <v>237</v>
      </c>
      <c r="AD6" s="33" t="s">
        <v>237</v>
      </c>
      <c r="AE6" s="33" t="s">
        <v>165</v>
      </c>
      <c r="AF6" s="33" t="s">
        <v>165</v>
      </c>
      <c r="AG6" s="33" t="s">
        <v>165</v>
      </c>
      <c r="AH6" s="33" t="s">
        <v>165</v>
      </c>
      <c r="AI6" s="33" t="s">
        <v>165</v>
      </c>
      <c r="AJ6" s="33" t="s">
        <v>165</v>
      </c>
      <c r="AK6" s="33" t="s">
        <v>165</v>
      </c>
    </row>
    <row r="7" spans="1:37" ht="16">
      <c r="A7" s="32" t="s">
        <v>4077</v>
      </c>
      <c r="B7" s="33" t="s">
        <v>237</v>
      </c>
      <c r="C7" s="33" t="s">
        <v>237</v>
      </c>
      <c r="D7" s="33" t="s">
        <v>237</v>
      </c>
      <c r="E7" s="33" t="s">
        <v>237</v>
      </c>
      <c r="F7" s="33" t="s">
        <v>237</v>
      </c>
      <c r="G7" s="33" t="s">
        <v>237</v>
      </c>
      <c r="H7" s="33" t="s">
        <v>237</v>
      </c>
      <c r="I7" s="33" t="s">
        <v>237</v>
      </c>
      <c r="J7" s="33" t="s">
        <v>237</v>
      </c>
      <c r="K7" s="33" t="s">
        <v>237</v>
      </c>
      <c r="L7" s="33" t="s">
        <v>237</v>
      </c>
      <c r="M7" s="33" t="s">
        <v>237</v>
      </c>
      <c r="N7" s="33" t="s">
        <v>237</v>
      </c>
      <c r="O7" s="33" t="s">
        <v>237</v>
      </c>
      <c r="P7" s="33" t="s">
        <v>237</v>
      </c>
      <c r="Q7" s="33" t="s">
        <v>237</v>
      </c>
      <c r="R7" s="33" t="s">
        <v>237</v>
      </c>
      <c r="S7" s="33" t="s">
        <v>237</v>
      </c>
      <c r="T7" s="33" t="s">
        <v>237</v>
      </c>
      <c r="U7" s="33" t="s">
        <v>237</v>
      </c>
      <c r="V7" s="33" t="s">
        <v>237</v>
      </c>
      <c r="W7" s="33" t="s">
        <v>237</v>
      </c>
      <c r="X7" s="33" t="s">
        <v>237</v>
      </c>
      <c r="Y7" s="33" t="s">
        <v>237</v>
      </c>
      <c r="Z7" s="33" t="s">
        <v>237</v>
      </c>
      <c r="AA7" s="33" t="s">
        <v>237</v>
      </c>
      <c r="AB7" s="33" t="s">
        <v>237</v>
      </c>
      <c r="AC7" s="33" t="s">
        <v>237</v>
      </c>
      <c r="AD7" s="33" t="s">
        <v>237</v>
      </c>
      <c r="AE7" s="33" t="s">
        <v>165</v>
      </c>
      <c r="AF7" s="33" t="s">
        <v>165</v>
      </c>
      <c r="AG7" s="33" t="s">
        <v>165</v>
      </c>
      <c r="AH7" s="33" t="s">
        <v>165</v>
      </c>
      <c r="AI7" s="33" t="s">
        <v>165</v>
      </c>
      <c r="AJ7" s="33" t="s">
        <v>165</v>
      </c>
      <c r="AK7" s="33" t="s">
        <v>165</v>
      </c>
    </row>
    <row r="8" spans="1:37" ht="16">
      <c r="A8" s="32" t="s">
        <v>4078</v>
      </c>
      <c r="B8" s="33" t="s">
        <v>237</v>
      </c>
      <c r="C8" s="33" t="s">
        <v>237</v>
      </c>
      <c r="D8" s="33" t="s">
        <v>237</v>
      </c>
      <c r="E8" s="33" t="s">
        <v>237</v>
      </c>
      <c r="F8" s="33" t="s">
        <v>237</v>
      </c>
      <c r="G8" s="33" t="s">
        <v>237</v>
      </c>
      <c r="H8" s="33" t="s">
        <v>237</v>
      </c>
      <c r="I8" s="33" t="s">
        <v>237</v>
      </c>
      <c r="J8" s="33" t="s">
        <v>237</v>
      </c>
      <c r="K8" s="33" t="s">
        <v>237</v>
      </c>
      <c r="L8" s="33" t="s">
        <v>237</v>
      </c>
      <c r="M8" s="33" t="s">
        <v>237</v>
      </c>
      <c r="N8" s="33" t="s">
        <v>237</v>
      </c>
      <c r="O8" s="33" t="s">
        <v>237</v>
      </c>
      <c r="P8" s="33" t="s">
        <v>237</v>
      </c>
      <c r="Q8" s="33" t="s">
        <v>237</v>
      </c>
      <c r="R8" s="33" t="s">
        <v>237</v>
      </c>
      <c r="S8" s="33" t="s">
        <v>237</v>
      </c>
      <c r="T8" s="33" t="s">
        <v>237</v>
      </c>
      <c r="U8" s="33" t="s">
        <v>237</v>
      </c>
      <c r="V8" s="33" t="s">
        <v>237</v>
      </c>
      <c r="W8" s="33" t="s">
        <v>237</v>
      </c>
      <c r="X8" s="33" t="s">
        <v>237</v>
      </c>
      <c r="Y8" s="33" t="s">
        <v>237</v>
      </c>
      <c r="Z8" s="33" t="s">
        <v>237</v>
      </c>
      <c r="AA8" s="33" t="s">
        <v>237</v>
      </c>
      <c r="AB8" s="33" t="s">
        <v>237</v>
      </c>
      <c r="AC8" s="33" t="s">
        <v>237</v>
      </c>
      <c r="AD8" s="33" t="s">
        <v>237</v>
      </c>
      <c r="AE8" s="33" t="s">
        <v>165</v>
      </c>
      <c r="AF8" s="33" t="s">
        <v>165</v>
      </c>
      <c r="AG8" s="33" t="s">
        <v>165</v>
      </c>
      <c r="AH8" s="33" t="s">
        <v>165</v>
      </c>
      <c r="AI8" s="33" t="s">
        <v>165</v>
      </c>
      <c r="AJ8" s="33" t="s">
        <v>165</v>
      </c>
      <c r="AK8" s="33" t="s">
        <v>165</v>
      </c>
    </row>
    <row r="9" spans="1:37" ht="16">
      <c r="A9" s="32" t="s">
        <v>118</v>
      </c>
      <c r="B9" s="33" t="s">
        <v>237</v>
      </c>
      <c r="C9" s="33" t="s">
        <v>237</v>
      </c>
      <c r="D9" s="33" t="s">
        <v>237</v>
      </c>
      <c r="E9" s="33" t="s">
        <v>237</v>
      </c>
      <c r="F9" s="33" t="s">
        <v>237</v>
      </c>
      <c r="G9" s="33" t="s">
        <v>237</v>
      </c>
      <c r="H9" s="33" t="s">
        <v>237</v>
      </c>
      <c r="I9" s="33" t="s">
        <v>237</v>
      </c>
      <c r="J9" s="33" t="s">
        <v>237</v>
      </c>
      <c r="K9" s="33" t="s">
        <v>237</v>
      </c>
      <c r="L9" s="33" t="s">
        <v>237</v>
      </c>
      <c r="M9" s="33" t="s">
        <v>237</v>
      </c>
      <c r="N9" s="33" t="s">
        <v>237</v>
      </c>
      <c r="O9" s="33" t="s">
        <v>237</v>
      </c>
      <c r="P9" s="33" t="s">
        <v>237</v>
      </c>
      <c r="Q9" s="33" t="s">
        <v>237</v>
      </c>
      <c r="R9" s="33" t="s">
        <v>237</v>
      </c>
      <c r="S9" s="33" t="s">
        <v>237</v>
      </c>
      <c r="T9" s="33" t="s">
        <v>237</v>
      </c>
      <c r="U9" s="33" t="s">
        <v>237</v>
      </c>
      <c r="V9" s="33" t="s">
        <v>237</v>
      </c>
      <c r="W9" s="33" t="s">
        <v>237</v>
      </c>
      <c r="X9" s="33" t="s">
        <v>237</v>
      </c>
      <c r="Y9" s="33" t="s">
        <v>237</v>
      </c>
      <c r="Z9" s="33" t="s">
        <v>237</v>
      </c>
      <c r="AA9" s="33" t="s">
        <v>237</v>
      </c>
      <c r="AB9" s="33" t="s">
        <v>237</v>
      </c>
      <c r="AC9" s="33" t="s">
        <v>237</v>
      </c>
      <c r="AD9" s="33" t="s">
        <v>237</v>
      </c>
      <c r="AE9" s="33" t="s">
        <v>165</v>
      </c>
      <c r="AF9" s="33" t="s">
        <v>165</v>
      </c>
      <c r="AG9" s="33" t="s">
        <v>165</v>
      </c>
      <c r="AH9" s="33" t="s">
        <v>165</v>
      </c>
      <c r="AI9" s="33" t="s">
        <v>165</v>
      </c>
      <c r="AJ9" s="33" t="s">
        <v>165</v>
      </c>
      <c r="AK9" s="33" t="s">
        <v>165</v>
      </c>
    </row>
    <row r="10" spans="1:37" ht="16">
      <c r="A10" s="32" t="s">
        <v>237</v>
      </c>
      <c r="B10" s="33" t="s">
        <v>237</v>
      </c>
      <c r="C10" s="33" t="s">
        <v>237</v>
      </c>
      <c r="D10" s="33" t="s">
        <v>237</v>
      </c>
      <c r="E10" s="33" t="s">
        <v>237</v>
      </c>
      <c r="F10" s="33" t="s">
        <v>237</v>
      </c>
      <c r="G10" s="33" t="s">
        <v>237</v>
      </c>
      <c r="H10" s="33" t="s">
        <v>237</v>
      </c>
      <c r="I10" s="33" t="s">
        <v>237</v>
      </c>
      <c r="J10" s="33" t="s">
        <v>237</v>
      </c>
      <c r="K10" s="33" t="s">
        <v>237</v>
      </c>
      <c r="L10" s="33" t="s">
        <v>237</v>
      </c>
      <c r="M10" s="33" t="s">
        <v>237</v>
      </c>
      <c r="N10" s="33" t="s">
        <v>237</v>
      </c>
      <c r="O10" s="33" t="s">
        <v>237</v>
      </c>
      <c r="P10" s="33" t="s">
        <v>237</v>
      </c>
      <c r="Q10" s="33" t="s">
        <v>237</v>
      </c>
      <c r="R10" s="33" t="s">
        <v>237</v>
      </c>
      <c r="S10" s="33" t="s">
        <v>237</v>
      </c>
      <c r="T10" s="33" t="s">
        <v>237</v>
      </c>
      <c r="U10" s="33" t="s">
        <v>237</v>
      </c>
      <c r="V10" s="33" t="s">
        <v>237</v>
      </c>
      <c r="W10" s="33" t="s">
        <v>237</v>
      </c>
      <c r="X10" s="33" t="s">
        <v>237</v>
      </c>
      <c r="Y10" s="33" t="s">
        <v>237</v>
      </c>
      <c r="Z10" s="33" t="s">
        <v>237</v>
      </c>
      <c r="AA10" s="33" t="s">
        <v>237</v>
      </c>
      <c r="AB10" s="33" t="s">
        <v>237</v>
      </c>
      <c r="AC10" s="33" t="s">
        <v>237</v>
      </c>
      <c r="AD10" s="33" t="s">
        <v>237</v>
      </c>
      <c r="AE10" s="33" t="s">
        <v>165</v>
      </c>
      <c r="AF10" s="33" t="s">
        <v>165</v>
      </c>
      <c r="AG10" s="33" t="s">
        <v>165</v>
      </c>
      <c r="AH10" s="33" t="s">
        <v>165</v>
      </c>
      <c r="AI10" s="33" t="s">
        <v>165</v>
      </c>
      <c r="AJ10" s="33" t="s">
        <v>165</v>
      </c>
      <c r="AK10" s="33" t="s">
        <v>165</v>
      </c>
    </row>
    <row r="11" spans="1:37" ht="16">
      <c r="A11" s="32" t="s">
        <v>224</v>
      </c>
      <c r="B11" s="33" t="s">
        <v>237</v>
      </c>
      <c r="C11" s="33" t="s">
        <v>237</v>
      </c>
      <c r="D11" s="33" t="s">
        <v>237</v>
      </c>
      <c r="E11" s="33" t="s">
        <v>237</v>
      </c>
      <c r="F11" s="33" t="s">
        <v>237</v>
      </c>
      <c r="G11" s="33" t="s">
        <v>237</v>
      </c>
      <c r="H11" s="33" t="s">
        <v>237</v>
      </c>
      <c r="I11" s="33" t="s">
        <v>237</v>
      </c>
      <c r="J11" s="33" t="s">
        <v>237</v>
      </c>
      <c r="K11" s="33" t="s">
        <v>237</v>
      </c>
      <c r="L11" s="33" t="s">
        <v>237</v>
      </c>
      <c r="M11" s="33" t="s">
        <v>237</v>
      </c>
      <c r="N11" s="33" t="s">
        <v>237</v>
      </c>
      <c r="O11" s="33" t="s">
        <v>237</v>
      </c>
      <c r="P11" s="33" t="s">
        <v>237</v>
      </c>
      <c r="Q11" s="33" t="s">
        <v>237</v>
      </c>
      <c r="R11" s="33" t="s">
        <v>237</v>
      </c>
      <c r="S11" s="33" t="s">
        <v>237</v>
      </c>
      <c r="T11" s="33" t="s">
        <v>237</v>
      </c>
      <c r="U11" s="33" t="s">
        <v>237</v>
      </c>
      <c r="V11" s="33" t="s">
        <v>237</v>
      </c>
      <c r="W11" s="33" t="s">
        <v>237</v>
      </c>
      <c r="X11" s="33" t="s">
        <v>237</v>
      </c>
      <c r="Y11" s="33" t="s">
        <v>237</v>
      </c>
      <c r="Z11" s="33" t="s">
        <v>237</v>
      </c>
      <c r="AA11" s="33" t="s">
        <v>237</v>
      </c>
      <c r="AB11" s="33" t="s">
        <v>237</v>
      </c>
      <c r="AC11" s="33" t="s">
        <v>237</v>
      </c>
      <c r="AD11" s="33" t="s">
        <v>237</v>
      </c>
      <c r="AE11" s="33" t="s">
        <v>165</v>
      </c>
      <c r="AF11" s="33" t="s">
        <v>165</v>
      </c>
      <c r="AG11" s="33" t="s">
        <v>165</v>
      </c>
      <c r="AH11" s="33" t="s">
        <v>165</v>
      </c>
      <c r="AI11" s="33" t="s">
        <v>165</v>
      </c>
      <c r="AJ11" s="33" t="s">
        <v>165</v>
      </c>
      <c r="AK11" s="33" t="s">
        <v>165</v>
      </c>
    </row>
    <row r="12" spans="1:37" ht="16">
      <c r="A12" s="32" t="s">
        <v>230</v>
      </c>
      <c r="B12" s="33" t="s">
        <v>237</v>
      </c>
      <c r="C12" s="33" t="s">
        <v>237</v>
      </c>
      <c r="D12" s="33" t="s">
        <v>237</v>
      </c>
      <c r="E12" s="33" t="s">
        <v>237</v>
      </c>
      <c r="F12" s="33" t="s">
        <v>237</v>
      </c>
      <c r="G12" s="33" t="s">
        <v>237</v>
      </c>
      <c r="H12" s="33" t="s">
        <v>237</v>
      </c>
      <c r="I12" s="33" t="s">
        <v>237</v>
      </c>
      <c r="J12" s="33" t="s">
        <v>237</v>
      </c>
      <c r="K12" s="33" t="s">
        <v>237</v>
      </c>
      <c r="L12" s="33" t="s">
        <v>237</v>
      </c>
      <c r="M12" s="33" t="s">
        <v>237</v>
      </c>
      <c r="N12" s="33" t="s">
        <v>237</v>
      </c>
      <c r="O12" s="33" t="s">
        <v>237</v>
      </c>
      <c r="P12" s="33" t="s">
        <v>237</v>
      </c>
      <c r="Q12" s="33" t="s">
        <v>237</v>
      </c>
      <c r="R12" s="33" t="s">
        <v>237</v>
      </c>
      <c r="S12" s="33" t="s">
        <v>237</v>
      </c>
      <c r="T12" s="33" t="s">
        <v>237</v>
      </c>
      <c r="U12" s="33" t="s">
        <v>237</v>
      </c>
      <c r="V12" s="33" t="s">
        <v>237</v>
      </c>
      <c r="W12" s="33" t="s">
        <v>237</v>
      </c>
      <c r="X12" s="33" t="s">
        <v>237</v>
      </c>
      <c r="Y12" s="33" t="s">
        <v>237</v>
      </c>
      <c r="Z12" s="33" t="s">
        <v>237</v>
      </c>
      <c r="AA12" s="33" t="s">
        <v>237</v>
      </c>
      <c r="AB12" s="33" t="s">
        <v>237</v>
      </c>
      <c r="AC12" s="33" t="s">
        <v>237</v>
      </c>
      <c r="AD12" s="33" t="s">
        <v>237</v>
      </c>
      <c r="AE12" s="33" t="s">
        <v>165</v>
      </c>
      <c r="AF12" s="33" t="s">
        <v>165</v>
      </c>
      <c r="AG12" s="33" t="s">
        <v>165</v>
      </c>
      <c r="AH12" s="33" t="s">
        <v>165</v>
      </c>
      <c r="AI12" s="33" t="s">
        <v>165</v>
      </c>
      <c r="AJ12" s="33" t="s">
        <v>165</v>
      </c>
      <c r="AK12" s="33" t="s">
        <v>165</v>
      </c>
    </row>
    <row r="13" spans="1:37" ht="16">
      <c r="A13" s="32" t="s">
        <v>4007</v>
      </c>
      <c r="B13" s="33" t="s">
        <v>237</v>
      </c>
      <c r="C13" s="33" t="s">
        <v>237</v>
      </c>
      <c r="D13" s="33" t="s">
        <v>237</v>
      </c>
      <c r="E13" s="33" t="s">
        <v>237</v>
      </c>
      <c r="F13" s="33" t="s">
        <v>237</v>
      </c>
      <c r="G13" s="33" t="s">
        <v>237</v>
      </c>
      <c r="H13" s="33" t="s">
        <v>237</v>
      </c>
      <c r="I13" s="33" t="s">
        <v>237</v>
      </c>
      <c r="J13" s="33" t="s">
        <v>237</v>
      </c>
      <c r="K13" s="33" t="s">
        <v>237</v>
      </c>
      <c r="L13" s="33" t="s">
        <v>237</v>
      </c>
      <c r="M13" s="33" t="s">
        <v>237</v>
      </c>
      <c r="N13" s="33" t="s">
        <v>237</v>
      </c>
      <c r="O13" s="33" t="s">
        <v>237</v>
      </c>
      <c r="P13" s="33" t="s">
        <v>237</v>
      </c>
      <c r="Q13" s="33" t="s">
        <v>237</v>
      </c>
      <c r="R13" s="33" t="s">
        <v>237</v>
      </c>
      <c r="S13" s="33" t="s">
        <v>237</v>
      </c>
      <c r="T13" s="33" t="s">
        <v>237</v>
      </c>
      <c r="U13" s="33" t="s">
        <v>237</v>
      </c>
      <c r="V13" s="33" t="s">
        <v>237</v>
      </c>
      <c r="W13" s="33" t="s">
        <v>237</v>
      </c>
      <c r="X13" s="33" t="s">
        <v>237</v>
      </c>
      <c r="Y13" s="33" t="s">
        <v>237</v>
      </c>
      <c r="Z13" s="33" t="s">
        <v>237</v>
      </c>
      <c r="AA13" s="33" t="s">
        <v>237</v>
      </c>
      <c r="AB13" s="33" t="s">
        <v>237</v>
      </c>
      <c r="AC13" s="33" t="s">
        <v>237</v>
      </c>
      <c r="AD13" s="33" t="s">
        <v>237</v>
      </c>
      <c r="AE13" s="33" t="s">
        <v>165</v>
      </c>
      <c r="AF13" s="33" t="s">
        <v>165</v>
      </c>
      <c r="AG13" s="33" t="s">
        <v>165</v>
      </c>
      <c r="AH13" s="33" t="s">
        <v>165</v>
      </c>
      <c r="AI13" s="33" t="s">
        <v>165</v>
      </c>
      <c r="AJ13" s="33" t="s">
        <v>165</v>
      </c>
      <c r="AK13" s="33" t="s">
        <v>165</v>
      </c>
    </row>
    <row r="14" spans="1:37" ht="16">
      <c r="A14" s="32" t="s">
        <v>1316</v>
      </c>
      <c r="B14" s="33" t="s">
        <v>237</v>
      </c>
      <c r="C14" s="33" t="s">
        <v>237</v>
      </c>
      <c r="D14" s="33" t="s">
        <v>237</v>
      </c>
      <c r="E14" s="33" t="s">
        <v>237</v>
      </c>
      <c r="F14" s="33" t="s">
        <v>237</v>
      </c>
      <c r="G14" s="33" t="s">
        <v>237</v>
      </c>
      <c r="H14" s="33" t="s">
        <v>237</v>
      </c>
      <c r="I14" s="33" t="s">
        <v>237</v>
      </c>
      <c r="J14" s="33" t="s">
        <v>237</v>
      </c>
      <c r="K14" s="33" t="s">
        <v>237</v>
      </c>
      <c r="L14" s="33" t="s">
        <v>237</v>
      </c>
      <c r="M14" s="33" t="s">
        <v>237</v>
      </c>
      <c r="N14" s="33" t="s">
        <v>237</v>
      </c>
      <c r="O14" s="33" t="s">
        <v>237</v>
      </c>
      <c r="P14" s="33" t="s">
        <v>237</v>
      </c>
      <c r="Q14" s="33" t="s">
        <v>237</v>
      </c>
      <c r="R14" s="33" t="s">
        <v>237</v>
      </c>
      <c r="S14" s="33" t="s">
        <v>237</v>
      </c>
      <c r="T14" s="33" t="s">
        <v>237</v>
      </c>
      <c r="U14" s="33" t="s">
        <v>237</v>
      </c>
      <c r="V14" s="33" t="s">
        <v>237</v>
      </c>
      <c r="W14" s="33" t="s">
        <v>237</v>
      </c>
      <c r="X14" s="33" t="s">
        <v>237</v>
      </c>
      <c r="Y14" s="33" t="s">
        <v>237</v>
      </c>
      <c r="Z14" s="33" t="s">
        <v>165</v>
      </c>
      <c r="AA14" s="33" t="s">
        <v>165</v>
      </c>
      <c r="AB14" s="33" t="s">
        <v>165</v>
      </c>
      <c r="AC14" s="33" t="s">
        <v>165</v>
      </c>
      <c r="AD14" s="33" t="s">
        <v>165</v>
      </c>
      <c r="AE14" s="33" t="s">
        <v>165</v>
      </c>
      <c r="AF14" s="33" t="s">
        <v>165</v>
      </c>
      <c r="AG14" s="33" t="s">
        <v>165</v>
      </c>
      <c r="AH14" s="33" t="s">
        <v>165</v>
      </c>
      <c r="AI14" s="33" t="s">
        <v>165</v>
      </c>
      <c r="AJ14" s="33" t="s">
        <v>165</v>
      </c>
      <c r="AK14" s="33" t="s">
        <v>165</v>
      </c>
    </row>
    <row r="15" spans="1:37" ht="16">
      <c r="A15" s="32" t="s">
        <v>294</v>
      </c>
      <c r="B15" s="33" t="s">
        <v>237</v>
      </c>
      <c r="C15" s="33" t="s">
        <v>237</v>
      </c>
      <c r="D15" s="33" t="s">
        <v>237</v>
      </c>
      <c r="E15" s="33" t="s">
        <v>237</v>
      </c>
      <c r="F15" s="33" t="s">
        <v>237</v>
      </c>
      <c r="G15" s="33" t="s">
        <v>237</v>
      </c>
      <c r="H15" s="33" t="s">
        <v>237</v>
      </c>
      <c r="I15" s="33" t="s">
        <v>237</v>
      </c>
      <c r="J15" s="33" t="s">
        <v>237</v>
      </c>
      <c r="K15" s="33" t="s">
        <v>237</v>
      </c>
      <c r="L15" s="33" t="s">
        <v>237</v>
      </c>
      <c r="M15" s="33" t="s">
        <v>237</v>
      </c>
      <c r="N15" s="33" t="s">
        <v>237</v>
      </c>
      <c r="O15" s="33" t="s">
        <v>237</v>
      </c>
      <c r="P15" s="33" t="s">
        <v>237</v>
      </c>
      <c r="Q15" s="33" t="s">
        <v>237</v>
      </c>
      <c r="R15" s="33" t="s">
        <v>237</v>
      </c>
      <c r="S15" s="33" t="s">
        <v>237</v>
      </c>
      <c r="T15" s="33" t="s">
        <v>237</v>
      </c>
      <c r="U15" s="33" t="s">
        <v>237</v>
      </c>
      <c r="V15" s="33" t="s">
        <v>237</v>
      </c>
      <c r="W15" s="33" t="s">
        <v>237</v>
      </c>
      <c r="X15" s="33" t="s">
        <v>237</v>
      </c>
      <c r="Y15" s="33" t="s">
        <v>237</v>
      </c>
      <c r="Z15" s="33" t="s">
        <v>165</v>
      </c>
      <c r="AA15" s="33" t="s">
        <v>165</v>
      </c>
      <c r="AB15" s="33" t="s">
        <v>165</v>
      </c>
      <c r="AC15" s="33" t="s">
        <v>165</v>
      </c>
      <c r="AD15" s="33" t="s">
        <v>165</v>
      </c>
      <c r="AE15" s="33" t="s">
        <v>165</v>
      </c>
      <c r="AF15" s="33" t="s">
        <v>165</v>
      </c>
      <c r="AG15" s="33" t="s">
        <v>165</v>
      </c>
      <c r="AH15" s="33" t="s">
        <v>165</v>
      </c>
      <c r="AI15" s="33" t="s">
        <v>165</v>
      </c>
      <c r="AJ15" s="33" t="s">
        <v>165</v>
      </c>
      <c r="AK15" s="33" t="s">
        <v>165</v>
      </c>
    </row>
    <row r="16" spans="1:37" ht="16">
      <c r="A16" s="32" t="s">
        <v>619</v>
      </c>
      <c r="B16" s="33" t="s">
        <v>237</v>
      </c>
      <c r="C16" s="33" t="s">
        <v>237</v>
      </c>
      <c r="D16" s="33" t="s">
        <v>237</v>
      </c>
      <c r="E16" s="33" t="s">
        <v>237</v>
      </c>
      <c r="F16" s="33" t="s">
        <v>237</v>
      </c>
      <c r="G16" s="33" t="s">
        <v>237</v>
      </c>
      <c r="H16" s="33" t="s">
        <v>237</v>
      </c>
      <c r="I16" s="33" t="s">
        <v>237</v>
      </c>
      <c r="J16" s="33" t="s">
        <v>237</v>
      </c>
      <c r="K16" s="33" t="s">
        <v>237</v>
      </c>
      <c r="L16" s="33" t="s">
        <v>237</v>
      </c>
      <c r="M16" s="33" t="s">
        <v>237</v>
      </c>
      <c r="N16" s="33" t="s">
        <v>237</v>
      </c>
      <c r="O16" s="33" t="s">
        <v>237</v>
      </c>
      <c r="P16" s="33" t="s">
        <v>237</v>
      </c>
      <c r="Q16" s="33" t="s">
        <v>237</v>
      </c>
      <c r="R16" s="33" t="s">
        <v>237</v>
      </c>
      <c r="S16" s="33" t="s">
        <v>237</v>
      </c>
      <c r="T16" s="33" t="s">
        <v>237</v>
      </c>
      <c r="U16" s="33" t="s">
        <v>237</v>
      </c>
      <c r="V16" s="33" t="s">
        <v>237</v>
      </c>
      <c r="W16" s="33" t="s">
        <v>237</v>
      </c>
      <c r="X16" s="33" t="s">
        <v>237</v>
      </c>
      <c r="Y16" s="33" t="s">
        <v>237</v>
      </c>
      <c r="Z16" s="33" t="s">
        <v>165</v>
      </c>
      <c r="AA16" s="33" t="s">
        <v>165</v>
      </c>
      <c r="AB16" s="33" t="s">
        <v>165</v>
      </c>
      <c r="AC16" s="33" t="s">
        <v>165</v>
      </c>
      <c r="AD16" s="33" t="s">
        <v>165</v>
      </c>
      <c r="AE16" s="33" t="s">
        <v>165</v>
      </c>
      <c r="AF16" s="33" t="s">
        <v>165</v>
      </c>
      <c r="AG16" s="33" t="s">
        <v>165</v>
      </c>
      <c r="AH16" s="33" t="s">
        <v>165</v>
      </c>
      <c r="AI16" s="33" t="s">
        <v>165</v>
      </c>
      <c r="AJ16" s="33" t="s">
        <v>165</v>
      </c>
      <c r="AK16" s="33" t="s">
        <v>165</v>
      </c>
    </row>
    <row r="17" spans="1:37" ht="16">
      <c r="A17" s="32" t="s">
        <v>1133</v>
      </c>
      <c r="B17" s="33" t="s">
        <v>237</v>
      </c>
      <c r="C17" s="33" t="s">
        <v>237</v>
      </c>
      <c r="D17" s="33" t="s">
        <v>237</v>
      </c>
      <c r="E17" s="33" t="s">
        <v>237</v>
      </c>
      <c r="F17" s="33" t="s">
        <v>237</v>
      </c>
      <c r="G17" s="33" t="s">
        <v>237</v>
      </c>
      <c r="H17" s="33" t="s">
        <v>237</v>
      </c>
      <c r="I17" s="33" t="s">
        <v>237</v>
      </c>
      <c r="J17" s="33" t="s">
        <v>237</v>
      </c>
      <c r="K17" s="33" t="s">
        <v>237</v>
      </c>
      <c r="L17" s="33" t="s">
        <v>237</v>
      </c>
      <c r="M17" s="33" t="s">
        <v>237</v>
      </c>
      <c r="N17" s="33" t="s">
        <v>237</v>
      </c>
      <c r="O17" s="33" t="s">
        <v>237</v>
      </c>
      <c r="P17" s="33" t="s">
        <v>237</v>
      </c>
      <c r="Q17" s="33" t="s">
        <v>237</v>
      </c>
      <c r="R17" s="33" t="s">
        <v>237</v>
      </c>
      <c r="S17" s="33" t="s">
        <v>237</v>
      </c>
      <c r="T17" s="33" t="s">
        <v>237</v>
      </c>
      <c r="U17" s="33" t="s">
        <v>237</v>
      </c>
      <c r="V17" s="33" t="s">
        <v>237</v>
      </c>
      <c r="W17" s="33" t="s">
        <v>237</v>
      </c>
      <c r="X17" s="33" t="s">
        <v>237</v>
      </c>
      <c r="Y17" s="33" t="s">
        <v>237</v>
      </c>
      <c r="Z17" s="33" t="s">
        <v>165</v>
      </c>
      <c r="AA17" s="33" t="s">
        <v>165</v>
      </c>
      <c r="AB17" s="33" t="s">
        <v>165</v>
      </c>
      <c r="AC17" s="33" t="s">
        <v>165</v>
      </c>
      <c r="AD17" s="33" t="s">
        <v>165</v>
      </c>
      <c r="AE17" s="33" t="s">
        <v>165</v>
      </c>
      <c r="AF17" s="33" t="s">
        <v>165</v>
      </c>
      <c r="AG17" s="33" t="s">
        <v>165</v>
      </c>
      <c r="AH17" s="33" t="s">
        <v>165</v>
      </c>
      <c r="AI17" s="33" t="s">
        <v>165</v>
      </c>
      <c r="AJ17" s="33" t="s">
        <v>165</v>
      </c>
      <c r="AK17" s="33" t="s">
        <v>165</v>
      </c>
    </row>
    <row r="18" spans="1:37" ht="16">
      <c r="A18" s="32" t="s">
        <v>148</v>
      </c>
      <c r="B18" s="33" t="s">
        <v>237</v>
      </c>
      <c r="C18" s="33" t="s">
        <v>237</v>
      </c>
      <c r="D18" s="33" t="s">
        <v>237</v>
      </c>
      <c r="E18" s="33" t="s">
        <v>237</v>
      </c>
      <c r="F18" s="33" t="s">
        <v>237</v>
      </c>
      <c r="G18" s="33" t="s">
        <v>237</v>
      </c>
      <c r="H18" s="33" t="s">
        <v>237</v>
      </c>
      <c r="I18" s="33" t="s">
        <v>237</v>
      </c>
      <c r="J18" s="33" t="s">
        <v>237</v>
      </c>
      <c r="K18" s="33" t="s">
        <v>237</v>
      </c>
      <c r="L18" s="33" t="s">
        <v>237</v>
      </c>
      <c r="M18" s="33" t="s">
        <v>237</v>
      </c>
      <c r="N18" s="33" t="s">
        <v>237</v>
      </c>
      <c r="O18" s="33" t="s">
        <v>237</v>
      </c>
      <c r="P18" s="33" t="s">
        <v>237</v>
      </c>
      <c r="Q18" s="33" t="s">
        <v>237</v>
      </c>
      <c r="R18" s="33" t="s">
        <v>237</v>
      </c>
      <c r="S18" s="33" t="s">
        <v>237</v>
      </c>
      <c r="T18" s="33" t="s">
        <v>237</v>
      </c>
      <c r="U18" s="33" t="s">
        <v>237</v>
      </c>
      <c r="V18" s="33" t="s">
        <v>237</v>
      </c>
      <c r="W18" s="33" t="s">
        <v>237</v>
      </c>
      <c r="X18" s="33" t="s">
        <v>237</v>
      </c>
      <c r="Y18" s="33" t="s">
        <v>237</v>
      </c>
      <c r="Z18" s="33" t="s">
        <v>165</v>
      </c>
      <c r="AA18" s="33" t="s">
        <v>165</v>
      </c>
      <c r="AB18" s="33" t="s">
        <v>165</v>
      </c>
      <c r="AC18" s="33" t="s">
        <v>165</v>
      </c>
      <c r="AD18" s="33" t="s">
        <v>165</v>
      </c>
      <c r="AE18" s="33" t="s">
        <v>165</v>
      </c>
      <c r="AF18" s="33" t="s">
        <v>165</v>
      </c>
      <c r="AG18" s="33" t="s">
        <v>165</v>
      </c>
      <c r="AH18" s="33" t="s">
        <v>165</v>
      </c>
      <c r="AI18" s="33" t="s">
        <v>165</v>
      </c>
      <c r="AJ18" s="33" t="s">
        <v>165</v>
      </c>
      <c r="AK18" s="33" t="s">
        <v>165</v>
      </c>
    </row>
    <row r="19" spans="1:37" ht="16">
      <c r="A19" s="32" t="s">
        <v>207</v>
      </c>
      <c r="B19" s="33" t="s">
        <v>237</v>
      </c>
      <c r="C19" s="33" t="s">
        <v>237</v>
      </c>
      <c r="D19" s="33" t="s">
        <v>237</v>
      </c>
      <c r="E19" s="33" t="s">
        <v>237</v>
      </c>
      <c r="F19" s="33" t="s">
        <v>237</v>
      </c>
      <c r="G19" s="33" t="s">
        <v>237</v>
      </c>
      <c r="H19" s="33" t="s">
        <v>237</v>
      </c>
      <c r="I19" s="33" t="s">
        <v>237</v>
      </c>
      <c r="J19" s="33" t="s">
        <v>237</v>
      </c>
      <c r="K19" s="33" t="s">
        <v>237</v>
      </c>
      <c r="L19" s="33" t="s">
        <v>237</v>
      </c>
      <c r="M19" s="33" t="s">
        <v>237</v>
      </c>
      <c r="N19" s="33" t="s">
        <v>237</v>
      </c>
      <c r="O19" s="33" t="s">
        <v>237</v>
      </c>
      <c r="P19" s="33" t="s">
        <v>237</v>
      </c>
      <c r="Q19" s="33" t="s">
        <v>237</v>
      </c>
      <c r="R19" s="33" t="s">
        <v>237</v>
      </c>
      <c r="S19" s="33" t="s">
        <v>237</v>
      </c>
      <c r="T19" s="33" t="s">
        <v>237</v>
      </c>
      <c r="U19" s="33" t="s">
        <v>237</v>
      </c>
      <c r="V19" s="33" t="s">
        <v>237</v>
      </c>
      <c r="W19" s="33" t="s">
        <v>237</v>
      </c>
      <c r="X19" s="33" t="s">
        <v>237</v>
      </c>
      <c r="Y19" s="33" t="s">
        <v>237</v>
      </c>
      <c r="Z19" s="33" t="s">
        <v>165</v>
      </c>
      <c r="AA19" s="33" t="s">
        <v>165</v>
      </c>
      <c r="AB19" s="33" t="s">
        <v>165</v>
      </c>
      <c r="AC19" s="33" t="s">
        <v>165</v>
      </c>
      <c r="AD19" s="33" t="s">
        <v>165</v>
      </c>
      <c r="AE19" s="33" t="s">
        <v>165</v>
      </c>
      <c r="AF19" s="33" t="s">
        <v>165</v>
      </c>
      <c r="AG19" s="33" t="s">
        <v>165</v>
      </c>
      <c r="AH19" s="33" t="s">
        <v>165</v>
      </c>
      <c r="AI19" s="33" t="s">
        <v>165</v>
      </c>
      <c r="AJ19" s="33" t="s">
        <v>165</v>
      </c>
      <c r="AK19" s="33" t="s">
        <v>165</v>
      </c>
    </row>
    <row r="20" spans="1:37" ht="16">
      <c r="A20" s="32" t="s">
        <v>307</v>
      </c>
      <c r="B20" s="33" t="s">
        <v>237</v>
      </c>
      <c r="C20" s="33" t="s">
        <v>237</v>
      </c>
      <c r="D20" s="33" t="s">
        <v>237</v>
      </c>
      <c r="E20" s="33" t="s">
        <v>237</v>
      </c>
      <c r="F20" s="33" t="s">
        <v>237</v>
      </c>
      <c r="G20" s="33" t="s">
        <v>237</v>
      </c>
      <c r="H20" s="33" t="s">
        <v>237</v>
      </c>
      <c r="I20" s="33" t="s">
        <v>237</v>
      </c>
      <c r="J20" s="33" t="s">
        <v>237</v>
      </c>
      <c r="K20" s="33" t="s">
        <v>237</v>
      </c>
      <c r="L20" s="33" t="s">
        <v>237</v>
      </c>
      <c r="M20" s="33" t="s">
        <v>237</v>
      </c>
      <c r="N20" s="33" t="s">
        <v>237</v>
      </c>
      <c r="O20" s="33" t="s">
        <v>237</v>
      </c>
      <c r="P20" s="33" t="s">
        <v>237</v>
      </c>
      <c r="Q20" s="33" t="s">
        <v>237</v>
      </c>
      <c r="R20" s="33" t="s">
        <v>237</v>
      </c>
      <c r="S20" s="33" t="s">
        <v>237</v>
      </c>
      <c r="T20" s="33" t="s">
        <v>237</v>
      </c>
      <c r="U20" s="33" t="s">
        <v>237</v>
      </c>
      <c r="V20" s="33" t="s">
        <v>237</v>
      </c>
      <c r="W20" s="33" t="s">
        <v>237</v>
      </c>
      <c r="X20" s="33" t="s">
        <v>237</v>
      </c>
      <c r="Y20" s="33" t="s">
        <v>237</v>
      </c>
      <c r="Z20" s="33" t="s">
        <v>165</v>
      </c>
      <c r="AA20" s="33" t="s">
        <v>165</v>
      </c>
      <c r="AB20" s="33" t="s">
        <v>165</v>
      </c>
      <c r="AC20" s="33" t="s">
        <v>165</v>
      </c>
      <c r="AD20" s="33" t="s">
        <v>165</v>
      </c>
      <c r="AE20" s="33" t="s">
        <v>165</v>
      </c>
      <c r="AF20" s="33" t="s">
        <v>165</v>
      </c>
      <c r="AG20" s="33" t="s">
        <v>165</v>
      </c>
      <c r="AH20" s="33" t="s">
        <v>165</v>
      </c>
      <c r="AI20" s="33" t="s">
        <v>165</v>
      </c>
      <c r="AJ20" s="33" t="s">
        <v>165</v>
      </c>
      <c r="AK20" s="33" t="s">
        <v>165</v>
      </c>
    </row>
    <row r="21" spans="1:37" ht="16">
      <c r="A21" s="32" t="s">
        <v>3550</v>
      </c>
      <c r="B21" s="33" t="s">
        <v>237</v>
      </c>
      <c r="C21" s="33" t="s">
        <v>237</v>
      </c>
      <c r="D21" s="33" t="s">
        <v>237</v>
      </c>
      <c r="E21" s="33" t="s">
        <v>237</v>
      </c>
      <c r="F21" s="33" t="s">
        <v>237</v>
      </c>
      <c r="G21" s="33" t="s">
        <v>237</v>
      </c>
      <c r="H21" s="33" t="s">
        <v>237</v>
      </c>
      <c r="I21" s="33" t="s">
        <v>237</v>
      </c>
      <c r="J21" s="33" t="s">
        <v>237</v>
      </c>
      <c r="K21" s="33" t="s">
        <v>237</v>
      </c>
      <c r="L21" s="33" t="s">
        <v>237</v>
      </c>
      <c r="M21" s="33" t="s">
        <v>237</v>
      </c>
      <c r="N21" s="33" t="s">
        <v>237</v>
      </c>
      <c r="O21" s="33" t="s">
        <v>237</v>
      </c>
      <c r="P21" s="33" t="s">
        <v>237</v>
      </c>
      <c r="Q21" s="33" t="s">
        <v>237</v>
      </c>
      <c r="R21" s="33" t="s">
        <v>237</v>
      </c>
      <c r="S21" s="33" t="s">
        <v>237</v>
      </c>
      <c r="T21" s="33" t="s">
        <v>237</v>
      </c>
      <c r="U21" s="33" t="s">
        <v>237</v>
      </c>
      <c r="V21" s="33" t="s">
        <v>237</v>
      </c>
      <c r="W21" s="33" t="s">
        <v>237</v>
      </c>
      <c r="X21" s="33" t="s">
        <v>237</v>
      </c>
      <c r="Y21" s="33" t="s">
        <v>237</v>
      </c>
      <c r="Z21" s="33" t="s">
        <v>237</v>
      </c>
      <c r="AA21" s="33" t="s">
        <v>237</v>
      </c>
      <c r="AB21" s="33" t="s">
        <v>237</v>
      </c>
      <c r="AC21" s="33" t="s">
        <v>237</v>
      </c>
      <c r="AD21" s="33" t="s">
        <v>237</v>
      </c>
      <c r="AE21" s="33" t="s">
        <v>165</v>
      </c>
      <c r="AF21" s="33" t="s">
        <v>165</v>
      </c>
      <c r="AG21" s="33" t="s">
        <v>165</v>
      </c>
      <c r="AH21" s="33" t="s">
        <v>165</v>
      </c>
      <c r="AI21" s="33" t="s">
        <v>165</v>
      </c>
      <c r="AJ21" s="33" t="s">
        <v>165</v>
      </c>
      <c r="AK21" s="33" t="s">
        <v>165</v>
      </c>
    </row>
    <row r="22" spans="1:37" ht="16">
      <c r="A22" s="32" t="s">
        <v>314</v>
      </c>
      <c r="B22" s="33" t="s">
        <v>237</v>
      </c>
      <c r="C22" s="33" t="s">
        <v>237</v>
      </c>
      <c r="D22" s="33" t="s">
        <v>237</v>
      </c>
      <c r="E22" s="33" t="s">
        <v>237</v>
      </c>
      <c r="F22" s="33" t="s">
        <v>237</v>
      </c>
      <c r="G22" s="33" t="s">
        <v>237</v>
      </c>
      <c r="H22" s="33" t="s">
        <v>237</v>
      </c>
      <c r="I22" s="33" t="s">
        <v>237</v>
      </c>
      <c r="J22" s="33" t="s">
        <v>237</v>
      </c>
      <c r="K22" s="33" t="s">
        <v>237</v>
      </c>
      <c r="L22" s="33" t="s">
        <v>237</v>
      </c>
      <c r="M22" s="33" t="s">
        <v>237</v>
      </c>
      <c r="N22" s="33" t="s">
        <v>237</v>
      </c>
      <c r="O22" s="33" t="s">
        <v>237</v>
      </c>
      <c r="P22" s="33" t="s">
        <v>237</v>
      </c>
      <c r="Q22" s="33" t="s">
        <v>237</v>
      </c>
      <c r="R22" s="33" t="s">
        <v>237</v>
      </c>
      <c r="S22" s="33" t="s">
        <v>237</v>
      </c>
      <c r="T22" s="33" t="s">
        <v>237</v>
      </c>
      <c r="U22" s="33" t="s">
        <v>237</v>
      </c>
      <c r="V22" s="33" t="s">
        <v>237</v>
      </c>
      <c r="W22" s="33" t="s">
        <v>237</v>
      </c>
      <c r="X22" s="33" t="s">
        <v>237</v>
      </c>
      <c r="Y22" s="33" t="s">
        <v>237</v>
      </c>
      <c r="Z22" s="33" t="s">
        <v>237</v>
      </c>
      <c r="AA22" s="33" t="s">
        <v>237</v>
      </c>
      <c r="AB22" s="33" t="s">
        <v>237</v>
      </c>
      <c r="AC22" s="33" t="s">
        <v>237</v>
      </c>
      <c r="AD22" s="33" t="s">
        <v>237</v>
      </c>
      <c r="AE22" s="33" t="s">
        <v>165</v>
      </c>
      <c r="AF22" s="33" t="s">
        <v>165</v>
      </c>
      <c r="AG22" s="33" t="s">
        <v>165</v>
      </c>
      <c r="AH22" s="33" t="s">
        <v>165</v>
      </c>
      <c r="AI22" s="33" t="s">
        <v>165</v>
      </c>
      <c r="AJ22" s="33" t="s">
        <v>165</v>
      </c>
      <c r="AK22" s="33" t="s">
        <v>165</v>
      </c>
    </row>
    <row r="23" spans="1:37" ht="16">
      <c r="A23" s="32" t="s">
        <v>387</v>
      </c>
      <c r="B23" s="33" t="s">
        <v>237</v>
      </c>
      <c r="C23" s="33" t="s">
        <v>237</v>
      </c>
      <c r="D23" s="33" t="s">
        <v>237</v>
      </c>
      <c r="E23" s="33" t="s">
        <v>237</v>
      </c>
      <c r="F23" s="33" t="s">
        <v>237</v>
      </c>
      <c r="G23" s="33" t="s">
        <v>237</v>
      </c>
      <c r="H23" s="33" t="s">
        <v>237</v>
      </c>
      <c r="I23" s="33" t="s">
        <v>237</v>
      </c>
      <c r="J23" s="33" t="s">
        <v>237</v>
      </c>
      <c r="K23" s="33" t="s">
        <v>237</v>
      </c>
      <c r="L23" s="33" t="s">
        <v>237</v>
      </c>
      <c r="M23" s="33" t="s">
        <v>237</v>
      </c>
      <c r="N23" s="33" t="s">
        <v>237</v>
      </c>
      <c r="O23" s="33" t="s">
        <v>237</v>
      </c>
      <c r="P23" s="33" t="s">
        <v>237</v>
      </c>
      <c r="Q23" s="33" t="s">
        <v>237</v>
      </c>
      <c r="R23" s="33" t="s">
        <v>237</v>
      </c>
      <c r="S23" s="33" t="s">
        <v>237</v>
      </c>
      <c r="T23" s="33" t="s">
        <v>237</v>
      </c>
      <c r="U23" s="33" t="s">
        <v>237</v>
      </c>
      <c r="V23" s="33" t="s">
        <v>237</v>
      </c>
      <c r="W23" s="33" t="s">
        <v>237</v>
      </c>
      <c r="X23" s="33" t="s">
        <v>237</v>
      </c>
      <c r="Y23" s="33" t="s">
        <v>237</v>
      </c>
      <c r="Z23" s="33" t="s">
        <v>237</v>
      </c>
      <c r="AA23" s="33" t="s">
        <v>237</v>
      </c>
      <c r="AB23" s="33" t="s">
        <v>237</v>
      </c>
      <c r="AC23" s="33" t="s">
        <v>237</v>
      </c>
      <c r="AD23" s="33" t="s">
        <v>237</v>
      </c>
      <c r="AE23" s="33" t="s">
        <v>165</v>
      </c>
      <c r="AF23" s="33" t="s">
        <v>165</v>
      </c>
      <c r="AG23" s="33" t="s">
        <v>165</v>
      </c>
      <c r="AH23" s="33" t="s">
        <v>165</v>
      </c>
      <c r="AI23" s="33" t="s">
        <v>165</v>
      </c>
      <c r="AJ23" s="33" t="s">
        <v>165</v>
      </c>
      <c r="AK23" s="33" t="s">
        <v>165</v>
      </c>
    </row>
    <row r="24" spans="1:37" ht="16">
      <c r="A24" s="32" t="s">
        <v>346</v>
      </c>
      <c r="B24" s="33" t="s">
        <v>237</v>
      </c>
      <c r="C24" s="33" t="s">
        <v>237</v>
      </c>
      <c r="D24" s="33" t="s">
        <v>237</v>
      </c>
      <c r="E24" s="33" t="s">
        <v>237</v>
      </c>
      <c r="F24" s="33" t="s">
        <v>237</v>
      </c>
      <c r="G24" s="33" t="s">
        <v>237</v>
      </c>
      <c r="H24" s="33" t="s">
        <v>237</v>
      </c>
      <c r="I24" s="33" t="s">
        <v>237</v>
      </c>
      <c r="J24" s="33" t="s">
        <v>237</v>
      </c>
      <c r="K24" s="33" t="s">
        <v>237</v>
      </c>
      <c r="L24" s="33" t="s">
        <v>237</v>
      </c>
      <c r="M24" s="33" t="s">
        <v>237</v>
      </c>
      <c r="N24" s="33" t="s">
        <v>237</v>
      </c>
      <c r="O24" s="33" t="s">
        <v>237</v>
      </c>
      <c r="P24" s="33" t="s">
        <v>237</v>
      </c>
      <c r="Q24" s="33" t="s">
        <v>237</v>
      </c>
      <c r="R24" s="33" t="s">
        <v>237</v>
      </c>
      <c r="S24" s="33" t="s">
        <v>237</v>
      </c>
      <c r="T24" s="33" t="s">
        <v>237</v>
      </c>
      <c r="U24" s="33" t="s">
        <v>237</v>
      </c>
      <c r="V24" s="33" t="s">
        <v>237</v>
      </c>
      <c r="W24" s="33" t="s">
        <v>237</v>
      </c>
      <c r="X24" s="33" t="s">
        <v>237</v>
      </c>
      <c r="Y24" s="33" t="s">
        <v>237</v>
      </c>
      <c r="Z24" s="33" t="s">
        <v>237</v>
      </c>
      <c r="AA24" s="33" t="s">
        <v>237</v>
      </c>
      <c r="AB24" s="33" t="s">
        <v>237</v>
      </c>
      <c r="AC24" s="33" t="s">
        <v>237</v>
      </c>
      <c r="AD24" s="33" t="s">
        <v>237</v>
      </c>
      <c r="AE24" s="33" t="s">
        <v>165</v>
      </c>
      <c r="AF24" s="33" t="s">
        <v>165</v>
      </c>
      <c r="AG24" s="33" t="s">
        <v>165</v>
      </c>
      <c r="AH24" s="33" t="s">
        <v>165</v>
      </c>
      <c r="AI24" s="33" t="s">
        <v>165</v>
      </c>
      <c r="AJ24" s="33" t="s">
        <v>165</v>
      </c>
      <c r="AK24" s="33" t="s">
        <v>165</v>
      </c>
    </row>
    <row r="25" spans="1:37" ht="16">
      <c r="A25" s="32" t="s">
        <v>249</v>
      </c>
      <c r="B25" s="33" t="s">
        <v>237</v>
      </c>
      <c r="C25" s="33" t="s">
        <v>237</v>
      </c>
      <c r="D25" s="33" t="s">
        <v>237</v>
      </c>
      <c r="E25" s="33" t="s">
        <v>237</v>
      </c>
      <c r="F25" s="33" t="s">
        <v>237</v>
      </c>
      <c r="G25" s="33" t="s">
        <v>237</v>
      </c>
      <c r="H25" s="33" t="s">
        <v>237</v>
      </c>
      <c r="I25" s="33" t="s">
        <v>237</v>
      </c>
      <c r="J25" s="33" t="s">
        <v>237</v>
      </c>
      <c r="K25" s="33" t="s">
        <v>237</v>
      </c>
      <c r="L25" s="33" t="s">
        <v>237</v>
      </c>
      <c r="M25" s="33" t="s">
        <v>237</v>
      </c>
      <c r="N25" s="33" t="s">
        <v>237</v>
      </c>
      <c r="O25" s="33" t="s">
        <v>237</v>
      </c>
      <c r="P25" s="33" t="s">
        <v>237</v>
      </c>
      <c r="Q25" s="33" t="s">
        <v>237</v>
      </c>
      <c r="R25" s="33" t="s">
        <v>237</v>
      </c>
      <c r="S25" s="33" t="s">
        <v>237</v>
      </c>
      <c r="T25" s="33" t="s">
        <v>237</v>
      </c>
      <c r="U25" s="33" t="s">
        <v>237</v>
      </c>
      <c r="V25" s="33" t="s">
        <v>237</v>
      </c>
      <c r="W25" s="33" t="s">
        <v>237</v>
      </c>
      <c r="X25" s="33" t="s">
        <v>237</v>
      </c>
      <c r="Y25" s="33" t="s">
        <v>237</v>
      </c>
      <c r="Z25" s="33" t="s">
        <v>237</v>
      </c>
      <c r="AA25" s="33" t="s">
        <v>237</v>
      </c>
      <c r="AB25" s="33" t="s">
        <v>237</v>
      </c>
      <c r="AC25" s="33" t="s">
        <v>237</v>
      </c>
      <c r="AD25" s="33" t="s">
        <v>237</v>
      </c>
      <c r="AE25" s="33" t="s">
        <v>165</v>
      </c>
      <c r="AF25" s="33" t="s">
        <v>165</v>
      </c>
      <c r="AG25" s="33" t="s">
        <v>165</v>
      </c>
      <c r="AH25" s="33" t="s">
        <v>165</v>
      </c>
      <c r="AI25" s="33" t="s">
        <v>165</v>
      </c>
      <c r="AJ25" s="33" t="s">
        <v>165</v>
      </c>
      <c r="AK25" s="33" t="s">
        <v>165</v>
      </c>
    </row>
    <row r="26" spans="1:37" ht="16">
      <c r="A26" s="32" t="s">
        <v>266</v>
      </c>
      <c r="B26" s="33" t="s">
        <v>237</v>
      </c>
      <c r="C26" s="33" t="s">
        <v>237</v>
      </c>
      <c r="D26" s="33" t="s">
        <v>237</v>
      </c>
      <c r="E26" s="33" t="s">
        <v>237</v>
      </c>
      <c r="F26" s="33" t="s">
        <v>237</v>
      </c>
      <c r="G26" s="33" t="s">
        <v>237</v>
      </c>
      <c r="H26" s="33" t="s">
        <v>237</v>
      </c>
      <c r="I26" s="33" t="s">
        <v>237</v>
      </c>
      <c r="J26" s="33" t="s">
        <v>237</v>
      </c>
      <c r="K26" s="33" t="s">
        <v>237</v>
      </c>
      <c r="L26" s="33" t="s">
        <v>237</v>
      </c>
      <c r="M26" s="33" t="s">
        <v>237</v>
      </c>
      <c r="N26" s="33" t="s">
        <v>165</v>
      </c>
      <c r="O26" s="33" t="s">
        <v>165</v>
      </c>
      <c r="P26" s="33" t="s">
        <v>165</v>
      </c>
      <c r="Q26" s="33" t="s">
        <v>165</v>
      </c>
      <c r="R26" s="33" t="s">
        <v>165</v>
      </c>
      <c r="S26" s="33" t="s">
        <v>165</v>
      </c>
      <c r="T26" s="33" t="s">
        <v>165</v>
      </c>
      <c r="U26" s="33" t="s">
        <v>237</v>
      </c>
      <c r="V26" s="33" t="s">
        <v>237</v>
      </c>
      <c r="W26" s="33" t="s">
        <v>237</v>
      </c>
      <c r="X26" s="33" t="s">
        <v>237</v>
      </c>
      <c r="Y26" s="33" t="s">
        <v>237</v>
      </c>
      <c r="Z26" s="33" t="s">
        <v>237</v>
      </c>
      <c r="AA26" s="33" t="s">
        <v>237</v>
      </c>
      <c r="AB26" s="33" t="s">
        <v>237</v>
      </c>
      <c r="AC26" s="33" t="s">
        <v>237</v>
      </c>
      <c r="AD26" s="33" t="s">
        <v>237</v>
      </c>
      <c r="AE26" s="33" t="s">
        <v>165</v>
      </c>
      <c r="AF26" s="33" t="s">
        <v>165</v>
      </c>
      <c r="AG26" s="33" t="s">
        <v>165</v>
      </c>
      <c r="AH26" s="33" t="s">
        <v>165</v>
      </c>
      <c r="AI26" s="33" t="s">
        <v>165</v>
      </c>
      <c r="AJ26" s="33" t="s">
        <v>165</v>
      </c>
      <c r="AK26" s="33" t="s">
        <v>165</v>
      </c>
    </row>
    <row r="27" spans="1:37" ht="16">
      <c r="A27" s="32" t="s">
        <v>4079</v>
      </c>
      <c r="B27" s="33" t="s">
        <v>237</v>
      </c>
      <c r="C27" s="33" t="s">
        <v>237</v>
      </c>
      <c r="D27" s="33" t="s">
        <v>237</v>
      </c>
      <c r="E27" s="33" t="s">
        <v>237</v>
      </c>
      <c r="F27" s="33" t="s">
        <v>237</v>
      </c>
      <c r="G27" s="33" t="s">
        <v>237</v>
      </c>
      <c r="H27" s="33" t="s">
        <v>237</v>
      </c>
      <c r="I27" s="33" t="s">
        <v>237</v>
      </c>
      <c r="J27" s="33" t="s">
        <v>237</v>
      </c>
      <c r="K27" s="33" t="s">
        <v>237</v>
      </c>
      <c r="L27" s="33" t="s">
        <v>237</v>
      </c>
      <c r="M27" s="33" t="s">
        <v>237</v>
      </c>
      <c r="N27" s="33" t="s">
        <v>165</v>
      </c>
      <c r="O27" s="33" t="s">
        <v>165</v>
      </c>
      <c r="P27" s="33" t="s">
        <v>165</v>
      </c>
      <c r="Q27" s="33" t="s">
        <v>165</v>
      </c>
      <c r="R27" s="33" t="s">
        <v>165</v>
      </c>
      <c r="S27" s="33" t="s">
        <v>165</v>
      </c>
      <c r="T27" s="33" t="s">
        <v>165</v>
      </c>
      <c r="U27" s="33" t="s">
        <v>237</v>
      </c>
      <c r="V27" s="33" t="s">
        <v>237</v>
      </c>
      <c r="W27" s="33" t="s">
        <v>237</v>
      </c>
      <c r="X27" s="33" t="s">
        <v>237</v>
      </c>
      <c r="Y27" s="33" t="s">
        <v>237</v>
      </c>
      <c r="Z27" s="33" t="s">
        <v>237</v>
      </c>
      <c r="AA27" s="33" t="s">
        <v>237</v>
      </c>
      <c r="AB27" s="33" t="s">
        <v>237</v>
      </c>
      <c r="AC27" s="33" t="s">
        <v>237</v>
      </c>
      <c r="AD27" s="33" t="s">
        <v>237</v>
      </c>
      <c r="AE27" s="33" t="s">
        <v>165</v>
      </c>
      <c r="AF27" s="33" t="s">
        <v>165</v>
      </c>
      <c r="AG27" s="33" t="s">
        <v>165</v>
      </c>
      <c r="AH27" s="33" t="s">
        <v>165</v>
      </c>
      <c r="AI27" s="33" t="s">
        <v>165</v>
      </c>
      <c r="AJ27" s="33" t="s">
        <v>165</v>
      </c>
      <c r="AK27" s="33" t="s">
        <v>165</v>
      </c>
    </row>
    <row r="28" spans="1:37" ht="16">
      <c r="A28" s="32" t="s">
        <v>990</v>
      </c>
      <c r="B28" s="33" t="s">
        <v>237</v>
      </c>
      <c r="C28" s="33" t="s">
        <v>237</v>
      </c>
      <c r="D28" s="33" t="s">
        <v>237</v>
      </c>
      <c r="E28" s="33" t="s">
        <v>237</v>
      </c>
      <c r="F28" s="33" t="s">
        <v>237</v>
      </c>
      <c r="G28" s="33" t="s">
        <v>237</v>
      </c>
      <c r="H28" s="33" t="s">
        <v>237</v>
      </c>
      <c r="I28" s="33" t="s">
        <v>237</v>
      </c>
      <c r="J28" s="33" t="s">
        <v>237</v>
      </c>
      <c r="K28" s="33" t="s">
        <v>237</v>
      </c>
      <c r="L28" s="33" t="s">
        <v>237</v>
      </c>
      <c r="M28" s="33" t="s">
        <v>237</v>
      </c>
      <c r="N28" s="33" t="s">
        <v>165</v>
      </c>
      <c r="O28" s="33" t="s">
        <v>165</v>
      </c>
      <c r="P28" s="33" t="s">
        <v>165</v>
      </c>
      <c r="Q28" s="33" t="s">
        <v>165</v>
      </c>
      <c r="R28" s="33" t="s">
        <v>165</v>
      </c>
      <c r="S28" s="33" t="s">
        <v>165</v>
      </c>
      <c r="T28" s="33" t="s">
        <v>165</v>
      </c>
      <c r="U28" s="33" t="s">
        <v>237</v>
      </c>
      <c r="V28" s="33" t="s">
        <v>237</v>
      </c>
      <c r="W28" s="33" t="s">
        <v>237</v>
      </c>
      <c r="X28" s="33" t="s">
        <v>237</v>
      </c>
      <c r="Y28" s="33" t="s">
        <v>237</v>
      </c>
      <c r="Z28" s="33" t="s">
        <v>237</v>
      </c>
      <c r="AA28" s="33" t="s">
        <v>237</v>
      </c>
      <c r="AB28" s="33" t="s">
        <v>237</v>
      </c>
      <c r="AC28" s="33" t="s">
        <v>237</v>
      </c>
      <c r="AD28" s="33" t="s">
        <v>237</v>
      </c>
      <c r="AE28" s="33" t="s">
        <v>165</v>
      </c>
      <c r="AF28" s="33" t="s">
        <v>165</v>
      </c>
      <c r="AG28" s="33" t="s">
        <v>165</v>
      </c>
      <c r="AH28" s="33" t="s">
        <v>165</v>
      </c>
      <c r="AI28" s="33" t="s">
        <v>165</v>
      </c>
      <c r="AJ28" s="33" t="s">
        <v>165</v>
      </c>
      <c r="AK28" s="33" t="s">
        <v>165</v>
      </c>
    </row>
    <row r="29" spans="1:37" ht="16">
      <c r="A29" s="32" t="s">
        <v>244</v>
      </c>
      <c r="B29" s="33" t="s">
        <v>237</v>
      </c>
      <c r="C29" s="33" t="s">
        <v>237</v>
      </c>
      <c r="D29" s="33" t="s">
        <v>237</v>
      </c>
      <c r="E29" s="33" t="s">
        <v>237</v>
      </c>
      <c r="F29" s="33" t="s">
        <v>237</v>
      </c>
      <c r="G29" s="33" t="s">
        <v>237</v>
      </c>
      <c r="H29" s="33" t="s">
        <v>237</v>
      </c>
      <c r="I29" s="33" t="s">
        <v>237</v>
      </c>
      <c r="J29" s="33" t="s">
        <v>237</v>
      </c>
      <c r="K29" s="33" t="s">
        <v>237</v>
      </c>
      <c r="L29" s="33" t="s">
        <v>237</v>
      </c>
      <c r="M29" s="33" t="s">
        <v>237</v>
      </c>
      <c r="N29" s="33" t="s">
        <v>165</v>
      </c>
      <c r="O29" s="33" t="s">
        <v>165</v>
      </c>
      <c r="P29" s="33" t="s">
        <v>165</v>
      </c>
      <c r="Q29" s="33" t="s">
        <v>165</v>
      </c>
      <c r="R29" s="33" t="s">
        <v>165</v>
      </c>
      <c r="S29" s="33" t="s">
        <v>165</v>
      </c>
      <c r="T29" s="33" t="s">
        <v>165</v>
      </c>
      <c r="U29" s="33" t="s">
        <v>237</v>
      </c>
      <c r="V29" s="33" t="s">
        <v>237</v>
      </c>
      <c r="W29" s="33" t="s">
        <v>237</v>
      </c>
      <c r="X29" s="33" t="s">
        <v>237</v>
      </c>
      <c r="Y29" s="33" t="s">
        <v>237</v>
      </c>
      <c r="Z29" s="33" t="s">
        <v>237</v>
      </c>
      <c r="AA29" s="33" t="s">
        <v>237</v>
      </c>
      <c r="AB29" s="33" t="s">
        <v>237</v>
      </c>
      <c r="AC29" s="33" t="s">
        <v>237</v>
      </c>
      <c r="AD29" s="33" t="s">
        <v>237</v>
      </c>
      <c r="AE29" s="33" t="s">
        <v>165</v>
      </c>
      <c r="AF29" s="33" t="s">
        <v>165</v>
      </c>
      <c r="AG29" s="33" t="s">
        <v>165</v>
      </c>
      <c r="AH29" s="33" t="s">
        <v>165</v>
      </c>
      <c r="AI29" s="33" t="s">
        <v>165</v>
      </c>
      <c r="AJ29" s="33" t="s">
        <v>165</v>
      </c>
      <c r="AK29" s="33" t="s">
        <v>165</v>
      </c>
    </row>
    <row r="30" spans="1:37" ht="16">
      <c r="A30" s="32" t="s">
        <v>165</v>
      </c>
      <c r="B30" s="33" t="s">
        <v>237</v>
      </c>
      <c r="C30" s="33" t="s">
        <v>237</v>
      </c>
      <c r="D30" s="33" t="s">
        <v>237</v>
      </c>
      <c r="E30" s="33" t="s">
        <v>237</v>
      </c>
      <c r="F30" s="33" t="s">
        <v>237</v>
      </c>
      <c r="G30" s="33" t="s">
        <v>237</v>
      </c>
      <c r="H30" s="33" t="s">
        <v>237</v>
      </c>
      <c r="I30" s="33" t="s">
        <v>237</v>
      </c>
      <c r="J30" s="33" t="s">
        <v>237</v>
      </c>
      <c r="K30" s="33" t="s">
        <v>237</v>
      </c>
      <c r="L30" s="33" t="s">
        <v>237</v>
      </c>
      <c r="M30" s="33" t="s">
        <v>237</v>
      </c>
      <c r="N30" s="33" t="s">
        <v>165</v>
      </c>
      <c r="O30" s="33" t="s">
        <v>165</v>
      </c>
      <c r="P30" s="33" t="s">
        <v>165</v>
      </c>
      <c r="Q30" s="33" t="s">
        <v>165</v>
      </c>
      <c r="R30" s="33" t="s">
        <v>165</v>
      </c>
      <c r="S30" s="33" t="s">
        <v>165</v>
      </c>
      <c r="T30" s="33" t="s">
        <v>165</v>
      </c>
      <c r="U30" s="33" t="s">
        <v>237</v>
      </c>
      <c r="V30" s="33" t="s">
        <v>237</v>
      </c>
      <c r="W30" s="33" t="s">
        <v>237</v>
      </c>
      <c r="X30" s="33" t="s">
        <v>237</v>
      </c>
      <c r="Y30" s="33" t="s">
        <v>237</v>
      </c>
      <c r="Z30" s="33" t="s">
        <v>237</v>
      </c>
      <c r="AA30" s="33" t="s">
        <v>237</v>
      </c>
      <c r="AB30" s="33" t="s">
        <v>237</v>
      </c>
      <c r="AC30" s="33" t="s">
        <v>237</v>
      </c>
      <c r="AD30" s="33" t="s">
        <v>237</v>
      </c>
      <c r="AE30" s="33" t="s">
        <v>165</v>
      </c>
      <c r="AF30" s="33" t="s">
        <v>165</v>
      </c>
      <c r="AG30" s="33" t="s">
        <v>165</v>
      </c>
      <c r="AH30" s="33" t="s">
        <v>165</v>
      </c>
      <c r="AI30" s="33" t="s">
        <v>165</v>
      </c>
      <c r="AJ30" s="33" t="s">
        <v>165</v>
      </c>
      <c r="AK30" s="33" t="s">
        <v>165</v>
      </c>
    </row>
    <row r="31" spans="1:37" ht="16">
      <c r="A31" s="32" t="s">
        <v>517</v>
      </c>
      <c r="B31" s="33" t="s">
        <v>165</v>
      </c>
      <c r="C31" s="33" t="s">
        <v>165</v>
      </c>
      <c r="D31" s="33" t="s">
        <v>165</v>
      </c>
      <c r="E31" s="33" t="s">
        <v>165</v>
      </c>
      <c r="F31" s="33" t="s">
        <v>165</v>
      </c>
      <c r="G31" s="33" t="s">
        <v>165</v>
      </c>
      <c r="H31" s="33" t="s">
        <v>165</v>
      </c>
      <c r="I31" s="33" t="s">
        <v>165</v>
      </c>
      <c r="J31" s="33" t="s">
        <v>165</v>
      </c>
      <c r="K31" s="33" t="s">
        <v>165</v>
      </c>
      <c r="L31" s="33" t="s">
        <v>165</v>
      </c>
      <c r="M31" s="33" t="s">
        <v>165</v>
      </c>
      <c r="N31" s="33" t="s">
        <v>165</v>
      </c>
      <c r="O31" s="33" t="s">
        <v>165</v>
      </c>
      <c r="P31" s="33" t="s">
        <v>165</v>
      </c>
      <c r="Q31" s="33" t="s">
        <v>165</v>
      </c>
      <c r="R31" s="33" t="s">
        <v>165</v>
      </c>
      <c r="S31" s="33" t="s">
        <v>165</v>
      </c>
      <c r="T31" s="33" t="s">
        <v>165</v>
      </c>
      <c r="U31" s="33" t="s">
        <v>165</v>
      </c>
      <c r="V31" s="33" t="s">
        <v>165</v>
      </c>
      <c r="W31" s="33" t="s">
        <v>165</v>
      </c>
      <c r="X31" s="33" t="s">
        <v>165</v>
      </c>
      <c r="Y31" s="33" t="s">
        <v>165</v>
      </c>
      <c r="Z31" s="33" t="s">
        <v>165</v>
      </c>
      <c r="AA31" s="33" t="s">
        <v>165</v>
      </c>
      <c r="AB31" s="33" t="s">
        <v>165</v>
      </c>
      <c r="AC31" s="33" t="s">
        <v>165</v>
      </c>
      <c r="AD31" s="33" t="s">
        <v>165</v>
      </c>
      <c r="AE31" s="33" t="s">
        <v>237</v>
      </c>
      <c r="AF31" s="33" t="s">
        <v>237</v>
      </c>
      <c r="AG31" s="33" t="s">
        <v>237</v>
      </c>
      <c r="AH31" s="33" t="s">
        <v>237</v>
      </c>
      <c r="AI31" s="33" t="s">
        <v>237</v>
      </c>
      <c r="AJ31" s="33" t="s">
        <v>237</v>
      </c>
      <c r="AK31" s="33" t="s">
        <v>237</v>
      </c>
    </row>
    <row r="32" spans="1:37" ht="16">
      <c r="A32" s="32" t="s">
        <v>195</v>
      </c>
      <c r="B32" s="33" t="s">
        <v>165</v>
      </c>
      <c r="C32" s="33" t="s">
        <v>165</v>
      </c>
      <c r="D32" s="33" t="s">
        <v>165</v>
      </c>
      <c r="E32" s="33" t="s">
        <v>165</v>
      </c>
      <c r="F32" s="33" t="s">
        <v>165</v>
      </c>
      <c r="G32" s="33" t="s">
        <v>165</v>
      </c>
      <c r="H32" s="33" t="s">
        <v>165</v>
      </c>
      <c r="I32" s="33" t="s">
        <v>165</v>
      </c>
      <c r="J32" s="33" t="s">
        <v>165</v>
      </c>
      <c r="K32" s="33" t="s">
        <v>165</v>
      </c>
      <c r="L32" s="33" t="s">
        <v>165</v>
      </c>
      <c r="M32" s="33" t="s">
        <v>165</v>
      </c>
      <c r="N32" s="33" t="s">
        <v>165</v>
      </c>
      <c r="O32" s="33" t="s">
        <v>165</v>
      </c>
      <c r="P32" s="33" t="s">
        <v>165</v>
      </c>
      <c r="Q32" s="33" t="s">
        <v>165</v>
      </c>
      <c r="R32" s="33" t="s">
        <v>165</v>
      </c>
      <c r="S32" s="33" t="s">
        <v>165</v>
      </c>
      <c r="T32" s="33" t="s">
        <v>165</v>
      </c>
      <c r="U32" s="33" t="s">
        <v>165</v>
      </c>
      <c r="V32" s="33" t="s">
        <v>165</v>
      </c>
      <c r="W32" s="33" t="s">
        <v>165</v>
      </c>
      <c r="X32" s="33" t="s">
        <v>165</v>
      </c>
      <c r="Y32" s="33" t="s">
        <v>165</v>
      </c>
      <c r="Z32" s="33" t="s">
        <v>165</v>
      </c>
      <c r="AA32" s="33" t="s">
        <v>165</v>
      </c>
      <c r="AB32" s="33" t="s">
        <v>165</v>
      </c>
      <c r="AC32" s="33" t="s">
        <v>165</v>
      </c>
      <c r="AD32" s="33" t="s">
        <v>165</v>
      </c>
      <c r="AE32" s="33" t="s">
        <v>237</v>
      </c>
      <c r="AF32" s="33" t="s">
        <v>237</v>
      </c>
      <c r="AG32" s="33" t="s">
        <v>237</v>
      </c>
      <c r="AH32" s="33" t="s">
        <v>237</v>
      </c>
      <c r="AI32" s="33" t="s">
        <v>237</v>
      </c>
      <c r="AJ32" s="33" t="s">
        <v>237</v>
      </c>
      <c r="AK32" s="33" t="s">
        <v>237</v>
      </c>
    </row>
    <row r="33" spans="1:37" ht="16">
      <c r="A33" s="32" t="s">
        <v>126</v>
      </c>
      <c r="B33" s="33" t="s">
        <v>165</v>
      </c>
      <c r="C33" s="33" t="s">
        <v>165</v>
      </c>
      <c r="D33" s="33" t="s">
        <v>165</v>
      </c>
      <c r="E33" s="33" t="s">
        <v>165</v>
      </c>
      <c r="F33" s="33" t="s">
        <v>165</v>
      </c>
      <c r="G33" s="33" t="s">
        <v>165</v>
      </c>
      <c r="H33" s="33" t="s">
        <v>165</v>
      </c>
      <c r="I33" s="33" t="s">
        <v>165</v>
      </c>
      <c r="J33" s="33" t="s">
        <v>165</v>
      </c>
      <c r="K33" s="33" t="s">
        <v>165</v>
      </c>
      <c r="L33" s="33" t="s">
        <v>165</v>
      </c>
      <c r="M33" s="33" t="s">
        <v>165</v>
      </c>
      <c r="N33" s="33" t="s">
        <v>165</v>
      </c>
      <c r="O33" s="33" t="s">
        <v>165</v>
      </c>
      <c r="P33" s="33" t="s">
        <v>165</v>
      </c>
      <c r="Q33" s="33" t="s">
        <v>165</v>
      </c>
      <c r="R33" s="33" t="s">
        <v>165</v>
      </c>
      <c r="S33" s="33" t="s">
        <v>165</v>
      </c>
      <c r="T33" s="33" t="s">
        <v>165</v>
      </c>
      <c r="U33" s="33" t="s">
        <v>165</v>
      </c>
      <c r="V33" s="33" t="s">
        <v>165</v>
      </c>
      <c r="W33" s="33" t="s">
        <v>165</v>
      </c>
      <c r="X33" s="33" t="s">
        <v>165</v>
      </c>
      <c r="Y33" s="33" t="s">
        <v>165</v>
      </c>
      <c r="Z33" s="33" t="s">
        <v>165</v>
      </c>
      <c r="AA33" s="33" t="s">
        <v>165</v>
      </c>
      <c r="AB33" s="33" t="s">
        <v>165</v>
      </c>
      <c r="AC33" s="33" t="s">
        <v>165</v>
      </c>
      <c r="AD33" s="33" t="s">
        <v>165</v>
      </c>
      <c r="AE33" s="33" t="s">
        <v>237</v>
      </c>
      <c r="AF33" s="33" t="s">
        <v>237</v>
      </c>
      <c r="AG33" s="33" t="s">
        <v>237</v>
      </c>
      <c r="AH33" s="33" t="s">
        <v>237</v>
      </c>
      <c r="AI33" s="33" t="s">
        <v>237</v>
      </c>
      <c r="AJ33" s="33" t="s">
        <v>237</v>
      </c>
      <c r="AK33" s="33" t="s">
        <v>237</v>
      </c>
    </row>
    <row r="34" spans="1:37" ht="16">
      <c r="A34" s="32" t="s">
        <v>1156</v>
      </c>
      <c r="B34" s="33" t="s">
        <v>165</v>
      </c>
      <c r="C34" s="33" t="s">
        <v>165</v>
      </c>
      <c r="D34" s="33" t="s">
        <v>165</v>
      </c>
      <c r="E34" s="33" t="s">
        <v>165</v>
      </c>
      <c r="F34" s="33" t="s">
        <v>165</v>
      </c>
      <c r="G34" s="33" t="s">
        <v>165</v>
      </c>
      <c r="H34" s="33" t="s">
        <v>165</v>
      </c>
      <c r="I34" s="33" t="s">
        <v>165</v>
      </c>
      <c r="J34" s="33" t="s">
        <v>165</v>
      </c>
      <c r="K34" s="33" t="s">
        <v>165</v>
      </c>
      <c r="L34" s="33" t="s">
        <v>165</v>
      </c>
      <c r="M34" s="33" t="s">
        <v>165</v>
      </c>
      <c r="N34" s="33" t="s">
        <v>165</v>
      </c>
      <c r="O34" s="33" t="s">
        <v>165</v>
      </c>
      <c r="P34" s="33" t="s">
        <v>165</v>
      </c>
      <c r="Q34" s="33" t="s">
        <v>165</v>
      </c>
      <c r="R34" s="33" t="s">
        <v>165</v>
      </c>
      <c r="S34" s="33" t="s">
        <v>165</v>
      </c>
      <c r="T34" s="33" t="s">
        <v>165</v>
      </c>
      <c r="U34" s="33" t="s">
        <v>165</v>
      </c>
      <c r="V34" s="33" t="s">
        <v>165</v>
      </c>
      <c r="W34" s="33" t="s">
        <v>165</v>
      </c>
      <c r="X34" s="33" t="s">
        <v>165</v>
      </c>
      <c r="Y34" s="33" t="s">
        <v>165</v>
      </c>
      <c r="Z34" s="33" t="s">
        <v>165</v>
      </c>
      <c r="AA34" s="33" t="s">
        <v>165</v>
      </c>
      <c r="AB34" s="33" t="s">
        <v>165</v>
      </c>
      <c r="AC34" s="33" t="s">
        <v>165</v>
      </c>
      <c r="AD34" s="33" t="s">
        <v>165</v>
      </c>
      <c r="AE34" s="33" t="s">
        <v>237</v>
      </c>
      <c r="AF34" s="33" t="s">
        <v>237</v>
      </c>
      <c r="AG34" s="33" t="s">
        <v>237</v>
      </c>
      <c r="AH34" s="33" t="s">
        <v>237</v>
      </c>
      <c r="AI34" s="33" t="s">
        <v>237</v>
      </c>
      <c r="AJ34" s="33" t="s">
        <v>237</v>
      </c>
      <c r="AK34" s="33" t="s">
        <v>237</v>
      </c>
    </row>
    <row r="35" spans="1:37" ht="16">
      <c r="A35" s="32" t="s">
        <v>1717</v>
      </c>
      <c r="B35" s="33" t="s">
        <v>165</v>
      </c>
      <c r="C35" s="33" t="s">
        <v>165</v>
      </c>
      <c r="D35" s="33" t="s">
        <v>165</v>
      </c>
      <c r="E35" s="33" t="s">
        <v>165</v>
      </c>
      <c r="F35" s="33" t="s">
        <v>165</v>
      </c>
      <c r="G35" s="33" t="s">
        <v>165</v>
      </c>
      <c r="H35" s="33" t="s">
        <v>165</v>
      </c>
      <c r="I35" s="33" t="s">
        <v>165</v>
      </c>
      <c r="J35" s="33" t="s">
        <v>165</v>
      </c>
      <c r="K35" s="33" t="s">
        <v>165</v>
      </c>
      <c r="L35" s="33" t="s">
        <v>165</v>
      </c>
      <c r="M35" s="33" t="s">
        <v>165</v>
      </c>
      <c r="N35" s="33" t="s">
        <v>165</v>
      </c>
      <c r="O35" s="33" t="s">
        <v>165</v>
      </c>
      <c r="P35" s="33" t="s">
        <v>165</v>
      </c>
      <c r="Q35" s="33" t="s">
        <v>165</v>
      </c>
      <c r="R35" s="33" t="s">
        <v>165</v>
      </c>
      <c r="S35" s="33" t="s">
        <v>165</v>
      </c>
      <c r="T35" s="33" t="s">
        <v>165</v>
      </c>
      <c r="U35" s="33" t="s">
        <v>165</v>
      </c>
      <c r="V35" s="33" t="s">
        <v>165</v>
      </c>
      <c r="W35" s="33" t="s">
        <v>165</v>
      </c>
      <c r="X35" s="33" t="s">
        <v>165</v>
      </c>
      <c r="Y35" s="33" t="s">
        <v>165</v>
      </c>
      <c r="Z35" s="33" t="s">
        <v>165</v>
      </c>
      <c r="AA35" s="33" t="s">
        <v>165</v>
      </c>
      <c r="AB35" s="33" t="s">
        <v>165</v>
      </c>
      <c r="AC35" s="33" t="s">
        <v>165</v>
      </c>
      <c r="AD35" s="33" t="s">
        <v>165</v>
      </c>
      <c r="AE35" s="33" t="s">
        <v>237</v>
      </c>
      <c r="AF35" s="33" t="s">
        <v>237</v>
      </c>
      <c r="AG35" s="33" t="s">
        <v>237</v>
      </c>
      <c r="AH35" s="33" t="s">
        <v>237</v>
      </c>
      <c r="AI35" s="33" t="s">
        <v>237</v>
      </c>
      <c r="AJ35" s="33" t="s">
        <v>237</v>
      </c>
      <c r="AK35" s="33" t="s">
        <v>237</v>
      </c>
    </row>
    <row r="36" spans="1:37" ht="16">
      <c r="A36" s="32" t="s">
        <v>173</v>
      </c>
      <c r="B36" s="33" t="s">
        <v>165</v>
      </c>
      <c r="C36" s="33" t="s">
        <v>165</v>
      </c>
      <c r="D36" s="33" t="s">
        <v>165</v>
      </c>
      <c r="E36" s="33" t="s">
        <v>165</v>
      </c>
      <c r="F36" s="33" t="s">
        <v>165</v>
      </c>
      <c r="G36" s="33" t="s">
        <v>165</v>
      </c>
      <c r="H36" s="33" t="s">
        <v>165</v>
      </c>
      <c r="I36" s="33" t="s">
        <v>165</v>
      </c>
      <c r="J36" s="33" t="s">
        <v>165</v>
      </c>
      <c r="K36" s="33" t="s">
        <v>165</v>
      </c>
      <c r="L36" s="33" t="s">
        <v>165</v>
      </c>
      <c r="M36" s="33" t="s">
        <v>165</v>
      </c>
      <c r="N36" s="33" t="s">
        <v>165</v>
      </c>
      <c r="O36" s="33" t="s">
        <v>165</v>
      </c>
      <c r="P36" s="33" t="s">
        <v>165</v>
      </c>
      <c r="Q36" s="33" t="s">
        <v>165</v>
      </c>
      <c r="R36" s="33" t="s">
        <v>165</v>
      </c>
      <c r="S36" s="33" t="s">
        <v>165</v>
      </c>
      <c r="T36" s="33" t="s">
        <v>165</v>
      </c>
      <c r="U36" s="33" t="s">
        <v>165</v>
      </c>
      <c r="V36" s="33" t="s">
        <v>165</v>
      </c>
      <c r="W36" s="33" t="s">
        <v>165</v>
      </c>
      <c r="X36" s="33" t="s">
        <v>165</v>
      </c>
      <c r="Y36" s="33" t="s">
        <v>165</v>
      </c>
      <c r="Z36" s="33" t="s">
        <v>165</v>
      </c>
      <c r="AA36" s="33" t="s">
        <v>165</v>
      </c>
      <c r="AB36" s="33" t="s">
        <v>165</v>
      </c>
      <c r="AC36" s="33" t="s">
        <v>165</v>
      </c>
      <c r="AD36" s="33" t="s">
        <v>165</v>
      </c>
      <c r="AE36" s="33" t="s">
        <v>237</v>
      </c>
      <c r="AF36" s="33" t="s">
        <v>237</v>
      </c>
      <c r="AG36" s="33" t="s">
        <v>237</v>
      </c>
      <c r="AH36" s="33" t="s">
        <v>237</v>
      </c>
      <c r="AI36" s="33" t="s">
        <v>237</v>
      </c>
      <c r="AJ36" s="33" t="s">
        <v>237</v>
      </c>
      <c r="AK36" s="33" t="s">
        <v>237</v>
      </c>
    </row>
    <row r="37" spans="1:37" ht="16">
      <c r="A37" s="32" t="s">
        <v>356</v>
      </c>
      <c r="B37" s="33" t="s">
        <v>165</v>
      </c>
      <c r="C37" s="33" t="s">
        <v>165</v>
      </c>
      <c r="D37" s="33" t="s">
        <v>165</v>
      </c>
      <c r="E37" s="33" t="s">
        <v>165</v>
      </c>
      <c r="F37" s="33" t="s">
        <v>165</v>
      </c>
      <c r="G37" s="33" t="s">
        <v>165</v>
      </c>
      <c r="H37" s="33" t="s">
        <v>165</v>
      </c>
      <c r="I37" s="33" t="s">
        <v>165</v>
      </c>
      <c r="J37" s="33" t="s">
        <v>165</v>
      </c>
      <c r="K37" s="33" t="s">
        <v>165</v>
      </c>
      <c r="L37" s="33" t="s">
        <v>165</v>
      </c>
      <c r="M37" s="33" t="s">
        <v>165</v>
      </c>
      <c r="N37" s="33" t="s">
        <v>165</v>
      </c>
      <c r="O37" s="33" t="s">
        <v>165</v>
      </c>
      <c r="P37" s="33" t="s">
        <v>165</v>
      </c>
      <c r="Q37" s="33" t="s">
        <v>165</v>
      </c>
      <c r="R37" s="33" t="s">
        <v>165</v>
      </c>
      <c r="S37" s="33" t="s">
        <v>165</v>
      </c>
      <c r="T37" s="33" t="s">
        <v>165</v>
      </c>
      <c r="U37" s="33" t="s">
        <v>165</v>
      </c>
      <c r="V37" s="33" t="s">
        <v>165</v>
      </c>
      <c r="W37" s="33" t="s">
        <v>165</v>
      </c>
      <c r="X37" s="33" t="s">
        <v>165</v>
      </c>
      <c r="Y37" s="33" t="s">
        <v>165</v>
      </c>
      <c r="Z37" s="33" t="s">
        <v>165</v>
      </c>
      <c r="AA37" s="33" t="s">
        <v>165</v>
      </c>
      <c r="AB37" s="33" t="s">
        <v>165</v>
      </c>
      <c r="AC37" s="33" t="s">
        <v>165</v>
      </c>
      <c r="AD37" s="33" t="s">
        <v>165</v>
      </c>
      <c r="AE37" s="33" t="s">
        <v>237</v>
      </c>
      <c r="AF37" s="33" t="s">
        <v>237</v>
      </c>
      <c r="AG37" s="33" t="s">
        <v>237</v>
      </c>
      <c r="AH37" s="33" t="s">
        <v>237</v>
      </c>
      <c r="AI37" s="33" t="s">
        <v>237</v>
      </c>
      <c r="AJ37" s="33" t="s">
        <v>237</v>
      </c>
      <c r="AK37" s="33" t="s">
        <v>237</v>
      </c>
    </row>
  </sheetData>
  <conditionalFormatting sqref="B2:AK37">
    <cfRule type="expression" dxfId="1" priority="1">
      <formula>B2="Y"</formula>
    </cfRule>
    <cfRule type="expression" dxfId="0" priority="2">
      <formula>B2="N"</formula>
    </cfRule>
  </conditionalFormatting>
  <pageMargins left="0.7" right="0.7" top="0.75" bottom="0.75" header="0.3" footer="0.3"/>
  <customProperties>
    <customPr name="_pios_id" r:id="rId1"/>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D6EA-446A-41FB-B6FF-56294EE8F3C6}">
  <sheetPr>
    <tabColor rgb="FF7030A0"/>
  </sheetPr>
  <dimension ref="A1:E115"/>
  <sheetViews>
    <sheetView workbookViewId="0">
      <selection activeCell="C50" sqref="C50"/>
    </sheetView>
  </sheetViews>
  <sheetFormatPr baseColWidth="10" defaultColWidth="8.83203125" defaultRowHeight="15"/>
  <cols>
    <col min="1" max="1" width="14.1640625" bestFit="1" customWidth="1"/>
    <col min="2" max="2" width="13.5" bestFit="1" customWidth="1"/>
    <col min="3" max="3" width="16.83203125" bestFit="1" customWidth="1"/>
    <col min="4" max="4" width="20.1640625" bestFit="1" customWidth="1"/>
    <col min="5" max="5" width="8" bestFit="1" customWidth="1"/>
  </cols>
  <sheetData>
    <row r="1" spans="1:5">
      <c r="A1" t="s">
        <v>4314</v>
      </c>
      <c r="B1" t="s">
        <v>4315</v>
      </c>
      <c r="C1" t="s">
        <v>4316</v>
      </c>
      <c r="D1" t="s">
        <v>4317</v>
      </c>
      <c r="E1" t="s">
        <v>33</v>
      </c>
    </row>
    <row r="2" spans="1:5">
      <c r="A2" t="s">
        <v>2369</v>
      </c>
      <c r="B2" t="s">
        <v>70</v>
      </c>
      <c r="C2">
        <v>9024.907815</v>
      </c>
      <c r="D2" t="s">
        <v>4318</v>
      </c>
      <c r="E2" t="s">
        <v>4312</v>
      </c>
    </row>
    <row r="3" spans="1:5">
      <c r="A3" t="s">
        <v>2119</v>
      </c>
      <c r="B3" t="s">
        <v>70</v>
      </c>
      <c r="C3">
        <v>8855.6094</v>
      </c>
      <c r="D3" t="s">
        <v>4319</v>
      </c>
      <c r="E3" t="s">
        <v>4269</v>
      </c>
    </row>
    <row r="4" spans="1:5">
      <c r="A4" t="s">
        <v>764</v>
      </c>
      <c r="B4" t="s">
        <v>70</v>
      </c>
      <c r="C4">
        <v>8921.90808</v>
      </c>
      <c r="D4" t="s">
        <v>4320</v>
      </c>
      <c r="E4" t="s">
        <v>4270</v>
      </c>
    </row>
    <row r="5" spans="1:5">
      <c r="A5" t="s">
        <v>2888</v>
      </c>
      <c r="B5" t="s">
        <v>70</v>
      </c>
      <c r="C5">
        <v>8888.75874</v>
      </c>
      <c r="D5" t="s">
        <v>4321</v>
      </c>
      <c r="E5" t="s">
        <v>4271</v>
      </c>
    </row>
    <row r="6" spans="1:5">
      <c r="A6" t="s">
        <v>3664</v>
      </c>
      <c r="B6" t="s">
        <v>70</v>
      </c>
      <c r="C6">
        <v>8865.08064</v>
      </c>
      <c r="D6" t="s">
        <v>4322</v>
      </c>
      <c r="E6" t="s">
        <v>4323</v>
      </c>
    </row>
    <row r="7" spans="1:5">
      <c r="A7" t="s">
        <v>3803</v>
      </c>
      <c r="B7" t="s">
        <v>70</v>
      </c>
      <c r="C7">
        <v>8927.827605</v>
      </c>
      <c r="D7" t="s">
        <v>4324</v>
      </c>
      <c r="E7" t="s">
        <v>4325</v>
      </c>
    </row>
    <row r="8" spans="1:5">
      <c r="A8" t="s">
        <v>3457</v>
      </c>
      <c r="B8" t="s">
        <v>70</v>
      </c>
      <c r="C8">
        <v>8840.218635</v>
      </c>
      <c r="D8" t="s">
        <v>4326</v>
      </c>
      <c r="E8" t="s">
        <v>4327</v>
      </c>
    </row>
    <row r="9" spans="1:5">
      <c r="A9" t="s">
        <v>3875</v>
      </c>
      <c r="B9" t="s">
        <v>70</v>
      </c>
      <c r="C9">
        <v>8596.334205</v>
      </c>
      <c r="D9" t="s">
        <v>4328</v>
      </c>
      <c r="E9" t="s">
        <v>4329</v>
      </c>
    </row>
    <row r="10" spans="1:5">
      <c r="A10" t="s">
        <v>3035</v>
      </c>
      <c r="B10" t="s">
        <v>70</v>
      </c>
      <c r="C10">
        <v>8868.632355</v>
      </c>
      <c r="D10" t="s">
        <v>4330</v>
      </c>
      <c r="E10" t="s">
        <v>4275</v>
      </c>
    </row>
    <row r="11" spans="1:5">
      <c r="A11" t="s">
        <v>3819</v>
      </c>
      <c r="B11" t="s">
        <v>70</v>
      </c>
      <c r="C11">
        <v>8623.56402</v>
      </c>
      <c r="D11" t="s">
        <v>4331</v>
      </c>
      <c r="E11" t="s">
        <v>4332</v>
      </c>
    </row>
    <row r="12" spans="1:5">
      <c r="A12" t="s">
        <v>3635</v>
      </c>
      <c r="B12" t="s">
        <v>70</v>
      </c>
      <c r="C12">
        <v>8907.70122</v>
      </c>
      <c r="D12" t="s">
        <v>4333</v>
      </c>
      <c r="E12" t="s">
        <v>4334</v>
      </c>
    </row>
    <row r="13" spans="1:5">
      <c r="A13" t="s">
        <v>3476</v>
      </c>
      <c r="B13" t="s">
        <v>70</v>
      </c>
      <c r="C13">
        <v>8881.65531</v>
      </c>
      <c r="D13" t="s">
        <v>4335</v>
      </c>
      <c r="E13" t="s">
        <v>4336</v>
      </c>
    </row>
    <row r="14" spans="1:5">
      <c r="A14" t="s">
        <v>2806</v>
      </c>
      <c r="B14" t="s">
        <v>70</v>
      </c>
      <c r="C14">
        <v>8969.26428</v>
      </c>
      <c r="D14" t="s">
        <v>4337</v>
      </c>
      <c r="E14" t="s">
        <v>4272</v>
      </c>
    </row>
    <row r="15" spans="1:5">
      <c r="A15" t="s">
        <v>3764</v>
      </c>
      <c r="B15" t="s">
        <v>70</v>
      </c>
      <c r="C15">
        <v>8911.252935</v>
      </c>
      <c r="D15" t="s">
        <v>4338</v>
      </c>
      <c r="E15" t="s">
        <v>4339</v>
      </c>
    </row>
    <row r="16" spans="1:5">
      <c r="A16" t="s">
        <v>3724</v>
      </c>
      <c r="B16" t="s">
        <v>70</v>
      </c>
      <c r="C16">
        <v>8821.276155</v>
      </c>
      <c r="D16" t="s">
        <v>4340</v>
      </c>
      <c r="E16" t="s">
        <v>4341</v>
      </c>
    </row>
    <row r="17" spans="1:5">
      <c r="A17" t="s">
        <v>4342</v>
      </c>
      <c r="B17" t="s">
        <v>70</v>
      </c>
      <c r="C17">
        <v>8989.390665</v>
      </c>
      <c r="D17" t="s">
        <v>4343</v>
      </c>
      <c r="E17" t="s">
        <v>4344</v>
      </c>
    </row>
    <row r="18" spans="1:5">
      <c r="A18" t="s">
        <v>3887</v>
      </c>
      <c r="B18" t="s">
        <v>70</v>
      </c>
      <c r="C18">
        <v>8907.70122</v>
      </c>
      <c r="D18" t="s">
        <v>4345</v>
      </c>
      <c r="E18" t="s">
        <v>4346</v>
      </c>
    </row>
    <row r="19" spans="1:5">
      <c r="A19" t="s">
        <v>2730</v>
      </c>
      <c r="B19" t="s">
        <v>70</v>
      </c>
      <c r="C19">
        <v>8913.620745</v>
      </c>
      <c r="D19" t="s">
        <v>4347</v>
      </c>
      <c r="E19" t="s">
        <v>4273</v>
      </c>
    </row>
    <row r="20" spans="1:5">
      <c r="A20" t="s">
        <v>4348</v>
      </c>
      <c r="B20" t="s">
        <v>70</v>
      </c>
      <c r="C20">
        <v>8808.2532</v>
      </c>
      <c r="D20" t="s">
        <v>4349</v>
      </c>
      <c r="E20" t="s">
        <v>4350</v>
      </c>
    </row>
    <row r="21" spans="1:5">
      <c r="A21" t="s">
        <v>4351</v>
      </c>
      <c r="B21" t="s">
        <v>70</v>
      </c>
      <c r="C21">
        <v>8544.242385</v>
      </c>
      <c r="D21" t="s">
        <v>4352</v>
      </c>
      <c r="E21" t="s">
        <v>4353</v>
      </c>
    </row>
    <row r="22" spans="1:5">
      <c r="A22" t="s">
        <v>4354</v>
      </c>
      <c r="B22" t="s">
        <v>70</v>
      </c>
      <c r="C22">
        <v>8889.942645</v>
      </c>
      <c r="D22" t="s">
        <v>4355</v>
      </c>
      <c r="E22" t="s">
        <v>4356</v>
      </c>
    </row>
    <row r="23" spans="1:5">
      <c r="A23" t="s">
        <v>3410</v>
      </c>
      <c r="B23" t="s">
        <v>70</v>
      </c>
      <c r="C23">
        <v>8879.2875</v>
      </c>
      <c r="D23" t="s">
        <v>4357</v>
      </c>
      <c r="E23" t="s">
        <v>4358</v>
      </c>
    </row>
    <row r="24" spans="1:5">
      <c r="A24" t="s">
        <v>2510</v>
      </c>
      <c r="B24" t="s">
        <v>70</v>
      </c>
      <c r="C24">
        <v>17711.2188</v>
      </c>
      <c r="D24" t="s">
        <v>4359</v>
      </c>
      <c r="E24" t="s">
        <v>4289</v>
      </c>
    </row>
    <row r="25" spans="1:5">
      <c r="A25" t="s">
        <v>2510</v>
      </c>
      <c r="B25" t="s">
        <v>71</v>
      </c>
      <c r="C25">
        <v>17646.104025</v>
      </c>
      <c r="D25" t="s">
        <v>4360</v>
      </c>
      <c r="E25" t="s">
        <v>4289</v>
      </c>
    </row>
    <row r="26" spans="1:5">
      <c r="A26" t="s">
        <v>2167</v>
      </c>
      <c r="B26" t="s">
        <v>70</v>
      </c>
      <c r="C26">
        <v>8879.2875</v>
      </c>
      <c r="D26" t="s">
        <v>4361</v>
      </c>
      <c r="E26" t="s">
        <v>4290</v>
      </c>
    </row>
    <row r="27" spans="1:5">
      <c r="A27" t="s">
        <v>1532</v>
      </c>
      <c r="B27" t="s">
        <v>70</v>
      </c>
      <c r="C27">
        <v>8844.954255</v>
      </c>
      <c r="D27" t="s">
        <v>4362</v>
      </c>
      <c r="E27" t="s">
        <v>4285</v>
      </c>
    </row>
    <row r="28" spans="1:5">
      <c r="A28" t="s">
        <v>3587</v>
      </c>
      <c r="B28" t="s">
        <v>70</v>
      </c>
      <c r="C28">
        <v>8958.609135</v>
      </c>
      <c r="D28" t="s">
        <v>4363</v>
      </c>
      <c r="E28" t="s">
        <v>4364</v>
      </c>
    </row>
    <row r="29" spans="1:5">
      <c r="A29" t="s">
        <v>3781</v>
      </c>
      <c r="B29" t="s">
        <v>70</v>
      </c>
      <c r="C29">
        <v>3371.76144</v>
      </c>
      <c r="D29" t="s">
        <v>4365</v>
      </c>
      <c r="E29" t="s">
        <v>4366</v>
      </c>
    </row>
    <row r="30" spans="1:5">
      <c r="A30" t="s">
        <v>4367</v>
      </c>
      <c r="B30" t="s">
        <v>70</v>
      </c>
      <c r="C30">
        <v>8895.86217</v>
      </c>
      <c r="D30" t="s">
        <v>4368</v>
      </c>
      <c r="E30" t="s">
        <v>4369</v>
      </c>
    </row>
    <row r="31" spans="1:5">
      <c r="A31" t="s">
        <v>3642</v>
      </c>
      <c r="B31" t="s">
        <v>70</v>
      </c>
      <c r="C31">
        <v>8888.75874</v>
      </c>
      <c r="D31" t="s">
        <v>4370</v>
      </c>
      <c r="E31" t="s">
        <v>4371</v>
      </c>
    </row>
    <row r="32" spans="1:5">
      <c r="A32" t="s">
        <v>1447</v>
      </c>
      <c r="B32" t="s">
        <v>70</v>
      </c>
      <c r="C32">
        <v>8885.207025</v>
      </c>
      <c r="D32" t="s">
        <v>4372</v>
      </c>
      <c r="E32" t="s">
        <v>4283</v>
      </c>
    </row>
    <row r="33" spans="1:5">
      <c r="A33" t="s">
        <v>2994</v>
      </c>
      <c r="B33" t="s">
        <v>70</v>
      </c>
      <c r="C33">
        <v>8908.885125</v>
      </c>
      <c r="D33" t="s">
        <v>4373</v>
      </c>
      <c r="E33" t="s">
        <v>4286</v>
      </c>
    </row>
    <row r="34" spans="1:5">
      <c r="A34" t="s">
        <v>1750</v>
      </c>
      <c r="B34" t="s">
        <v>70</v>
      </c>
      <c r="C34">
        <v>8805.88539</v>
      </c>
      <c r="D34" t="s">
        <v>4374</v>
      </c>
      <c r="E34" t="s">
        <v>4284</v>
      </c>
    </row>
    <row r="35" spans="1:5">
      <c r="A35" t="s">
        <v>1703</v>
      </c>
      <c r="B35" t="s">
        <v>70</v>
      </c>
      <c r="C35">
        <v>8996.494095</v>
      </c>
      <c r="D35" t="s">
        <v>4375</v>
      </c>
      <c r="E35" t="s">
        <v>4287</v>
      </c>
    </row>
    <row r="36" spans="1:5">
      <c r="A36" t="s">
        <v>3941</v>
      </c>
      <c r="B36" t="s">
        <v>70</v>
      </c>
      <c r="C36">
        <v>9209.596995</v>
      </c>
      <c r="D36" t="s">
        <v>4376</v>
      </c>
      <c r="E36" t="s">
        <v>4377</v>
      </c>
    </row>
    <row r="37" spans="1:5">
      <c r="A37" t="s">
        <v>3537</v>
      </c>
      <c r="B37" t="s">
        <v>70</v>
      </c>
      <c r="C37">
        <v>8893.49436</v>
      </c>
      <c r="D37" t="s">
        <v>4378</v>
      </c>
      <c r="E37" t="s">
        <v>4379</v>
      </c>
    </row>
    <row r="38" spans="1:5">
      <c r="A38" t="s">
        <v>2647</v>
      </c>
      <c r="B38" t="s">
        <v>70</v>
      </c>
      <c r="C38">
        <v>8886.39093</v>
      </c>
      <c r="D38" t="s">
        <v>4380</v>
      </c>
      <c r="E38" t="s">
        <v>4302</v>
      </c>
    </row>
    <row r="39" spans="1:5">
      <c r="A39" t="s">
        <v>3487</v>
      </c>
      <c r="B39" t="s">
        <v>70</v>
      </c>
      <c r="C39">
        <v>9036.746865</v>
      </c>
      <c r="D39" t="s">
        <v>4381</v>
      </c>
      <c r="E39" t="s">
        <v>4382</v>
      </c>
    </row>
    <row r="40" spans="1:5">
      <c r="A40" t="s">
        <v>3339</v>
      </c>
      <c r="B40" t="s">
        <v>70</v>
      </c>
      <c r="C40">
        <v>8886.39093</v>
      </c>
      <c r="D40" t="s">
        <v>4383</v>
      </c>
      <c r="E40" t="s">
        <v>4384</v>
      </c>
    </row>
    <row r="41" spans="1:5">
      <c r="A41" t="s">
        <v>845</v>
      </c>
      <c r="B41" t="s">
        <v>70</v>
      </c>
      <c r="C41">
        <v>8894.678265</v>
      </c>
      <c r="D41" t="s">
        <v>4385</v>
      </c>
      <c r="E41" t="s">
        <v>4282</v>
      </c>
    </row>
    <row r="42" spans="1:5">
      <c r="A42" t="s">
        <v>845</v>
      </c>
      <c r="B42" t="s">
        <v>72</v>
      </c>
      <c r="C42">
        <v>17759.758905</v>
      </c>
      <c r="D42" t="s">
        <v>4386</v>
      </c>
      <c r="E42" t="s">
        <v>4282</v>
      </c>
    </row>
    <row r="43" spans="1:5">
      <c r="A43" t="s">
        <v>1164</v>
      </c>
      <c r="B43" t="s">
        <v>70</v>
      </c>
      <c r="C43">
        <v>8876.91969</v>
      </c>
      <c r="D43" t="s">
        <v>4387</v>
      </c>
      <c r="E43" t="s">
        <v>4278</v>
      </c>
    </row>
    <row r="44" spans="1:5">
      <c r="A44" t="s">
        <v>1164</v>
      </c>
      <c r="B44" t="s">
        <v>71</v>
      </c>
      <c r="C44">
        <v>15452.32806</v>
      </c>
      <c r="D44" t="s">
        <v>4388</v>
      </c>
      <c r="E44" t="s">
        <v>4278</v>
      </c>
    </row>
    <row r="45" spans="1:5">
      <c r="A45" t="s">
        <v>1238</v>
      </c>
      <c r="B45" t="s">
        <v>70</v>
      </c>
      <c r="C45">
        <v>7878.887775</v>
      </c>
      <c r="D45" t="s">
        <v>4389</v>
      </c>
      <c r="E45" t="s">
        <v>4274</v>
      </c>
    </row>
    <row r="46" spans="1:5">
      <c r="A46" t="s">
        <v>2056</v>
      </c>
      <c r="B46" t="s">
        <v>70</v>
      </c>
      <c r="C46">
        <v>8891.12655</v>
      </c>
      <c r="D46" t="s">
        <v>4390</v>
      </c>
      <c r="E46" t="s">
        <v>4301</v>
      </c>
    </row>
    <row r="47" spans="1:5">
      <c r="A47" t="s">
        <v>3245</v>
      </c>
      <c r="B47" t="s">
        <v>70</v>
      </c>
      <c r="C47">
        <v>8642.5065</v>
      </c>
      <c r="D47" t="s">
        <v>4391</v>
      </c>
      <c r="E47" t="s">
        <v>4392</v>
      </c>
    </row>
    <row r="48" spans="1:5">
      <c r="A48" t="s">
        <v>4393</v>
      </c>
      <c r="B48" t="s">
        <v>70</v>
      </c>
      <c r="C48">
        <v>8880.471405</v>
      </c>
      <c r="D48" t="s">
        <v>4394</v>
      </c>
      <c r="E48" t="s">
        <v>4395</v>
      </c>
    </row>
    <row r="49" spans="1:5">
      <c r="A49" t="s">
        <v>3519</v>
      </c>
      <c r="B49" t="s">
        <v>70</v>
      </c>
      <c r="C49">
        <v>8878.103595</v>
      </c>
      <c r="D49" t="s">
        <v>4396</v>
      </c>
      <c r="E49" t="s">
        <v>4397</v>
      </c>
    </row>
    <row r="50" spans="1:5">
      <c r="A50" t="s">
        <v>4398</v>
      </c>
      <c r="B50" t="s">
        <v>70</v>
      </c>
      <c r="C50">
        <v>8875.735785</v>
      </c>
      <c r="D50" t="s">
        <v>4399</v>
      </c>
      <c r="E50" t="s">
        <v>4400</v>
      </c>
    </row>
    <row r="51" spans="1:5">
      <c r="A51" t="s">
        <v>4401</v>
      </c>
      <c r="B51" t="s">
        <v>70</v>
      </c>
      <c r="C51">
        <v>8872.18407</v>
      </c>
      <c r="D51" t="s">
        <v>4402</v>
      </c>
      <c r="E51" t="s">
        <v>4403</v>
      </c>
    </row>
    <row r="52" spans="1:5">
      <c r="A52" t="s">
        <v>3300</v>
      </c>
      <c r="B52" t="s">
        <v>70</v>
      </c>
      <c r="C52">
        <v>8910.06903</v>
      </c>
      <c r="D52" t="s">
        <v>4404</v>
      </c>
      <c r="E52" t="s">
        <v>4405</v>
      </c>
    </row>
    <row r="53" spans="1:5">
      <c r="A53" t="s">
        <v>1056</v>
      </c>
      <c r="B53" t="s">
        <v>70</v>
      </c>
      <c r="C53">
        <v>8837.850825</v>
      </c>
      <c r="D53" t="s">
        <v>4406</v>
      </c>
      <c r="E53" t="s">
        <v>4307</v>
      </c>
    </row>
    <row r="54" spans="1:5">
      <c r="A54" t="s">
        <v>1790</v>
      </c>
      <c r="B54" t="s">
        <v>70</v>
      </c>
      <c r="C54">
        <v>8906.517315</v>
      </c>
      <c r="D54" t="s">
        <v>4407</v>
      </c>
      <c r="E54" t="s">
        <v>4279</v>
      </c>
    </row>
    <row r="55" spans="1:5">
      <c r="A55" t="s">
        <v>596</v>
      </c>
      <c r="B55" t="s">
        <v>70</v>
      </c>
      <c r="C55">
        <v>8878.103595</v>
      </c>
      <c r="D55" t="s">
        <v>4408</v>
      </c>
      <c r="E55" t="s">
        <v>4264</v>
      </c>
    </row>
    <row r="56" spans="1:5">
      <c r="A56" t="s">
        <v>596</v>
      </c>
      <c r="B56" t="s">
        <v>71</v>
      </c>
      <c r="C56">
        <v>16498.90008</v>
      </c>
      <c r="D56" t="s">
        <v>4409</v>
      </c>
      <c r="E56" t="s">
        <v>4264</v>
      </c>
    </row>
    <row r="57" spans="1:5">
      <c r="A57" t="s">
        <v>984</v>
      </c>
      <c r="B57" t="s">
        <v>70</v>
      </c>
      <c r="C57">
        <v>8778.655575</v>
      </c>
      <c r="D57" t="s">
        <v>4410</v>
      </c>
      <c r="E57" t="s">
        <v>4280</v>
      </c>
    </row>
    <row r="58" spans="1:5">
      <c r="A58" t="s">
        <v>984</v>
      </c>
      <c r="B58" t="s">
        <v>71</v>
      </c>
      <c r="C58">
        <v>8880.471405</v>
      </c>
      <c r="D58" t="s">
        <v>4411</v>
      </c>
      <c r="E58" t="s">
        <v>4280</v>
      </c>
    </row>
    <row r="59" spans="1:5">
      <c r="A59" t="s">
        <v>984</v>
      </c>
      <c r="B59" t="s">
        <v>72</v>
      </c>
      <c r="C59">
        <v>11878.118865</v>
      </c>
      <c r="D59" t="s">
        <v>4412</v>
      </c>
      <c r="E59" t="s">
        <v>4280</v>
      </c>
    </row>
    <row r="60" spans="1:5">
      <c r="A60" t="s">
        <v>984</v>
      </c>
      <c r="B60" t="s">
        <v>73</v>
      </c>
      <c r="C60">
        <v>16772.382135</v>
      </c>
      <c r="D60" t="s">
        <v>4413</v>
      </c>
      <c r="E60" t="s">
        <v>4280</v>
      </c>
    </row>
    <row r="61" spans="1:5">
      <c r="A61" t="s">
        <v>2264</v>
      </c>
      <c r="B61" t="s">
        <v>70</v>
      </c>
      <c r="C61">
        <v>8879.2875</v>
      </c>
      <c r="D61" t="s">
        <v>4414</v>
      </c>
      <c r="E61" t="s">
        <v>4281</v>
      </c>
    </row>
    <row r="62" spans="1:5">
      <c r="A62" t="s">
        <v>3788</v>
      </c>
      <c r="B62" t="s">
        <v>70</v>
      </c>
      <c r="C62">
        <v>8900.59779</v>
      </c>
      <c r="D62" t="s">
        <v>4415</v>
      </c>
      <c r="E62" t="s">
        <v>4416</v>
      </c>
    </row>
    <row r="63" spans="1:5">
      <c r="A63" t="s">
        <v>251</v>
      </c>
      <c r="B63" t="s">
        <v>70</v>
      </c>
      <c r="C63">
        <v>8893.49436</v>
      </c>
      <c r="D63" t="s">
        <v>4417</v>
      </c>
      <c r="E63" t="s">
        <v>4265</v>
      </c>
    </row>
    <row r="64" spans="1:5">
      <c r="A64" t="s">
        <v>251</v>
      </c>
      <c r="B64" t="s">
        <v>71</v>
      </c>
      <c r="C64">
        <v>10071.479835</v>
      </c>
      <c r="D64" t="s">
        <v>4418</v>
      </c>
      <c r="E64" t="s">
        <v>4265</v>
      </c>
    </row>
    <row r="65" spans="1:5">
      <c r="A65" t="s">
        <v>251</v>
      </c>
      <c r="B65" t="s">
        <v>72</v>
      </c>
      <c r="C65">
        <v>11714.739975</v>
      </c>
      <c r="D65" t="s">
        <v>4419</v>
      </c>
      <c r="E65" t="s">
        <v>4265</v>
      </c>
    </row>
    <row r="66" spans="1:5">
      <c r="A66" t="s">
        <v>251</v>
      </c>
      <c r="B66" t="s">
        <v>73</v>
      </c>
      <c r="C66">
        <v>14467.3191</v>
      </c>
      <c r="D66" t="s">
        <v>4420</v>
      </c>
      <c r="E66" t="s">
        <v>4265</v>
      </c>
    </row>
    <row r="67" spans="1:5">
      <c r="A67" t="s">
        <v>251</v>
      </c>
      <c r="B67" t="s">
        <v>74</v>
      </c>
      <c r="C67">
        <v>14790.525165</v>
      </c>
      <c r="D67" t="s">
        <v>4421</v>
      </c>
      <c r="E67" t="s">
        <v>4265</v>
      </c>
    </row>
    <row r="68" spans="1:5">
      <c r="A68" t="s">
        <v>99</v>
      </c>
      <c r="B68" t="s">
        <v>70</v>
      </c>
      <c r="C68">
        <v>8700.517845</v>
      </c>
      <c r="D68" t="s">
        <v>4422</v>
      </c>
      <c r="E68" t="s">
        <v>4305</v>
      </c>
    </row>
    <row r="69" spans="1:5">
      <c r="A69" t="s">
        <v>3853</v>
      </c>
      <c r="B69" t="s">
        <v>70</v>
      </c>
      <c r="C69">
        <v>8867.44845</v>
      </c>
      <c r="D69" t="s">
        <v>4423</v>
      </c>
      <c r="E69" t="s">
        <v>4424</v>
      </c>
    </row>
    <row r="70" spans="1:5">
      <c r="A70" t="s">
        <v>3678</v>
      </c>
      <c r="B70" t="s">
        <v>70</v>
      </c>
      <c r="C70">
        <v>8950.3218</v>
      </c>
      <c r="D70" t="s">
        <v>4425</v>
      </c>
      <c r="E70" t="s">
        <v>4426</v>
      </c>
    </row>
    <row r="71" spans="1:5">
      <c r="A71" t="s">
        <v>1985</v>
      </c>
      <c r="B71" t="s">
        <v>70</v>
      </c>
      <c r="C71">
        <v>9052.13763</v>
      </c>
      <c r="D71" t="s">
        <v>4427</v>
      </c>
      <c r="E71" t="s">
        <v>4291</v>
      </c>
    </row>
    <row r="72" spans="1:5">
      <c r="A72" t="s">
        <v>681</v>
      </c>
      <c r="B72" t="s">
        <v>70</v>
      </c>
      <c r="C72">
        <v>8879.2875</v>
      </c>
      <c r="D72" t="s">
        <v>4428</v>
      </c>
      <c r="E72" t="s">
        <v>4296</v>
      </c>
    </row>
    <row r="73" spans="1:5">
      <c r="A73" t="s">
        <v>4429</v>
      </c>
      <c r="B73" t="s">
        <v>70</v>
      </c>
      <c r="C73">
        <v>8889.942645</v>
      </c>
      <c r="D73" t="s">
        <v>4430</v>
      </c>
      <c r="E73" t="s">
        <v>4431</v>
      </c>
    </row>
    <row r="74" spans="1:5">
      <c r="A74" t="s">
        <v>474</v>
      </c>
      <c r="B74" t="s">
        <v>70</v>
      </c>
      <c r="C74">
        <v>8653.161645</v>
      </c>
      <c r="D74" t="s">
        <v>4432</v>
      </c>
      <c r="E74" t="s">
        <v>4288</v>
      </c>
    </row>
    <row r="75" spans="1:5">
      <c r="A75" t="s">
        <v>3744</v>
      </c>
      <c r="B75" t="s">
        <v>70</v>
      </c>
      <c r="C75">
        <v>8880.471405</v>
      </c>
      <c r="D75" t="s">
        <v>4433</v>
      </c>
      <c r="E75" t="s">
        <v>4434</v>
      </c>
    </row>
    <row r="76" spans="1:5">
      <c r="A76" t="s">
        <v>3793</v>
      </c>
      <c r="B76" t="s">
        <v>70</v>
      </c>
      <c r="C76">
        <v>8837.850825</v>
      </c>
      <c r="D76" t="s">
        <v>4435</v>
      </c>
      <c r="E76" t="s">
        <v>4436</v>
      </c>
    </row>
    <row r="77" spans="1:5">
      <c r="A77" t="s">
        <v>427</v>
      </c>
      <c r="B77" t="s">
        <v>70</v>
      </c>
      <c r="C77">
        <v>8897.046075</v>
      </c>
      <c r="D77" t="s">
        <v>4437</v>
      </c>
      <c r="E77" t="s">
        <v>4292</v>
      </c>
    </row>
    <row r="78" spans="1:5">
      <c r="A78" t="s">
        <v>427</v>
      </c>
      <c r="B78" t="s">
        <v>71</v>
      </c>
      <c r="C78">
        <v>13766.44734</v>
      </c>
      <c r="D78" t="s">
        <v>4438</v>
      </c>
      <c r="E78" t="s">
        <v>4292</v>
      </c>
    </row>
    <row r="79" spans="1:5">
      <c r="A79" t="s">
        <v>2764</v>
      </c>
      <c r="B79" t="s">
        <v>70</v>
      </c>
      <c r="C79">
        <v>8840.218635</v>
      </c>
      <c r="D79" t="s">
        <v>4439</v>
      </c>
      <c r="E79" t="s">
        <v>4293</v>
      </c>
    </row>
    <row r="80" spans="1:5">
      <c r="A80" t="s">
        <v>3901</v>
      </c>
      <c r="B80" t="s">
        <v>70</v>
      </c>
      <c r="C80">
        <v>8803.51758</v>
      </c>
      <c r="D80" t="s">
        <v>4440</v>
      </c>
      <c r="E80" t="s">
        <v>4441</v>
      </c>
    </row>
    <row r="81" spans="1:5">
      <c r="A81" t="s">
        <v>1308</v>
      </c>
      <c r="B81" t="s">
        <v>70</v>
      </c>
      <c r="C81">
        <v>8345.346345</v>
      </c>
      <c r="D81" t="s">
        <v>4442</v>
      </c>
      <c r="E81" t="s">
        <v>4294</v>
      </c>
    </row>
    <row r="82" spans="1:5">
      <c r="A82" t="s">
        <v>3843</v>
      </c>
      <c r="B82" t="s">
        <v>70</v>
      </c>
      <c r="C82">
        <v>8880.471405</v>
      </c>
      <c r="D82" t="s">
        <v>4443</v>
      </c>
      <c r="E82" t="s">
        <v>4444</v>
      </c>
    </row>
    <row r="83" spans="1:5">
      <c r="A83" t="s">
        <v>3625</v>
      </c>
      <c r="B83" t="s">
        <v>70</v>
      </c>
      <c r="C83">
        <v>8886.39093</v>
      </c>
      <c r="D83" t="s">
        <v>4445</v>
      </c>
      <c r="E83" t="s">
        <v>4446</v>
      </c>
    </row>
    <row r="84" spans="1:5">
      <c r="A84" t="s">
        <v>3906</v>
      </c>
      <c r="B84" t="s">
        <v>70</v>
      </c>
      <c r="C84">
        <v>3313.750095</v>
      </c>
      <c r="D84" t="s">
        <v>4447</v>
      </c>
      <c r="E84" t="s">
        <v>4448</v>
      </c>
    </row>
    <row r="85" spans="1:5">
      <c r="A85" t="s">
        <v>3798</v>
      </c>
      <c r="B85" t="s">
        <v>70</v>
      </c>
      <c r="C85">
        <v>3378.86487</v>
      </c>
      <c r="D85" t="s">
        <v>4449</v>
      </c>
      <c r="E85" t="s">
        <v>4450</v>
      </c>
    </row>
    <row r="86" spans="1:5">
      <c r="A86" t="s">
        <v>1952</v>
      </c>
      <c r="B86" t="s">
        <v>70</v>
      </c>
      <c r="C86">
        <v>8897.046075</v>
      </c>
      <c r="D86" t="s">
        <v>4451</v>
      </c>
      <c r="E86" t="s">
        <v>4308</v>
      </c>
    </row>
    <row r="87" spans="1:5">
      <c r="A87" t="s">
        <v>4452</v>
      </c>
      <c r="B87" t="s">
        <v>70</v>
      </c>
      <c r="C87">
        <v>3552.898905</v>
      </c>
      <c r="D87" t="s">
        <v>4453</v>
      </c>
      <c r="E87" t="s">
        <v>4454</v>
      </c>
    </row>
    <row r="88" spans="1:5">
      <c r="A88" t="s">
        <v>4452</v>
      </c>
      <c r="B88" t="s">
        <v>71</v>
      </c>
      <c r="C88">
        <v>1186.27281</v>
      </c>
      <c r="D88" t="s">
        <v>4455</v>
      </c>
      <c r="E88" t="s">
        <v>4454</v>
      </c>
    </row>
    <row r="89" spans="1:5">
      <c r="A89" t="s">
        <v>1875</v>
      </c>
      <c r="B89" t="s">
        <v>70</v>
      </c>
      <c r="C89">
        <v>8934.931035</v>
      </c>
      <c r="D89" t="s">
        <v>4456</v>
      </c>
      <c r="E89" t="s">
        <v>4295</v>
      </c>
    </row>
    <row r="90" spans="1:5">
      <c r="A90" t="s">
        <v>1875</v>
      </c>
      <c r="B90" t="s">
        <v>71</v>
      </c>
      <c r="C90">
        <v>18117.298215</v>
      </c>
      <c r="D90" t="s">
        <v>4457</v>
      </c>
      <c r="E90" t="s">
        <v>4295</v>
      </c>
    </row>
    <row r="91" spans="1:5">
      <c r="A91" t="s">
        <v>3653</v>
      </c>
      <c r="B91" t="s">
        <v>70</v>
      </c>
      <c r="C91">
        <v>8875.735785</v>
      </c>
      <c r="D91" t="s">
        <v>4458</v>
      </c>
      <c r="E91" t="s">
        <v>4459</v>
      </c>
    </row>
    <row r="92" spans="1:5">
      <c r="A92" t="s">
        <v>2593</v>
      </c>
      <c r="B92" t="s">
        <v>70</v>
      </c>
      <c r="C92">
        <v>8876.91969</v>
      </c>
      <c r="D92" t="s">
        <v>4460</v>
      </c>
      <c r="E92" t="s">
        <v>4297</v>
      </c>
    </row>
    <row r="93" spans="1:5">
      <c r="A93" t="s">
        <v>3142</v>
      </c>
      <c r="B93" t="s">
        <v>70</v>
      </c>
      <c r="C93">
        <v>8753.79357</v>
      </c>
      <c r="D93" t="s">
        <v>4461</v>
      </c>
      <c r="E93" t="s">
        <v>4298</v>
      </c>
    </row>
    <row r="94" spans="1:5">
      <c r="A94" t="s">
        <v>2285</v>
      </c>
      <c r="B94" t="s">
        <v>70</v>
      </c>
      <c r="C94">
        <v>17186.748885</v>
      </c>
      <c r="D94" t="s">
        <v>4462</v>
      </c>
      <c r="E94" t="s">
        <v>4266</v>
      </c>
    </row>
    <row r="95" spans="1:5">
      <c r="A95" t="s">
        <v>2285</v>
      </c>
      <c r="B95" t="s">
        <v>71</v>
      </c>
      <c r="C95">
        <v>8807.069295</v>
      </c>
      <c r="D95" t="s">
        <v>4463</v>
      </c>
      <c r="E95" t="s">
        <v>4266</v>
      </c>
    </row>
    <row r="96" spans="1:5">
      <c r="A96" t="s">
        <v>3188</v>
      </c>
      <c r="B96" t="s">
        <v>70</v>
      </c>
      <c r="C96">
        <v>8881.65531</v>
      </c>
      <c r="D96" t="s">
        <v>4464</v>
      </c>
      <c r="E96" t="s">
        <v>4299</v>
      </c>
    </row>
    <row r="97" spans="1:5">
      <c r="A97" t="s">
        <v>2111</v>
      </c>
      <c r="B97" t="s">
        <v>70</v>
      </c>
      <c r="C97">
        <v>8717.092515</v>
      </c>
      <c r="D97" t="s">
        <v>4465</v>
      </c>
      <c r="E97" t="s">
        <v>4300</v>
      </c>
    </row>
    <row r="98" spans="1:5">
      <c r="A98" t="s">
        <v>3452</v>
      </c>
      <c r="B98" t="s">
        <v>70</v>
      </c>
      <c r="C98">
        <v>8863.896735</v>
      </c>
      <c r="D98" t="s">
        <v>4466</v>
      </c>
      <c r="E98" t="s">
        <v>4467</v>
      </c>
    </row>
    <row r="99" spans="1:5">
      <c r="A99" t="s">
        <v>2798</v>
      </c>
      <c r="B99" t="s">
        <v>70</v>
      </c>
      <c r="C99">
        <v>8681.575365</v>
      </c>
      <c r="D99" t="s">
        <v>4468</v>
      </c>
      <c r="E99" t="s">
        <v>4303</v>
      </c>
    </row>
    <row r="100" spans="1:5">
      <c r="A100" t="s">
        <v>3237</v>
      </c>
      <c r="B100" t="s">
        <v>70</v>
      </c>
      <c r="C100">
        <v>8679.207555</v>
      </c>
      <c r="D100" t="s">
        <v>4469</v>
      </c>
      <c r="E100" t="s">
        <v>4304</v>
      </c>
    </row>
    <row r="101" spans="1:5">
      <c r="A101" t="s">
        <v>3501</v>
      </c>
      <c r="B101" t="s">
        <v>70</v>
      </c>
      <c r="C101">
        <v>8911.252935</v>
      </c>
      <c r="D101" t="s">
        <v>4470</v>
      </c>
      <c r="E101" t="s">
        <v>4471</v>
      </c>
    </row>
    <row r="102" spans="1:5">
      <c r="A102" t="s">
        <v>1392</v>
      </c>
      <c r="B102" t="s">
        <v>70</v>
      </c>
      <c r="C102">
        <v>8799.965865</v>
      </c>
      <c r="D102" t="s">
        <v>4472</v>
      </c>
      <c r="E102" t="s">
        <v>4306</v>
      </c>
    </row>
    <row r="103" spans="1:5">
      <c r="A103" t="s">
        <v>3683</v>
      </c>
      <c r="B103" t="s">
        <v>70</v>
      </c>
      <c r="C103">
        <v>8753.79357</v>
      </c>
      <c r="D103" t="s">
        <v>4473</v>
      </c>
      <c r="E103" t="s">
        <v>4474</v>
      </c>
    </row>
    <row r="104" spans="1:5">
      <c r="A104" t="s">
        <v>1978</v>
      </c>
      <c r="B104" t="s">
        <v>70</v>
      </c>
      <c r="C104">
        <v>8893.49436</v>
      </c>
      <c r="D104" t="s">
        <v>4475</v>
      </c>
      <c r="E104" t="s">
        <v>4309</v>
      </c>
    </row>
    <row r="105" spans="1:5">
      <c r="A105" t="s">
        <v>2635</v>
      </c>
      <c r="B105" t="s">
        <v>70</v>
      </c>
      <c r="C105">
        <v>8906.517315</v>
      </c>
      <c r="D105" t="s">
        <v>4476</v>
      </c>
      <c r="E105" t="s">
        <v>4310</v>
      </c>
    </row>
    <row r="106" spans="1:5">
      <c r="A106" t="s">
        <v>3916</v>
      </c>
      <c r="B106" t="s">
        <v>70</v>
      </c>
      <c r="C106">
        <v>8878.103595</v>
      </c>
      <c r="D106" t="s">
        <v>4477</v>
      </c>
      <c r="E106" t="s">
        <v>4478</v>
      </c>
    </row>
    <row r="107" spans="1:5">
      <c r="A107" t="s">
        <v>3921</v>
      </c>
      <c r="B107" t="s">
        <v>70</v>
      </c>
      <c r="C107">
        <v>8834.29911</v>
      </c>
      <c r="D107" t="s">
        <v>4479</v>
      </c>
      <c r="E107" t="s">
        <v>4480</v>
      </c>
    </row>
    <row r="108" spans="1:5">
      <c r="A108" t="s">
        <v>3926</v>
      </c>
      <c r="B108" t="s">
        <v>70</v>
      </c>
      <c r="C108">
        <v>8717.092515</v>
      </c>
      <c r="D108" t="s">
        <v>4481</v>
      </c>
      <c r="E108" t="s">
        <v>4482</v>
      </c>
    </row>
    <row r="109" spans="1:5">
      <c r="A109" t="s">
        <v>3936</v>
      </c>
      <c r="B109" t="s">
        <v>70</v>
      </c>
      <c r="C109">
        <v>8902.9656</v>
      </c>
      <c r="D109" t="s">
        <v>4483</v>
      </c>
      <c r="E109" t="s">
        <v>4484</v>
      </c>
    </row>
    <row r="110" spans="1:5">
      <c r="A110" t="s">
        <v>3848</v>
      </c>
      <c r="B110" t="s">
        <v>70</v>
      </c>
      <c r="C110">
        <v>8900.59779</v>
      </c>
      <c r="D110" t="s">
        <v>4485</v>
      </c>
      <c r="E110" t="s">
        <v>4486</v>
      </c>
    </row>
    <row r="111" spans="1:5">
      <c r="A111" t="s">
        <v>3870</v>
      </c>
      <c r="B111" t="s">
        <v>70</v>
      </c>
      <c r="C111">
        <v>8900.59779</v>
      </c>
      <c r="D111" t="s">
        <v>4487</v>
      </c>
      <c r="E111" t="s">
        <v>4488</v>
      </c>
    </row>
    <row r="112" spans="1:5">
      <c r="A112" t="s">
        <v>3514</v>
      </c>
      <c r="B112" t="s">
        <v>70</v>
      </c>
      <c r="C112">
        <v>8878.103595</v>
      </c>
      <c r="D112" t="s">
        <v>4489</v>
      </c>
      <c r="E112" t="s">
        <v>4490</v>
      </c>
    </row>
    <row r="113" spans="1:5">
      <c r="A113" t="s">
        <v>2331</v>
      </c>
      <c r="B113" t="s">
        <v>70</v>
      </c>
      <c r="C113">
        <v>8881.65531</v>
      </c>
      <c r="D113" t="s">
        <v>4491</v>
      </c>
      <c r="E113" t="s">
        <v>4311</v>
      </c>
    </row>
    <row r="114" spans="1:5">
      <c r="A114" t="s">
        <v>3882</v>
      </c>
      <c r="B114" t="s">
        <v>70</v>
      </c>
      <c r="C114">
        <v>8784.5751</v>
      </c>
      <c r="D114" t="s">
        <v>4492</v>
      </c>
      <c r="E114" t="s">
        <v>4493</v>
      </c>
    </row>
    <row r="115" spans="1:5">
      <c r="A115" t="s">
        <v>2934</v>
      </c>
      <c r="B115" t="s">
        <v>70</v>
      </c>
      <c r="C115">
        <v>8881.65531</v>
      </c>
      <c r="D115" t="s">
        <v>4494</v>
      </c>
      <c r="E115" t="s">
        <v>4313</v>
      </c>
    </row>
  </sheetData>
  <pageMargins left="0.7" right="0.7" top="0.75" bottom="0.75" header="0.3" footer="0.3"/>
  <customProperties>
    <customPr name="_pios_id" r:id="rId1"/>
  </customProperties>
  <tableParts count="1">
    <tablePart r:id="rId2"/>
  </tableParts>
</worksheet>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2.xml>��
</file>

<file path=customXml/itemProps2.xml><?xml version="1.0" encoding="utf-8"?>
<ds:datastoreItem xmlns:ds="http://schemas.openxmlformats.org/officeDocument/2006/customXml" ds:itemID="{0994578D-C187-4273-A9FC-966FCD5B15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Site</vt:lpstr>
      <vt:lpstr>12 months sales forecast</vt:lpstr>
      <vt:lpstr>FINI grouping for wheel</vt:lpstr>
      <vt:lpstr>Groups 5 june</vt:lpstr>
      <vt:lpstr>PCK per filling line - THDP spe</vt:lpstr>
      <vt:lpstr>Change over estimation</vt:lpstr>
      <vt:lpstr>FINI new recipe combination</vt:lpstr>
      <vt:lpstr>FINI Cycle stock at DC</vt:lpstr>
      <vt:lpstr>FINI Planning calendar at P-sit</vt:lpstr>
      <vt:lpstr>APO SEFI lot size per recipe co</vt:lpstr>
      <vt:lpstr>Newrecipe</vt:lpstr>
      <vt:lpstr>New recipe</vt:lpstr>
      <vt:lpstr>Compatibility matrix</vt:lpstr>
      <vt:lpstr>Production_versions___List</vt:lpstr>
      <vt:lpstr>factor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Analyst</dc:creator>
  <cp:keywords/>
  <dc:description/>
  <cp:lastModifiedBy>Analyst</cp:lastModifiedBy>
  <cp:revision/>
  <dcterms:created xsi:type="dcterms:W3CDTF">2026-01-19T10:27:38Z</dcterms:created>
  <dcterms:modified xsi:type="dcterms:W3CDTF">2026-07-24T19:25:46Z</dcterms:modified>
  <cp:category/>
  <cp:contentStatus/>
</cp:coreProperties>
</file>

<file path=docProps/custom.xml><?xml version="1.0" encoding="utf-8"?>
<Properties xmlns="http://schemas.openxmlformats.org/officeDocument/2006/custom-properties" xmlns:vt="http://schemas.openxmlformats.org/officeDocument/2006/docPropsVTypes"/>
</file>